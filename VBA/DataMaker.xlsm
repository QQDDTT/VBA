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11a58db8bc50ee1/文档/Work/"/>
    </mc:Choice>
  </mc:AlternateContent>
  <xr:revisionPtr revIDLastSave="25" documentId="13_ncr:1_{F5147300-65E5-4D68-897D-80DFA5923C36}" xr6:coauthVersionLast="47" xr6:coauthVersionMax="47" xr10:uidLastSave="{25A40344-11EF-4B67-A3AF-7A42BD2845FF}"/>
  <bookViews>
    <workbookView xWindow="-98" yWindow="-98" windowWidth="21795" windowHeight="13875" activeTab="1" xr2:uid="{00000000-000D-0000-FFFF-FFFF00000000}"/>
  </bookViews>
  <sheets>
    <sheet name="KeySet" sheetId="1" r:id="rId1"/>
    <sheet name="valueMaker" sheetId="2" r:id="rId2"/>
    <sheet name="valuesForm" sheetId="3" r:id="rId3"/>
    <sheet name="valueBase" sheetId="4" r:id="rId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3" l="1"/>
  <c r="F3" i="2"/>
  <c r="G3" i="2" s="1"/>
  <c r="H3" i="2" s="1"/>
  <c r="F4" i="2"/>
  <c r="G4" i="2" s="1"/>
  <c r="H4" i="2" s="1"/>
  <c r="F5" i="2"/>
  <c r="G5" i="2" s="1"/>
  <c r="H5" i="2" s="1"/>
  <c r="F6" i="2"/>
  <c r="G6" i="2" s="1"/>
  <c r="H6" i="2" s="1"/>
  <c r="F7" i="2"/>
  <c r="G7" i="2" s="1"/>
  <c r="H7" i="2" s="1"/>
  <c r="F8" i="2"/>
  <c r="G8" i="2" s="1"/>
  <c r="H8" i="2" s="1"/>
  <c r="F9" i="2"/>
  <c r="G9" i="2" s="1"/>
  <c r="H9" i="2" s="1"/>
  <c r="F10" i="2"/>
  <c r="G10" i="2" s="1"/>
  <c r="H10" i="2" s="1"/>
  <c r="F11" i="2"/>
  <c r="G11" i="2" s="1"/>
  <c r="H11" i="2" s="1"/>
  <c r="F12" i="2"/>
  <c r="G12" i="2" s="1"/>
  <c r="H12" i="2" s="1"/>
  <c r="F13" i="2"/>
  <c r="G13" i="2" s="1"/>
  <c r="H13" i="2" s="1"/>
  <c r="F14" i="2"/>
  <c r="G14" i="2" s="1"/>
  <c r="H14" i="2" s="1"/>
  <c r="F15" i="2"/>
  <c r="G15" i="2" s="1"/>
  <c r="H15" i="2" s="1"/>
  <c r="F16" i="2"/>
  <c r="G16" i="2" s="1"/>
  <c r="H16" i="2" s="1"/>
  <c r="F17" i="2"/>
  <c r="G17" i="2" s="1"/>
  <c r="H17" i="2" s="1"/>
  <c r="F18" i="2"/>
  <c r="G18" i="2" s="1"/>
  <c r="H18" i="2" s="1"/>
  <c r="F19" i="2"/>
  <c r="G19" i="2" s="1"/>
  <c r="H19" i="2" s="1"/>
  <c r="F20" i="2"/>
  <c r="G20" i="2" s="1"/>
  <c r="H20" i="2" s="1"/>
  <c r="F21" i="2"/>
  <c r="G21" i="2" s="1"/>
  <c r="H21" i="2" s="1"/>
  <c r="F22" i="2"/>
  <c r="G22" i="2" s="1"/>
  <c r="H22" i="2" s="1"/>
  <c r="F23" i="2"/>
  <c r="G23" i="2" s="1"/>
  <c r="H23" i="2" s="1"/>
  <c r="F24" i="2"/>
  <c r="G24" i="2" s="1"/>
  <c r="H24" i="2" s="1"/>
  <c r="F25" i="2"/>
  <c r="G25" i="2" s="1"/>
  <c r="H25" i="2" s="1"/>
  <c r="F27" i="2"/>
  <c r="G27" i="2" s="1"/>
  <c r="H27" i="2" s="1"/>
  <c r="F28" i="2"/>
  <c r="G28" i="2" s="1"/>
  <c r="H28" i="2" s="1"/>
  <c r="F29" i="2"/>
  <c r="G29" i="2" s="1"/>
  <c r="H29" i="2" s="1"/>
  <c r="F30" i="2"/>
  <c r="G30" i="2" s="1"/>
  <c r="H30" i="2" s="1"/>
  <c r="F31" i="2"/>
  <c r="G31" i="2" s="1"/>
  <c r="H31" i="2" s="1"/>
  <c r="F32" i="2"/>
  <c r="G32" i="2" s="1"/>
  <c r="H32" i="2" s="1"/>
  <c r="F33" i="2"/>
  <c r="G33" i="2" s="1"/>
  <c r="H33" i="2" s="1"/>
  <c r="F34" i="2"/>
  <c r="G34" i="2" s="1"/>
  <c r="H34" i="2" s="1"/>
  <c r="F35" i="2"/>
  <c r="G35" i="2" s="1"/>
  <c r="H35" i="2" s="1"/>
  <c r="F36" i="2"/>
  <c r="G36" i="2" s="1"/>
  <c r="H36" i="2" s="1"/>
  <c r="F37" i="2"/>
  <c r="G37" i="2" s="1"/>
  <c r="H37" i="2" s="1"/>
  <c r="F38" i="2"/>
  <c r="G38" i="2" s="1"/>
  <c r="H38" i="2" s="1"/>
  <c r="F39" i="2"/>
  <c r="G39" i="2" s="1"/>
  <c r="H39" i="2" s="1"/>
  <c r="F40" i="2"/>
  <c r="G40" i="2" s="1"/>
  <c r="H40" i="2" s="1"/>
  <c r="F41" i="2"/>
  <c r="G41" i="2" s="1"/>
  <c r="H41" i="2" s="1"/>
  <c r="F42" i="2"/>
  <c r="G42" i="2" s="1"/>
  <c r="H42" i="2" s="1"/>
  <c r="F43" i="2"/>
  <c r="G43" i="2" s="1"/>
  <c r="H43" i="2" s="1"/>
  <c r="F44" i="2"/>
  <c r="G44" i="2" s="1"/>
  <c r="H44" i="2" s="1"/>
  <c r="F45" i="2"/>
  <c r="G45" i="2" s="1"/>
  <c r="H45" i="2" s="1"/>
  <c r="F46" i="2"/>
  <c r="G46" i="2" s="1"/>
  <c r="H46" i="2" s="1"/>
  <c r="F47" i="2"/>
  <c r="G47" i="2" s="1"/>
  <c r="H47" i="2" s="1"/>
  <c r="F48" i="2"/>
  <c r="G48" i="2" s="1"/>
  <c r="H48" i="2" s="1"/>
  <c r="F49" i="2"/>
  <c r="G49" i="2" s="1"/>
  <c r="H49" i="2" s="1"/>
  <c r="F50" i="2"/>
  <c r="G50" i="2" s="1"/>
  <c r="H50" i="2" s="1"/>
  <c r="F51" i="2"/>
  <c r="G51" i="2" s="1"/>
  <c r="H51" i="2" s="1"/>
  <c r="F52" i="2"/>
  <c r="G52" i="2" s="1"/>
  <c r="H52" i="2" s="1"/>
  <c r="F53" i="2"/>
  <c r="G53" i="2" s="1"/>
  <c r="H53" i="2" s="1"/>
  <c r="F54" i="2"/>
  <c r="G54" i="2" s="1"/>
  <c r="H54" i="2" s="1"/>
  <c r="F55" i="2"/>
  <c r="G55" i="2" s="1"/>
  <c r="H55" i="2" s="1"/>
  <c r="F56" i="2"/>
  <c r="G56" i="2" s="1"/>
  <c r="H56" i="2" s="1"/>
  <c r="F57" i="2"/>
  <c r="G57" i="2" s="1"/>
  <c r="H57" i="2" s="1"/>
  <c r="F58" i="2"/>
  <c r="G58" i="2" s="1"/>
  <c r="H58" i="2" s="1"/>
  <c r="F59" i="2"/>
  <c r="G59" i="2" s="1"/>
  <c r="H59" i="2" s="1"/>
  <c r="F60" i="2"/>
  <c r="G60" i="2" s="1"/>
  <c r="H60" i="2" s="1"/>
  <c r="F61" i="2"/>
  <c r="G61" i="2" s="1"/>
  <c r="H61" i="2" s="1"/>
  <c r="F62" i="2"/>
  <c r="G62" i="2" s="1"/>
  <c r="H62" i="2" s="1"/>
  <c r="F63" i="2"/>
  <c r="G63" i="2" s="1"/>
  <c r="H63" i="2" s="1"/>
  <c r="F64" i="2"/>
  <c r="G64" i="2" s="1"/>
  <c r="H64" i="2" s="1"/>
  <c r="F65" i="2"/>
  <c r="G65" i="2" s="1"/>
  <c r="H65" i="2" s="1"/>
  <c r="F66" i="2"/>
  <c r="G66" i="2" s="1"/>
  <c r="H66" i="2" s="1"/>
  <c r="F67" i="2"/>
  <c r="G67" i="2" s="1"/>
  <c r="H67" i="2" s="1"/>
  <c r="F68" i="2"/>
  <c r="G68" i="2" s="1"/>
  <c r="H68" i="2" s="1"/>
  <c r="F69" i="2"/>
  <c r="G69" i="2" s="1"/>
  <c r="H69" i="2" s="1"/>
  <c r="F70" i="2"/>
  <c r="G70" i="2" s="1"/>
  <c r="H70" i="2" s="1"/>
  <c r="F71" i="2"/>
  <c r="G71" i="2" s="1"/>
  <c r="H71" i="2" s="1"/>
  <c r="F72" i="2"/>
  <c r="G72" i="2" s="1"/>
  <c r="H72" i="2" s="1"/>
  <c r="F73" i="2"/>
  <c r="G73" i="2" s="1"/>
  <c r="H73" i="2" s="1"/>
  <c r="F74" i="2"/>
  <c r="G74" i="2" s="1"/>
  <c r="H74" i="2" s="1"/>
  <c r="F75" i="2"/>
  <c r="G75" i="2" s="1"/>
  <c r="H75" i="2" s="1"/>
  <c r="F76" i="2"/>
  <c r="G76" i="2" s="1"/>
  <c r="H76" i="2" s="1"/>
  <c r="F77" i="2"/>
  <c r="G77" i="2" s="1"/>
  <c r="H77" i="2" s="1"/>
  <c r="F78" i="2"/>
  <c r="G78" i="2" s="1"/>
  <c r="H78" i="2" s="1"/>
  <c r="F79" i="2"/>
  <c r="G79" i="2" s="1"/>
  <c r="H79" i="2" s="1"/>
  <c r="F80" i="2"/>
  <c r="G80" i="2" s="1"/>
  <c r="H80" i="2" s="1"/>
  <c r="F81" i="2"/>
  <c r="G81" i="2" s="1"/>
  <c r="H81" i="2" s="1"/>
  <c r="F82" i="2"/>
  <c r="G82" i="2" s="1"/>
  <c r="H82" i="2" s="1"/>
  <c r="F83" i="2"/>
  <c r="G83" i="2" s="1"/>
  <c r="H83" i="2" s="1"/>
  <c r="F84" i="2"/>
  <c r="G84" i="2" s="1"/>
  <c r="H84" i="2" s="1"/>
  <c r="F85" i="2"/>
  <c r="G85" i="2" s="1"/>
  <c r="H85" i="2" s="1"/>
  <c r="F86" i="2"/>
  <c r="G86" i="2" s="1"/>
  <c r="H86" i="2" s="1"/>
  <c r="F87" i="2"/>
  <c r="G87" i="2" s="1"/>
  <c r="H87" i="2" s="1"/>
  <c r="F88" i="2"/>
  <c r="G88" i="2" s="1"/>
  <c r="H88" i="2" s="1"/>
  <c r="F89" i="2"/>
  <c r="G89" i="2" s="1"/>
  <c r="H89" i="2" s="1"/>
  <c r="F90" i="2"/>
  <c r="G90" i="2" s="1"/>
  <c r="H90" i="2" s="1"/>
  <c r="F91" i="2"/>
  <c r="G91" i="2" s="1"/>
  <c r="H91" i="2" s="1"/>
  <c r="F92" i="2"/>
  <c r="G92" i="2" s="1"/>
  <c r="H92" i="2" s="1"/>
  <c r="F93" i="2"/>
  <c r="G93" i="2" s="1"/>
  <c r="H93" i="2" s="1"/>
  <c r="F94" i="2"/>
  <c r="G94" i="2" s="1"/>
  <c r="H94" i="2" s="1"/>
  <c r="F95" i="2"/>
  <c r="G95" i="2" s="1"/>
  <c r="H95" i="2" s="1"/>
  <c r="F96" i="2"/>
  <c r="G96" i="2" s="1"/>
  <c r="H96" i="2" s="1"/>
  <c r="F97" i="2"/>
  <c r="G97" i="2" s="1"/>
  <c r="H97" i="2" s="1"/>
  <c r="F98" i="2"/>
  <c r="G98" i="2" s="1"/>
  <c r="H98" i="2" s="1"/>
  <c r="F99" i="2"/>
  <c r="G99" i="2" s="1"/>
  <c r="H99" i="2" s="1"/>
  <c r="F100" i="2"/>
  <c r="G100" i="2" s="1"/>
  <c r="H100" i="2" s="1"/>
  <c r="F101" i="2"/>
  <c r="G101" i="2" s="1"/>
  <c r="H101" i="2" s="1"/>
  <c r="F102" i="2"/>
  <c r="G102" i="2" s="1"/>
  <c r="H102" i="2" s="1"/>
  <c r="F103" i="2"/>
  <c r="G103" i="2" s="1"/>
  <c r="H103" i="2" s="1"/>
  <c r="F104" i="2"/>
  <c r="G104" i="2" s="1"/>
  <c r="H104" i="2" s="1"/>
  <c r="F105" i="2"/>
  <c r="G105" i="2" s="1"/>
  <c r="H105" i="2" s="1"/>
  <c r="F106" i="2"/>
  <c r="G106" i="2" s="1"/>
  <c r="H106" i="2" s="1"/>
  <c r="F107" i="2"/>
  <c r="G107" i="2" s="1"/>
  <c r="H107" i="2" s="1"/>
  <c r="F108" i="2"/>
  <c r="G108" i="2" s="1"/>
  <c r="H108" i="2" s="1"/>
  <c r="F109" i="2"/>
  <c r="G109" i="2" s="1"/>
  <c r="H109" i="2" s="1"/>
  <c r="F110" i="2"/>
  <c r="G110" i="2" s="1"/>
  <c r="H110" i="2" s="1"/>
  <c r="F111" i="2"/>
  <c r="G111" i="2" s="1"/>
  <c r="H111" i="2" s="1"/>
  <c r="F112" i="2"/>
  <c r="G112" i="2" s="1"/>
  <c r="H112" i="2" s="1"/>
  <c r="F113" i="2"/>
  <c r="G113" i="2" s="1"/>
  <c r="H113" i="2" s="1"/>
  <c r="F114" i="2"/>
  <c r="G114" i="2" s="1"/>
  <c r="H114" i="2" s="1"/>
  <c r="F115" i="2"/>
  <c r="G115" i="2" s="1"/>
  <c r="H115" i="2" s="1"/>
  <c r="F116" i="2"/>
  <c r="G116" i="2" s="1"/>
  <c r="H116" i="2" s="1"/>
  <c r="F117" i="2"/>
  <c r="G117" i="2" s="1"/>
  <c r="H117" i="2" s="1"/>
  <c r="F118" i="2"/>
  <c r="G118" i="2" s="1"/>
  <c r="H118" i="2" s="1"/>
  <c r="F119" i="2"/>
  <c r="G119" i="2" s="1"/>
  <c r="H119" i="2" s="1"/>
  <c r="F120" i="2"/>
  <c r="G120" i="2" s="1"/>
  <c r="H120" i="2" s="1"/>
  <c r="F121" i="2"/>
  <c r="G121" i="2" s="1"/>
  <c r="H121" i="2" s="1"/>
  <c r="F122" i="2"/>
  <c r="G122" i="2" s="1"/>
  <c r="H122" i="2" s="1"/>
  <c r="F123" i="2"/>
  <c r="G123" i="2" s="1"/>
  <c r="H123" i="2" s="1"/>
  <c r="F124" i="2"/>
  <c r="G124" i="2" s="1"/>
  <c r="H124" i="2" s="1"/>
  <c r="F125" i="2"/>
  <c r="G125" i="2" s="1"/>
  <c r="H125" i="2" s="1"/>
  <c r="F126" i="2"/>
  <c r="G126" i="2" s="1"/>
  <c r="H126" i="2" s="1"/>
  <c r="F127" i="2"/>
  <c r="G127" i="2" s="1"/>
  <c r="H127" i="2" s="1"/>
  <c r="F128" i="2"/>
  <c r="G128" i="2" s="1"/>
  <c r="H128" i="2" s="1"/>
  <c r="F129" i="2"/>
  <c r="G129" i="2" s="1"/>
  <c r="H129" i="2" s="1"/>
  <c r="F130" i="2"/>
  <c r="G130" i="2" s="1"/>
  <c r="H130" i="2" s="1"/>
  <c r="F131" i="2"/>
  <c r="G131" i="2" s="1"/>
  <c r="H131" i="2" s="1"/>
  <c r="F132" i="2"/>
  <c r="G132" i="2" s="1"/>
  <c r="H132" i="2" s="1"/>
  <c r="F133" i="2"/>
  <c r="G133" i="2" s="1"/>
  <c r="H133" i="2" s="1"/>
  <c r="F134" i="2"/>
  <c r="G134" i="2" s="1"/>
  <c r="H134" i="2" s="1"/>
  <c r="F135" i="2"/>
  <c r="G135" i="2" s="1"/>
  <c r="H135" i="2" s="1"/>
  <c r="F136" i="2"/>
  <c r="G136" i="2" s="1"/>
  <c r="H136" i="2" s="1"/>
  <c r="F137" i="2"/>
  <c r="G137" i="2" s="1"/>
  <c r="H137" i="2" s="1"/>
  <c r="F138" i="2"/>
  <c r="G138" i="2" s="1"/>
  <c r="H138" i="2" s="1"/>
  <c r="F139" i="2"/>
  <c r="G139" i="2" s="1"/>
  <c r="H139" i="2" s="1"/>
  <c r="F140" i="2"/>
  <c r="G140" i="2" s="1"/>
  <c r="H140" i="2" s="1"/>
  <c r="F141" i="2"/>
  <c r="G141" i="2" s="1"/>
  <c r="H141" i="2" s="1"/>
  <c r="F142" i="2"/>
  <c r="G142" i="2" s="1"/>
  <c r="H142" i="2" s="1"/>
  <c r="F143" i="2"/>
  <c r="G143" i="2" s="1"/>
  <c r="H143" i="2" s="1"/>
  <c r="F144" i="2"/>
  <c r="G144" i="2" s="1"/>
  <c r="H144" i="2" s="1"/>
  <c r="F145" i="2"/>
  <c r="G145" i="2" s="1"/>
  <c r="H145" i="2" s="1"/>
  <c r="F146" i="2"/>
  <c r="G146" i="2" s="1"/>
  <c r="H146" i="2" s="1"/>
  <c r="F147" i="2"/>
  <c r="G147" i="2" s="1"/>
  <c r="H147" i="2" s="1"/>
  <c r="F148" i="2"/>
  <c r="G148" i="2" s="1"/>
  <c r="H148" i="2" s="1"/>
  <c r="F149" i="2"/>
  <c r="G149" i="2" s="1"/>
  <c r="H149" i="2" s="1"/>
  <c r="F150" i="2"/>
  <c r="G150" i="2" s="1"/>
  <c r="H150" i="2" s="1"/>
  <c r="F151" i="2"/>
  <c r="G151" i="2" s="1"/>
  <c r="H151" i="2" s="1"/>
  <c r="F152" i="2"/>
  <c r="G152" i="2" s="1"/>
  <c r="H152" i="2" s="1"/>
  <c r="F153" i="2"/>
  <c r="G153" i="2" s="1"/>
  <c r="H153" i="2" s="1"/>
  <c r="F154" i="2"/>
  <c r="G154" i="2" s="1"/>
  <c r="H154" i="2" s="1"/>
  <c r="F155" i="2"/>
  <c r="G155" i="2" s="1"/>
  <c r="H155" i="2" s="1"/>
  <c r="F156" i="2"/>
  <c r="G156" i="2" s="1"/>
  <c r="H156" i="2" s="1"/>
  <c r="F157" i="2"/>
  <c r="G157" i="2" s="1"/>
  <c r="H157" i="2" s="1"/>
  <c r="F158" i="2"/>
  <c r="G158" i="2" s="1"/>
  <c r="H158" i="2" s="1"/>
  <c r="F159" i="2"/>
  <c r="G159" i="2" s="1"/>
  <c r="H159" i="2" s="1"/>
  <c r="F160" i="2"/>
  <c r="G160" i="2" s="1"/>
  <c r="H160" i="2" s="1"/>
  <c r="F161" i="2"/>
  <c r="G161" i="2" s="1"/>
  <c r="H161" i="2" s="1"/>
  <c r="F162" i="2"/>
  <c r="G162" i="2" s="1"/>
  <c r="H162" i="2" s="1"/>
  <c r="F163" i="2"/>
  <c r="G163" i="2" s="1"/>
  <c r="H163" i="2" s="1"/>
  <c r="F164" i="2"/>
  <c r="G164" i="2" s="1"/>
  <c r="H164" i="2" s="1"/>
  <c r="F165" i="2"/>
  <c r="G165" i="2" s="1"/>
  <c r="H165" i="2" s="1"/>
  <c r="F166" i="2"/>
  <c r="G166" i="2" s="1"/>
  <c r="H166" i="2" s="1"/>
  <c r="F167" i="2"/>
  <c r="G167" i="2" s="1"/>
  <c r="H167" i="2" s="1"/>
  <c r="F168" i="2"/>
  <c r="G168" i="2" s="1"/>
  <c r="H168" i="2" s="1"/>
  <c r="F169" i="2"/>
  <c r="G169" i="2" s="1"/>
  <c r="H169" i="2" s="1"/>
  <c r="F170" i="2"/>
  <c r="G170" i="2" s="1"/>
  <c r="H170" i="2" s="1"/>
  <c r="F171" i="2"/>
  <c r="G171" i="2" s="1"/>
  <c r="H171" i="2" s="1"/>
  <c r="F172" i="2"/>
  <c r="G172" i="2" s="1"/>
  <c r="H172" i="2" s="1"/>
  <c r="F173" i="2"/>
  <c r="G173" i="2" s="1"/>
  <c r="H173" i="2" s="1"/>
  <c r="F174" i="2"/>
  <c r="G174" i="2" s="1"/>
  <c r="H174" i="2" s="1"/>
  <c r="F175" i="2"/>
  <c r="G175" i="2" s="1"/>
  <c r="H175" i="2" s="1"/>
  <c r="F176" i="2"/>
  <c r="G176" i="2" s="1"/>
  <c r="H176" i="2" s="1"/>
  <c r="F177" i="2"/>
  <c r="G177" i="2" s="1"/>
  <c r="H177" i="2" s="1"/>
  <c r="F178" i="2"/>
  <c r="G178" i="2" s="1"/>
  <c r="H178" i="2" s="1"/>
  <c r="F179" i="2"/>
  <c r="G179" i="2" s="1"/>
  <c r="H179" i="2" s="1"/>
  <c r="F180" i="2"/>
  <c r="G180" i="2" s="1"/>
  <c r="H180" i="2" s="1"/>
  <c r="F181" i="2"/>
  <c r="G181" i="2" s="1"/>
  <c r="H181" i="2" s="1"/>
  <c r="F182" i="2"/>
  <c r="G182" i="2" s="1"/>
  <c r="H182" i="2" s="1"/>
  <c r="F183" i="2"/>
  <c r="G183" i="2" s="1"/>
  <c r="H183" i="2" s="1"/>
  <c r="F184" i="2"/>
  <c r="G184" i="2" s="1"/>
  <c r="H184" i="2" s="1"/>
  <c r="F185" i="2"/>
  <c r="G185" i="2" s="1"/>
  <c r="H185" i="2" s="1"/>
  <c r="F186" i="2"/>
  <c r="G186" i="2" s="1"/>
  <c r="H186" i="2" s="1"/>
  <c r="F187" i="2"/>
  <c r="G187" i="2" s="1"/>
  <c r="H187" i="2" s="1"/>
  <c r="F188" i="2"/>
  <c r="G188" i="2" s="1"/>
  <c r="H188" i="2" s="1"/>
  <c r="F189" i="2"/>
  <c r="G189" i="2" s="1"/>
  <c r="H189" i="2" s="1"/>
  <c r="F190" i="2"/>
  <c r="G190" i="2" s="1"/>
  <c r="H190" i="2" s="1"/>
  <c r="F191" i="2"/>
  <c r="G191" i="2" s="1"/>
  <c r="H191" i="2" s="1"/>
  <c r="F192" i="2"/>
  <c r="G192" i="2" s="1"/>
  <c r="H192" i="2" s="1"/>
  <c r="F193" i="2"/>
  <c r="G193" i="2" s="1"/>
  <c r="H193" i="2" s="1"/>
  <c r="F194" i="2"/>
  <c r="G194" i="2" s="1"/>
  <c r="H194" i="2" s="1"/>
  <c r="F195" i="2"/>
  <c r="G195" i="2" s="1"/>
  <c r="H195" i="2" s="1"/>
  <c r="F196" i="2"/>
  <c r="G196" i="2" s="1"/>
  <c r="H196" i="2" s="1"/>
  <c r="F197" i="2"/>
  <c r="G197" i="2" s="1"/>
  <c r="H197" i="2" s="1"/>
  <c r="F198" i="2"/>
  <c r="G198" i="2" s="1"/>
  <c r="H198" i="2" s="1"/>
  <c r="F199" i="2"/>
  <c r="G199" i="2" s="1"/>
  <c r="H199" i="2" s="1"/>
  <c r="F200" i="2"/>
  <c r="G200" i="2" s="1"/>
  <c r="H200" i="2" s="1"/>
  <c r="F201" i="2"/>
  <c r="G201" i="2" s="1"/>
  <c r="H201" i="2" s="1"/>
  <c r="F202" i="2"/>
  <c r="G202" i="2" s="1"/>
  <c r="H202" i="2" s="1"/>
  <c r="F203" i="2"/>
  <c r="G203" i="2" s="1"/>
  <c r="H203" i="2" s="1"/>
  <c r="F204" i="2"/>
  <c r="G204" i="2" s="1"/>
  <c r="H204" i="2" s="1"/>
  <c r="F205" i="2"/>
  <c r="G205" i="2" s="1"/>
  <c r="H205" i="2" s="1"/>
  <c r="F206" i="2"/>
  <c r="G206" i="2" s="1"/>
  <c r="H206" i="2" s="1"/>
  <c r="F207" i="2"/>
  <c r="G207" i="2" s="1"/>
  <c r="H207" i="2" s="1"/>
  <c r="F208" i="2"/>
  <c r="G208" i="2" s="1"/>
  <c r="H208" i="2" s="1"/>
  <c r="F209" i="2"/>
  <c r="G209" i="2" s="1"/>
  <c r="H209" i="2" s="1"/>
  <c r="F210" i="2"/>
  <c r="G210" i="2" s="1"/>
  <c r="H210" i="2" s="1"/>
  <c r="F211" i="2"/>
  <c r="G211" i="2" s="1"/>
  <c r="H211" i="2" s="1"/>
  <c r="F212" i="2"/>
  <c r="G212" i="2" s="1"/>
  <c r="H212" i="2" s="1"/>
  <c r="F213" i="2"/>
  <c r="G213" i="2" s="1"/>
  <c r="H213" i="2" s="1"/>
  <c r="F214" i="2"/>
  <c r="G214" i="2" s="1"/>
  <c r="H214" i="2" s="1"/>
  <c r="F215" i="2"/>
  <c r="G215" i="2" s="1"/>
  <c r="H215" i="2" s="1"/>
  <c r="F216" i="2"/>
  <c r="G216" i="2" s="1"/>
  <c r="H216" i="2" s="1"/>
  <c r="F217" i="2"/>
  <c r="G217" i="2" s="1"/>
  <c r="H217" i="2" s="1"/>
  <c r="F218" i="2"/>
  <c r="G218" i="2" s="1"/>
  <c r="H218" i="2" s="1"/>
  <c r="F219" i="2"/>
  <c r="G219" i="2" s="1"/>
  <c r="H219" i="2" s="1"/>
  <c r="F220" i="2"/>
  <c r="G220" i="2" s="1"/>
  <c r="H220" i="2" s="1"/>
  <c r="F221" i="2"/>
  <c r="G221" i="2" s="1"/>
  <c r="H221" i="2" s="1"/>
  <c r="F222" i="2"/>
  <c r="G222" i="2" s="1"/>
  <c r="H222" i="2" s="1"/>
  <c r="F223" i="2"/>
  <c r="G223" i="2" s="1"/>
  <c r="H223" i="2" s="1"/>
  <c r="F224" i="2"/>
  <c r="G224" i="2" s="1"/>
  <c r="H224" i="2" s="1"/>
  <c r="F225" i="2"/>
  <c r="G225" i="2" s="1"/>
  <c r="H225" i="2" s="1"/>
  <c r="F226" i="2"/>
  <c r="G226" i="2" s="1"/>
  <c r="H226" i="2" s="1"/>
  <c r="F227" i="2"/>
  <c r="G227" i="2" s="1"/>
  <c r="H227" i="2" s="1"/>
  <c r="F228" i="2"/>
  <c r="G228" i="2" s="1"/>
  <c r="H228" i="2" s="1"/>
  <c r="F229" i="2"/>
  <c r="G229" i="2" s="1"/>
  <c r="H229" i="2" s="1"/>
  <c r="F230" i="2"/>
  <c r="G230" i="2" s="1"/>
  <c r="H230" i="2" s="1"/>
  <c r="F231" i="2"/>
  <c r="G231" i="2" s="1"/>
  <c r="H231" i="2" s="1"/>
  <c r="F232" i="2"/>
  <c r="G232" i="2" s="1"/>
  <c r="H232" i="2" s="1"/>
  <c r="F233" i="2"/>
  <c r="G233" i="2" s="1"/>
  <c r="H233" i="2" s="1"/>
  <c r="F234" i="2"/>
  <c r="G234" i="2" s="1"/>
  <c r="H234" i="2" s="1"/>
  <c r="F235" i="2"/>
  <c r="G235" i="2" s="1"/>
  <c r="H235" i="2" s="1"/>
  <c r="F236" i="2"/>
  <c r="G236" i="2" s="1"/>
  <c r="H236" i="2" s="1"/>
  <c r="F237" i="2"/>
  <c r="G237" i="2" s="1"/>
  <c r="H237" i="2" s="1"/>
  <c r="F238" i="2"/>
  <c r="G238" i="2" s="1"/>
  <c r="H238" i="2" s="1"/>
  <c r="F239" i="2"/>
  <c r="G239" i="2" s="1"/>
  <c r="H239" i="2" s="1"/>
  <c r="F240" i="2"/>
  <c r="G240" i="2" s="1"/>
  <c r="H240" i="2" s="1"/>
  <c r="F241" i="2"/>
  <c r="G241" i="2" s="1"/>
  <c r="H241" i="2" s="1"/>
  <c r="F242" i="2"/>
  <c r="G242" i="2" s="1"/>
  <c r="H242" i="2" s="1"/>
  <c r="F243" i="2"/>
  <c r="G243" i="2" s="1"/>
  <c r="H243" i="2" s="1"/>
  <c r="F244" i="2"/>
  <c r="G244" i="2" s="1"/>
  <c r="H244" i="2" s="1"/>
  <c r="F245" i="2"/>
  <c r="G245" i="2" s="1"/>
  <c r="H245" i="2" s="1"/>
  <c r="F246" i="2"/>
  <c r="G246" i="2" s="1"/>
  <c r="H246" i="2" s="1"/>
  <c r="F247" i="2"/>
  <c r="G247" i="2" s="1"/>
  <c r="H247" i="2" s="1"/>
  <c r="F248" i="2"/>
  <c r="G248" i="2" s="1"/>
  <c r="H248" i="2" s="1"/>
  <c r="F249" i="2"/>
  <c r="G249" i="2" s="1"/>
  <c r="H249" i="2" s="1"/>
  <c r="F250" i="2"/>
  <c r="G250" i="2" s="1"/>
  <c r="H250" i="2" s="1"/>
  <c r="F251" i="2"/>
  <c r="G251" i="2" s="1"/>
  <c r="H251" i="2" s="1"/>
  <c r="F252" i="2"/>
  <c r="G252" i="2" s="1"/>
  <c r="H252" i="2" s="1"/>
  <c r="F253" i="2"/>
  <c r="G253" i="2" s="1"/>
  <c r="H253" i="2" s="1"/>
  <c r="F254" i="2"/>
  <c r="G254" i="2" s="1"/>
  <c r="H254" i="2" s="1"/>
  <c r="F255" i="2"/>
  <c r="G255" i="2" s="1"/>
  <c r="H255" i="2" s="1"/>
  <c r="F256" i="2"/>
  <c r="G256" i="2" s="1"/>
  <c r="H256" i="2" s="1"/>
  <c r="F257" i="2"/>
  <c r="G257" i="2" s="1"/>
  <c r="H257" i="2" s="1"/>
  <c r="F258" i="2"/>
  <c r="G258" i="2" s="1"/>
  <c r="H258" i="2" s="1"/>
  <c r="F259" i="2"/>
  <c r="G259" i="2" s="1"/>
  <c r="H259" i="2" s="1"/>
  <c r="F260" i="2"/>
  <c r="G260" i="2" s="1"/>
  <c r="H260" i="2" s="1"/>
  <c r="F261" i="2"/>
  <c r="G261" i="2" s="1"/>
  <c r="H261" i="2" s="1"/>
  <c r="F262" i="2"/>
  <c r="G262" i="2" s="1"/>
  <c r="H262" i="2" s="1"/>
  <c r="F263" i="2"/>
  <c r="G263" i="2" s="1"/>
  <c r="H263" i="2" s="1"/>
  <c r="F264" i="2"/>
  <c r="G264" i="2" s="1"/>
  <c r="H264" i="2" s="1"/>
  <c r="F265" i="2"/>
  <c r="G265" i="2" s="1"/>
  <c r="H265" i="2" s="1"/>
  <c r="F266" i="2"/>
  <c r="G266" i="2" s="1"/>
  <c r="H266" i="2" s="1"/>
  <c r="F267" i="2"/>
  <c r="G267" i="2" s="1"/>
  <c r="H267" i="2" s="1"/>
  <c r="F268" i="2"/>
  <c r="G268" i="2" s="1"/>
  <c r="H268" i="2" s="1"/>
  <c r="F269" i="2"/>
  <c r="G269" i="2" s="1"/>
  <c r="H269" i="2" s="1"/>
  <c r="F270" i="2"/>
  <c r="G270" i="2" s="1"/>
  <c r="H270" i="2" s="1"/>
  <c r="F271" i="2"/>
  <c r="G271" i="2" s="1"/>
  <c r="H271" i="2" s="1"/>
  <c r="F272" i="2"/>
  <c r="G272" i="2" s="1"/>
  <c r="H272" i="2" s="1"/>
  <c r="F273" i="2"/>
  <c r="G273" i="2" s="1"/>
  <c r="H273" i="2" s="1"/>
  <c r="F274" i="2"/>
  <c r="G274" i="2" s="1"/>
  <c r="H274" i="2" s="1"/>
  <c r="F275" i="2"/>
  <c r="G275" i="2" s="1"/>
  <c r="H275" i="2" s="1"/>
  <c r="F276" i="2"/>
  <c r="G276" i="2" s="1"/>
  <c r="H276" i="2" s="1"/>
  <c r="F277" i="2"/>
  <c r="G277" i="2" s="1"/>
  <c r="H277" i="2" s="1"/>
  <c r="F278" i="2"/>
  <c r="G278" i="2" s="1"/>
  <c r="H278" i="2" s="1"/>
  <c r="F279" i="2"/>
  <c r="G279" i="2" s="1"/>
  <c r="H279" i="2" s="1"/>
  <c r="F280" i="2"/>
  <c r="G280" i="2" s="1"/>
  <c r="H280" i="2" s="1"/>
  <c r="F281" i="2"/>
  <c r="G281" i="2" s="1"/>
  <c r="H281" i="2" s="1"/>
  <c r="F282" i="2"/>
  <c r="G282" i="2" s="1"/>
  <c r="H282" i="2" s="1"/>
  <c r="F283" i="2"/>
  <c r="G283" i="2" s="1"/>
  <c r="H283" i="2" s="1"/>
  <c r="F284" i="2"/>
  <c r="G284" i="2" s="1"/>
  <c r="H284" i="2" s="1"/>
  <c r="F285" i="2"/>
  <c r="G285" i="2" s="1"/>
  <c r="H285" i="2" s="1"/>
  <c r="F286" i="2"/>
  <c r="G286" i="2" s="1"/>
  <c r="H286" i="2" s="1"/>
  <c r="F287" i="2"/>
  <c r="G287" i="2" s="1"/>
  <c r="H287" i="2" s="1"/>
  <c r="F288" i="2"/>
  <c r="G288" i="2" s="1"/>
  <c r="H288" i="2" s="1"/>
  <c r="F289" i="2"/>
  <c r="G289" i="2" s="1"/>
  <c r="H289" i="2" s="1"/>
  <c r="F290" i="2"/>
  <c r="G290" i="2" s="1"/>
  <c r="H290" i="2" s="1"/>
  <c r="F291" i="2"/>
  <c r="G291" i="2" s="1"/>
  <c r="H291" i="2" s="1"/>
  <c r="F292" i="2"/>
  <c r="G292" i="2" s="1"/>
  <c r="H292" i="2" s="1"/>
  <c r="F293" i="2"/>
  <c r="G293" i="2" s="1"/>
  <c r="H293" i="2" s="1"/>
  <c r="F294" i="2"/>
  <c r="G294" i="2" s="1"/>
  <c r="H294" i="2" s="1"/>
  <c r="F295" i="2"/>
  <c r="G295" i="2" s="1"/>
  <c r="H295" i="2" s="1"/>
  <c r="F296" i="2"/>
  <c r="G296" i="2" s="1"/>
  <c r="H296" i="2" s="1"/>
  <c r="F297" i="2"/>
  <c r="G297" i="2" s="1"/>
  <c r="H297" i="2" s="1"/>
  <c r="F298" i="2"/>
  <c r="G298" i="2" s="1"/>
  <c r="H298" i="2" s="1"/>
  <c r="F299" i="2"/>
  <c r="G299" i="2" s="1"/>
  <c r="H299" i="2" s="1"/>
  <c r="F300" i="2"/>
  <c r="G300" i="2" s="1"/>
  <c r="H300" i="2" s="1"/>
  <c r="F301" i="2"/>
  <c r="G301" i="2" s="1"/>
  <c r="H301" i="2" s="1"/>
  <c r="F302" i="2"/>
  <c r="G302" i="2" s="1"/>
  <c r="H302" i="2" s="1"/>
  <c r="F303" i="2"/>
  <c r="G303" i="2" s="1"/>
  <c r="H303" i="2" s="1"/>
  <c r="F304" i="2"/>
  <c r="G304" i="2" s="1"/>
  <c r="H304" i="2" s="1"/>
  <c r="F305" i="2"/>
  <c r="G305" i="2" s="1"/>
  <c r="H305" i="2" s="1"/>
  <c r="F306" i="2"/>
  <c r="G306" i="2" s="1"/>
  <c r="H306" i="2" s="1"/>
  <c r="F307" i="2"/>
  <c r="G307" i="2" s="1"/>
  <c r="H307" i="2" s="1"/>
  <c r="F308" i="2"/>
  <c r="G308" i="2" s="1"/>
  <c r="H308" i="2" s="1"/>
  <c r="F309" i="2"/>
  <c r="G309" i="2" s="1"/>
  <c r="H309" i="2" s="1"/>
  <c r="F310" i="2"/>
  <c r="G310" i="2" s="1"/>
  <c r="H310" i="2" s="1"/>
  <c r="F311" i="2"/>
  <c r="G311" i="2" s="1"/>
  <c r="H311" i="2" s="1"/>
  <c r="F312" i="2"/>
  <c r="G312" i="2" s="1"/>
  <c r="H312" i="2" s="1"/>
  <c r="F313" i="2"/>
  <c r="G313" i="2" s="1"/>
  <c r="H313" i="2" s="1"/>
  <c r="F314" i="2"/>
  <c r="G314" i="2" s="1"/>
  <c r="H314" i="2" s="1"/>
  <c r="F315" i="2"/>
  <c r="G315" i="2" s="1"/>
  <c r="H315" i="2" s="1"/>
  <c r="F316" i="2"/>
  <c r="G316" i="2" s="1"/>
  <c r="H316" i="2" s="1"/>
  <c r="F317" i="2"/>
  <c r="G317" i="2" s="1"/>
  <c r="H317" i="2" s="1"/>
  <c r="F318" i="2"/>
  <c r="G318" i="2" s="1"/>
  <c r="H318" i="2" s="1"/>
  <c r="F319" i="2"/>
  <c r="G319" i="2" s="1"/>
  <c r="H319" i="2" s="1"/>
  <c r="F320" i="2"/>
  <c r="G320" i="2" s="1"/>
  <c r="H320" i="2" s="1"/>
  <c r="F321" i="2"/>
  <c r="G321" i="2" s="1"/>
  <c r="H321" i="2" s="1"/>
  <c r="F322" i="2"/>
  <c r="G322" i="2" s="1"/>
  <c r="H322" i="2" s="1"/>
  <c r="F323" i="2"/>
  <c r="G323" i="2" s="1"/>
  <c r="H323" i="2" s="1"/>
  <c r="F324" i="2"/>
  <c r="G324" i="2" s="1"/>
  <c r="H324" i="2" s="1"/>
  <c r="F325" i="2"/>
  <c r="G325" i="2" s="1"/>
  <c r="H325" i="2" s="1"/>
  <c r="F326" i="2"/>
  <c r="G326" i="2" s="1"/>
  <c r="H326" i="2" s="1"/>
  <c r="F327" i="2"/>
  <c r="G327" i="2" s="1"/>
  <c r="H327" i="2" s="1"/>
  <c r="F328" i="2"/>
  <c r="G328" i="2" s="1"/>
  <c r="H328" i="2" s="1"/>
  <c r="F329" i="2"/>
  <c r="G329" i="2" s="1"/>
  <c r="H329" i="2" s="1"/>
  <c r="F330" i="2"/>
  <c r="G330" i="2" s="1"/>
  <c r="H330" i="2" s="1"/>
  <c r="F331" i="2"/>
  <c r="G331" i="2" s="1"/>
  <c r="H331" i="2" s="1"/>
  <c r="F332" i="2"/>
  <c r="G332" i="2" s="1"/>
  <c r="H332" i="2" s="1"/>
  <c r="F333" i="2"/>
  <c r="G333" i="2" s="1"/>
  <c r="H333" i="2" s="1"/>
  <c r="F334" i="2"/>
  <c r="G334" i="2" s="1"/>
  <c r="H334" i="2" s="1"/>
  <c r="F335" i="2"/>
  <c r="G335" i="2" s="1"/>
  <c r="H335" i="2" s="1"/>
  <c r="F336" i="2"/>
  <c r="G336" i="2" s="1"/>
  <c r="H336" i="2" s="1"/>
  <c r="F337" i="2"/>
  <c r="G337" i="2" s="1"/>
  <c r="H337" i="2" s="1"/>
  <c r="F338" i="2"/>
  <c r="G338" i="2" s="1"/>
  <c r="H338" i="2" s="1"/>
  <c r="F339" i="2"/>
  <c r="G339" i="2" s="1"/>
  <c r="H339" i="2" s="1"/>
  <c r="F340" i="2"/>
  <c r="G340" i="2" s="1"/>
  <c r="H340" i="2" s="1"/>
  <c r="F341" i="2"/>
  <c r="G341" i="2" s="1"/>
  <c r="H341" i="2" s="1"/>
  <c r="F342" i="2"/>
  <c r="G342" i="2" s="1"/>
  <c r="H342" i="2" s="1"/>
  <c r="F343" i="2"/>
  <c r="G343" i="2" s="1"/>
  <c r="H343" i="2" s="1"/>
  <c r="F344" i="2"/>
  <c r="G344" i="2" s="1"/>
  <c r="H344" i="2" s="1"/>
  <c r="F345" i="2"/>
  <c r="G345" i="2" s="1"/>
  <c r="H345" i="2" s="1"/>
  <c r="F346" i="2"/>
  <c r="G346" i="2" s="1"/>
  <c r="H346" i="2" s="1"/>
  <c r="F347" i="2"/>
  <c r="G347" i="2" s="1"/>
  <c r="H347" i="2" s="1"/>
  <c r="F348" i="2"/>
  <c r="G348" i="2" s="1"/>
  <c r="H348" i="2" s="1"/>
  <c r="F349" i="2"/>
  <c r="G349" i="2" s="1"/>
  <c r="H349" i="2" s="1"/>
  <c r="F350" i="2"/>
  <c r="G350" i="2" s="1"/>
  <c r="H350" i="2" s="1"/>
  <c r="F351" i="2"/>
  <c r="G351" i="2" s="1"/>
  <c r="H351" i="2" s="1"/>
  <c r="F352" i="2"/>
  <c r="G352" i="2" s="1"/>
  <c r="H352" i="2" s="1"/>
  <c r="F353" i="2"/>
  <c r="G353" i="2" s="1"/>
  <c r="H353" i="2" s="1"/>
  <c r="F354" i="2"/>
  <c r="G354" i="2" s="1"/>
  <c r="H354" i="2" s="1"/>
  <c r="F355" i="2"/>
  <c r="G355" i="2" s="1"/>
  <c r="H355" i="2" s="1"/>
  <c r="F356" i="2"/>
  <c r="G356" i="2" s="1"/>
  <c r="H356" i="2" s="1"/>
  <c r="F357" i="2"/>
  <c r="G357" i="2" s="1"/>
  <c r="H357" i="2" s="1"/>
  <c r="F358" i="2"/>
  <c r="G358" i="2" s="1"/>
  <c r="H358" i="2" s="1"/>
  <c r="F359" i="2"/>
  <c r="G359" i="2" s="1"/>
  <c r="H359" i="2" s="1"/>
  <c r="F360" i="2"/>
  <c r="G360" i="2" s="1"/>
  <c r="H360" i="2" s="1"/>
  <c r="F361" i="2"/>
  <c r="G361" i="2" s="1"/>
  <c r="H361" i="2" s="1"/>
  <c r="F362" i="2"/>
  <c r="G362" i="2" s="1"/>
  <c r="H362" i="2" s="1"/>
  <c r="F363" i="2"/>
  <c r="G363" i="2" s="1"/>
  <c r="H363" i="2" s="1"/>
  <c r="F364" i="2"/>
  <c r="G364" i="2" s="1"/>
  <c r="H364" i="2" s="1"/>
  <c r="F365" i="2"/>
  <c r="G365" i="2" s="1"/>
  <c r="H365" i="2" s="1"/>
  <c r="F366" i="2"/>
  <c r="G366" i="2" s="1"/>
  <c r="H366" i="2" s="1"/>
  <c r="F367" i="2"/>
  <c r="G367" i="2" s="1"/>
  <c r="H367" i="2" s="1"/>
  <c r="F368" i="2"/>
  <c r="G368" i="2" s="1"/>
  <c r="H368" i="2" s="1"/>
  <c r="F369" i="2"/>
  <c r="G369" i="2" s="1"/>
  <c r="H369" i="2" s="1"/>
  <c r="F370" i="2"/>
  <c r="G370" i="2" s="1"/>
  <c r="H370" i="2" s="1"/>
  <c r="F371" i="2"/>
  <c r="G371" i="2" s="1"/>
  <c r="H371" i="2" s="1"/>
  <c r="F372" i="2"/>
  <c r="G372" i="2" s="1"/>
  <c r="H372" i="2" s="1"/>
  <c r="F373" i="2"/>
  <c r="G373" i="2" s="1"/>
  <c r="H373" i="2" s="1"/>
  <c r="F374" i="2"/>
  <c r="G374" i="2" s="1"/>
  <c r="H374" i="2" s="1"/>
  <c r="F375" i="2"/>
  <c r="G375" i="2" s="1"/>
  <c r="H375" i="2" s="1"/>
  <c r="F376" i="2"/>
  <c r="G376" i="2" s="1"/>
  <c r="H376" i="2" s="1"/>
  <c r="F377" i="2"/>
  <c r="G377" i="2" s="1"/>
  <c r="H377" i="2" s="1"/>
  <c r="F378" i="2"/>
  <c r="G378" i="2" s="1"/>
  <c r="H378" i="2" s="1"/>
  <c r="F379" i="2"/>
  <c r="G379" i="2" s="1"/>
  <c r="H379" i="2" s="1"/>
  <c r="F380" i="2"/>
  <c r="G380" i="2" s="1"/>
  <c r="H380" i="2" s="1"/>
  <c r="F381" i="2"/>
  <c r="G381" i="2" s="1"/>
  <c r="H381" i="2" s="1"/>
  <c r="F382" i="2"/>
  <c r="G382" i="2" s="1"/>
  <c r="H382" i="2" s="1"/>
  <c r="F383" i="2"/>
  <c r="G383" i="2" s="1"/>
  <c r="H383" i="2" s="1"/>
  <c r="F384" i="2"/>
  <c r="G384" i="2" s="1"/>
  <c r="H384" i="2" s="1"/>
  <c r="F385" i="2"/>
  <c r="G385" i="2" s="1"/>
  <c r="H385" i="2" s="1"/>
  <c r="F386" i="2"/>
  <c r="G386" i="2" s="1"/>
  <c r="H386" i="2" s="1"/>
  <c r="F387" i="2"/>
  <c r="G387" i="2" s="1"/>
  <c r="H387" i="2" s="1"/>
  <c r="F388" i="2"/>
  <c r="G388" i="2" s="1"/>
  <c r="H388" i="2" s="1"/>
  <c r="F389" i="2"/>
  <c r="G389" i="2" s="1"/>
  <c r="H389" i="2" s="1"/>
  <c r="F390" i="2"/>
  <c r="G390" i="2" s="1"/>
  <c r="H390" i="2" s="1"/>
  <c r="F391" i="2"/>
  <c r="G391" i="2" s="1"/>
  <c r="H391" i="2" s="1"/>
  <c r="F392" i="2"/>
  <c r="G392" i="2" s="1"/>
  <c r="H392" i="2" s="1"/>
  <c r="F393" i="2"/>
  <c r="G393" i="2" s="1"/>
  <c r="H393" i="2" s="1"/>
  <c r="F394" i="2"/>
  <c r="G394" i="2" s="1"/>
  <c r="H394" i="2" s="1"/>
  <c r="F395" i="2"/>
  <c r="G395" i="2" s="1"/>
  <c r="H395" i="2" s="1"/>
  <c r="F396" i="2"/>
  <c r="G396" i="2" s="1"/>
  <c r="H396" i="2" s="1"/>
  <c r="F397" i="2"/>
  <c r="G397" i="2" s="1"/>
  <c r="H397" i="2" s="1"/>
  <c r="F398" i="2"/>
  <c r="G398" i="2" s="1"/>
  <c r="H398" i="2" s="1"/>
  <c r="F399" i="2"/>
  <c r="G399" i="2" s="1"/>
  <c r="H399" i="2" s="1"/>
  <c r="F400" i="2"/>
  <c r="G400" i="2" s="1"/>
  <c r="H400" i="2" s="1"/>
  <c r="F401" i="2"/>
  <c r="G401" i="2" s="1"/>
  <c r="H401" i="2" s="1"/>
  <c r="F402" i="2"/>
  <c r="G402" i="2" s="1"/>
  <c r="H402" i="2" s="1"/>
  <c r="F403" i="2"/>
  <c r="G403" i="2" s="1"/>
  <c r="H403" i="2" s="1"/>
  <c r="F404" i="2"/>
  <c r="G404" i="2" s="1"/>
  <c r="H404" i="2" s="1"/>
  <c r="F405" i="2"/>
  <c r="G405" i="2" s="1"/>
  <c r="H405" i="2" s="1"/>
  <c r="F406" i="2"/>
  <c r="G406" i="2" s="1"/>
  <c r="H406" i="2" s="1"/>
  <c r="F407" i="2"/>
  <c r="G407" i="2" s="1"/>
  <c r="H407" i="2" s="1"/>
  <c r="F408" i="2"/>
  <c r="G408" i="2" s="1"/>
  <c r="H408" i="2" s="1"/>
  <c r="F409" i="2"/>
  <c r="G409" i="2" s="1"/>
  <c r="H409" i="2" s="1"/>
  <c r="F410" i="2"/>
  <c r="G410" i="2" s="1"/>
  <c r="H410" i="2" s="1"/>
  <c r="F411" i="2"/>
  <c r="G411" i="2" s="1"/>
  <c r="H411" i="2" s="1"/>
  <c r="F412" i="2"/>
  <c r="G412" i="2" s="1"/>
  <c r="H412" i="2" s="1"/>
  <c r="F413" i="2"/>
  <c r="G413" i="2" s="1"/>
  <c r="H413" i="2" s="1"/>
  <c r="F414" i="2"/>
  <c r="G414" i="2" s="1"/>
  <c r="H414" i="2" s="1"/>
  <c r="F415" i="2"/>
  <c r="G415" i="2" s="1"/>
  <c r="H415" i="2" s="1"/>
  <c r="F416" i="2"/>
  <c r="G416" i="2" s="1"/>
  <c r="H416" i="2" s="1"/>
  <c r="F417" i="2"/>
  <c r="G417" i="2" s="1"/>
  <c r="H417" i="2" s="1"/>
  <c r="F418" i="2"/>
  <c r="G418" i="2" s="1"/>
  <c r="H418" i="2" s="1"/>
  <c r="F419" i="2"/>
  <c r="G419" i="2" s="1"/>
  <c r="H419" i="2" s="1"/>
  <c r="F420" i="2"/>
  <c r="G420" i="2" s="1"/>
  <c r="H420" i="2" s="1"/>
  <c r="F421" i="2"/>
  <c r="G421" i="2" s="1"/>
  <c r="H421" i="2" s="1"/>
  <c r="F422" i="2"/>
  <c r="G422" i="2" s="1"/>
  <c r="H422" i="2" s="1"/>
  <c r="F423" i="2"/>
  <c r="G423" i="2" s="1"/>
  <c r="H423" i="2" s="1"/>
  <c r="F424" i="2"/>
  <c r="G424" i="2" s="1"/>
  <c r="H424" i="2" s="1"/>
  <c r="F425" i="2"/>
  <c r="G425" i="2" s="1"/>
  <c r="H425" i="2" s="1"/>
  <c r="F426" i="2"/>
  <c r="G426" i="2" s="1"/>
  <c r="H426" i="2" s="1"/>
  <c r="F427" i="2"/>
  <c r="G427" i="2" s="1"/>
  <c r="H427" i="2" s="1"/>
  <c r="F428" i="2"/>
  <c r="G428" i="2" s="1"/>
  <c r="H428" i="2" s="1"/>
  <c r="F429" i="2"/>
  <c r="G429" i="2" s="1"/>
  <c r="H429" i="2" s="1"/>
  <c r="F430" i="2"/>
  <c r="G430" i="2" s="1"/>
  <c r="H430" i="2" s="1"/>
  <c r="F431" i="2"/>
  <c r="G431" i="2" s="1"/>
  <c r="H431" i="2" s="1"/>
  <c r="F432" i="2"/>
  <c r="G432" i="2" s="1"/>
  <c r="H432" i="2" s="1"/>
  <c r="F433" i="2"/>
  <c r="G433" i="2" s="1"/>
  <c r="H433" i="2" s="1"/>
  <c r="F434" i="2"/>
  <c r="G434" i="2" s="1"/>
  <c r="H434" i="2" s="1"/>
  <c r="F435" i="2"/>
  <c r="G435" i="2" s="1"/>
  <c r="H435" i="2" s="1"/>
  <c r="F436" i="2"/>
  <c r="G436" i="2" s="1"/>
  <c r="H436" i="2" s="1"/>
  <c r="F437" i="2"/>
  <c r="G437" i="2" s="1"/>
  <c r="H437" i="2" s="1"/>
  <c r="F438" i="2"/>
  <c r="G438" i="2" s="1"/>
  <c r="H438" i="2" s="1"/>
  <c r="F439" i="2"/>
  <c r="G439" i="2" s="1"/>
  <c r="H439" i="2" s="1"/>
  <c r="F440" i="2"/>
  <c r="G440" i="2" s="1"/>
  <c r="H440" i="2" s="1"/>
  <c r="F441" i="2"/>
  <c r="G441" i="2" s="1"/>
  <c r="H441" i="2" s="1"/>
  <c r="F442" i="2"/>
  <c r="G442" i="2" s="1"/>
  <c r="H442" i="2" s="1"/>
  <c r="F443" i="2"/>
  <c r="G443" i="2" s="1"/>
  <c r="H443" i="2" s="1"/>
  <c r="F444" i="2"/>
  <c r="G444" i="2" s="1"/>
  <c r="H444" i="2" s="1"/>
  <c r="F445" i="2"/>
  <c r="G445" i="2" s="1"/>
  <c r="H445" i="2" s="1"/>
  <c r="F446" i="2"/>
  <c r="G446" i="2" s="1"/>
  <c r="H446" i="2" s="1"/>
  <c r="F447" i="2"/>
  <c r="G447" i="2" s="1"/>
  <c r="H447" i="2" s="1"/>
  <c r="F448" i="2"/>
  <c r="G448" i="2" s="1"/>
  <c r="H448" i="2" s="1"/>
  <c r="F449" i="2"/>
  <c r="G449" i="2" s="1"/>
  <c r="H449" i="2" s="1"/>
  <c r="F450" i="2"/>
  <c r="G450" i="2" s="1"/>
  <c r="H450" i="2" s="1"/>
  <c r="F451" i="2"/>
  <c r="G451" i="2" s="1"/>
  <c r="H451" i="2" s="1"/>
  <c r="F452" i="2"/>
  <c r="G452" i="2" s="1"/>
  <c r="H452" i="2" s="1"/>
  <c r="F453" i="2"/>
  <c r="G453" i="2" s="1"/>
  <c r="H453" i="2" s="1"/>
  <c r="F454" i="2"/>
  <c r="G454" i="2" s="1"/>
  <c r="H454" i="2" s="1"/>
  <c r="F455" i="2"/>
  <c r="G455" i="2" s="1"/>
  <c r="H455" i="2" s="1"/>
  <c r="F456" i="2"/>
  <c r="G456" i="2" s="1"/>
  <c r="H456" i="2" s="1"/>
  <c r="F457" i="2"/>
  <c r="G457" i="2" s="1"/>
  <c r="H457" i="2" s="1"/>
  <c r="F458" i="2"/>
  <c r="G458" i="2" s="1"/>
  <c r="H458" i="2" s="1"/>
  <c r="F459" i="2"/>
  <c r="G459" i="2" s="1"/>
  <c r="H459" i="2" s="1"/>
  <c r="F460" i="2"/>
  <c r="G460" i="2" s="1"/>
  <c r="H460" i="2" s="1"/>
  <c r="F461" i="2"/>
  <c r="G461" i="2" s="1"/>
  <c r="H461" i="2" s="1"/>
  <c r="F462" i="2"/>
  <c r="G462" i="2" s="1"/>
  <c r="H462" i="2" s="1"/>
  <c r="F463" i="2"/>
  <c r="G463" i="2" s="1"/>
  <c r="H463" i="2" s="1"/>
  <c r="F464" i="2"/>
  <c r="G464" i="2" s="1"/>
  <c r="H464" i="2" s="1"/>
  <c r="F465" i="2"/>
  <c r="G465" i="2" s="1"/>
  <c r="H465" i="2" s="1"/>
  <c r="F466" i="2"/>
  <c r="G466" i="2" s="1"/>
  <c r="H466" i="2" s="1"/>
  <c r="F467" i="2"/>
  <c r="G467" i="2" s="1"/>
  <c r="H467" i="2" s="1"/>
  <c r="F468" i="2"/>
  <c r="G468" i="2" s="1"/>
  <c r="H468" i="2" s="1"/>
  <c r="F469" i="2"/>
  <c r="G469" i="2" s="1"/>
  <c r="H469" i="2" s="1"/>
  <c r="F470" i="2"/>
  <c r="G470" i="2" s="1"/>
  <c r="H470" i="2" s="1"/>
  <c r="F471" i="2"/>
  <c r="G471" i="2" s="1"/>
  <c r="H471" i="2" s="1"/>
  <c r="F472" i="2"/>
  <c r="G472" i="2" s="1"/>
  <c r="H472" i="2" s="1"/>
  <c r="F473" i="2"/>
  <c r="G473" i="2" s="1"/>
  <c r="H473" i="2" s="1"/>
  <c r="F474" i="2"/>
  <c r="G474" i="2" s="1"/>
  <c r="H474" i="2" s="1"/>
  <c r="F475" i="2"/>
  <c r="G475" i="2" s="1"/>
  <c r="H475" i="2" s="1"/>
  <c r="F476" i="2"/>
  <c r="G476" i="2" s="1"/>
  <c r="H476" i="2" s="1"/>
  <c r="F477" i="2"/>
  <c r="G477" i="2" s="1"/>
  <c r="H477" i="2" s="1"/>
  <c r="F478" i="2"/>
  <c r="G478" i="2" s="1"/>
  <c r="H478" i="2" s="1"/>
  <c r="F479" i="2"/>
  <c r="G479" i="2" s="1"/>
  <c r="H479" i="2" s="1"/>
  <c r="F480" i="2"/>
  <c r="G480" i="2" s="1"/>
  <c r="H480" i="2" s="1"/>
  <c r="F481" i="2"/>
  <c r="G481" i="2" s="1"/>
  <c r="H481" i="2" s="1"/>
  <c r="F482" i="2"/>
  <c r="G482" i="2" s="1"/>
  <c r="H482" i="2" s="1"/>
  <c r="F483" i="2"/>
  <c r="G483" i="2" s="1"/>
  <c r="H483" i="2" s="1"/>
  <c r="F484" i="2"/>
  <c r="G484" i="2" s="1"/>
  <c r="H484" i="2" s="1"/>
  <c r="F485" i="2"/>
  <c r="G485" i="2" s="1"/>
  <c r="H485" i="2" s="1"/>
  <c r="F486" i="2"/>
  <c r="G486" i="2" s="1"/>
  <c r="H486" i="2" s="1"/>
  <c r="F487" i="2"/>
  <c r="G487" i="2" s="1"/>
  <c r="H487" i="2" s="1"/>
  <c r="F488" i="2"/>
  <c r="G488" i="2" s="1"/>
  <c r="H488" i="2" s="1"/>
  <c r="F489" i="2"/>
  <c r="G489" i="2" s="1"/>
  <c r="H489" i="2" s="1"/>
  <c r="F490" i="2"/>
  <c r="G490" i="2" s="1"/>
  <c r="H490" i="2" s="1"/>
  <c r="F491" i="2"/>
  <c r="G491" i="2" s="1"/>
  <c r="H491" i="2" s="1"/>
  <c r="F492" i="2"/>
  <c r="G492" i="2" s="1"/>
  <c r="H492" i="2" s="1"/>
  <c r="F493" i="2"/>
  <c r="G493" i="2" s="1"/>
  <c r="H493" i="2" s="1"/>
  <c r="F494" i="2"/>
  <c r="G494" i="2" s="1"/>
  <c r="H494" i="2" s="1"/>
  <c r="F495" i="2"/>
  <c r="G495" i="2" s="1"/>
  <c r="H495" i="2" s="1"/>
  <c r="F496" i="2"/>
  <c r="G496" i="2" s="1"/>
  <c r="H496" i="2" s="1"/>
  <c r="F497" i="2"/>
  <c r="G497" i="2" s="1"/>
  <c r="H497" i="2" s="1"/>
  <c r="F498" i="2"/>
  <c r="G498" i="2" s="1"/>
  <c r="H498" i="2" s="1"/>
  <c r="F499" i="2"/>
  <c r="G499" i="2" s="1"/>
  <c r="H499" i="2" s="1"/>
  <c r="F500" i="2"/>
  <c r="G500" i="2" s="1"/>
  <c r="H500" i="2" s="1"/>
  <c r="F501" i="2"/>
  <c r="G501" i="2" s="1"/>
  <c r="H501" i="2" s="1"/>
  <c r="F502" i="2"/>
  <c r="G502" i="2" s="1"/>
  <c r="H502" i="2" s="1"/>
  <c r="F503" i="2"/>
  <c r="G503" i="2" s="1"/>
  <c r="H503" i="2" s="1"/>
  <c r="F504" i="2"/>
  <c r="G504" i="2" s="1"/>
  <c r="H504" i="2" s="1"/>
  <c r="F505" i="2"/>
  <c r="G505" i="2" s="1"/>
  <c r="H505" i="2" s="1"/>
  <c r="F506" i="2"/>
  <c r="G506" i="2" s="1"/>
  <c r="H506" i="2" s="1"/>
  <c r="F507" i="2"/>
  <c r="G507" i="2" s="1"/>
  <c r="H507" i="2" s="1"/>
  <c r="F508" i="2"/>
  <c r="G508" i="2" s="1"/>
  <c r="H508" i="2" s="1"/>
  <c r="F509" i="2"/>
  <c r="G509" i="2" s="1"/>
  <c r="H509" i="2" s="1"/>
  <c r="F510" i="2"/>
  <c r="G510" i="2" s="1"/>
  <c r="H510" i="2" s="1"/>
  <c r="F511" i="2"/>
  <c r="G511" i="2" s="1"/>
  <c r="H511" i="2" s="1"/>
  <c r="F512" i="2"/>
  <c r="G512" i="2" s="1"/>
  <c r="H512" i="2" s="1"/>
  <c r="F513" i="2"/>
  <c r="G513" i="2" s="1"/>
  <c r="H513" i="2" s="1"/>
  <c r="F514" i="2"/>
  <c r="G514" i="2" s="1"/>
  <c r="H514" i="2" s="1"/>
  <c r="F515" i="2"/>
  <c r="G515" i="2" s="1"/>
  <c r="H515" i="2" s="1"/>
  <c r="F516" i="2"/>
  <c r="G516" i="2" s="1"/>
  <c r="H516" i="2" s="1"/>
  <c r="F517" i="2"/>
  <c r="G517" i="2" s="1"/>
  <c r="H517" i="2" s="1"/>
  <c r="F518" i="2"/>
  <c r="G518" i="2" s="1"/>
  <c r="H518" i="2" s="1"/>
  <c r="F519" i="2"/>
  <c r="G519" i="2" s="1"/>
  <c r="H519" i="2" s="1"/>
  <c r="F520" i="2"/>
  <c r="G520" i="2" s="1"/>
  <c r="H520" i="2" s="1"/>
  <c r="F521" i="2"/>
  <c r="G521" i="2" s="1"/>
  <c r="H521" i="2" s="1"/>
  <c r="F522" i="2"/>
  <c r="G522" i="2" s="1"/>
  <c r="H522" i="2" s="1"/>
  <c r="F523" i="2"/>
  <c r="G523" i="2" s="1"/>
  <c r="H523" i="2" s="1"/>
  <c r="F524" i="2"/>
  <c r="G524" i="2" s="1"/>
  <c r="H524" i="2" s="1"/>
  <c r="F525" i="2"/>
  <c r="G525" i="2" s="1"/>
  <c r="H525" i="2" s="1"/>
  <c r="F526" i="2"/>
  <c r="G526" i="2" s="1"/>
  <c r="H526" i="2" s="1"/>
  <c r="F527" i="2"/>
  <c r="G527" i="2" s="1"/>
  <c r="H527" i="2" s="1"/>
  <c r="F528" i="2"/>
  <c r="G528" i="2" s="1"/>
  <c r="H528" i="2" s="1"/>
  <c r="F529" i="2"/>
  <c r="G529" i="2" s="1"/>
  <c r="H529" i="2" s="1"/>
  <c r="F530" i="2"/>
  <c r="G530" i="2" s="1"/>
  <c r="H530" i="2" s="1"/>
  <c r="F531" i="2"/>
  <c r="G531" i="2" s="1"/>
  <c r="H531" i="2" s="1"/>
  <c r="F532" i="2"/>
  <c r="G532" i="2" s="1"/>
  <c r="H532" i="2" s="1"/>
  <c r="F533" i="2"/>
  <c r="G533" i="2" s="1"/>
  <c r="H533" i="2" s="1"/>
  <c r="F534" i="2"/>
  <c r="G534" i="2" s="1"/>
  <c r="H534" i="2" s="1"/>
  <c r="F535" i="2"/>
  <c r="G535" i="2" s="1"/>
  <c r="H535" i="2" s="1"/>
  <c r="F536" i="2"/>
  <c r="G536" i="2" s="1"/>
  <c r="H536" i="2" s="1"/>
  <c r="F537" i="2"/>
  <c r="G537" i="2" s="1"/>
  <c r="H537" i="2" s="1"/>
  <c r="F538" i="2"/>
  <c r="G538" i="2" s="1"/>
  <c r="H538" i="2" s="1"/>
  <c r="F539" i="2"/>
  <c r="G539" i="2" s="1"/>
  <c r="H539" i="2" s="1"/>
  <c r="F540" i="2"/>
  <c r="G540" i="2" s="1"/>
  <c r="H540" i="2" s="1"/>
  <c r="F541" i="2"/>
  <c r="G541" i="2" s="1"/>
  <c r="H541" i="2" s="1"/>
  <c r="F542" i="2"/>
  <c r="G542" i="2" s="1"/>
  <c r="H542" i="2" s="1"/>
  <c r="F543" i="2"/>
  <c r="G543" i="2" s="1"/>
  <c r="H543" i="2" s="1"/>
  <c r="F544" i="2"/>
  <c r="G544" i="2" s="1"/>
  <c r="H544" i="2" s="1"/>
  <c r="F545" i="2"/>
  <c r="G545" i="2" s="1"/>
  <c r="H545" i="2" s="1"/>
  <c r="F546" i="2"/>
  <c r="G546" i="2" s="1"/>
  <c r="H546" i="2" s="1"/>
  <c r="F547" i="2"/>
  <c r="G547" i="2" s="1"/>
  <c r="H547" i="2" s="1"/>
  <c r="F548" i="2"/>
  <c r="G548" i="2" s="1"/>
  <c r="H548" i="2" s="1"/>
  <c r="F549" i="2"/>
  <c r="G549" i="2" s="1"/>
  <c r="H549" i="2" s="1"/>
  <c r="F550" i="2"/>
  <c r="G550" i="2" s="1"/>
  <c r="H550" i="2" s="1"/>
  <c r="F551" i="2"/>
  <c r="G551" i="2" s="1"/>
  <c r="H551" i="2" s="1"/>
  <c r="F552" i="2"/>
  <c r="G552" i="2" s="1"/>
  <c r="H552" i="2" s="1"/>
  <c r="F553" i="2"/>
  <c r="G553" i="2" s="1"/>
  <c r="H553" i="2" s="1"/>
  <c r="F554" i="2"/>
  <c r="G554" i="2" s="1"/>
  <c r="H554" i="2" s="1"/>
  <c r="F555" i="2"/>
  <c r="G555" i="2" s="1"/>
  <c r="H555" i="2" s="1"/>
  <c r="F556" i="2"/>
  <c r="G556" i="2" s="1"/>
  <c r="H556" i="2" s="1"/>
  <c r="F557" i="2"/>
  <c r="G557" i="2" s="1"/>
  <c r="H557" i="2" s="1"/>
  <c r="F558" i="2"/>
  <c r="G558" i="2" s="1"/>
  <c r="H558" i="2" s="1"/>
  <c r="F559" i="2"/>
  <c r="G559" i="2" s="1"/>
  <c r="H559" i="2" s="1"/>
  <c r="F560" i="2"/>
  <c r="G560" i="2" s="1"/>
  <c r="H560" i="2" s="1"/>
  <c r="F561" i="2"/>
  <c r="G561" i="2" s="1"/>
  <c r="H561" i="2" s="1"/>
  <c r="F562" i="2"/>
  <c r="G562" i="2" s="1"/>
  <c r="H562" i="2" s="1"/>
  <c r="F563" i="2"/>
  <c r="G563" i="2" s="1"/>
  <c r="H563" i="2" s="1"/>
  <c r="F564" i="2"/>
  <c r="G564" i="2" s="1"/>
  <c r="H564" i="2" s="1"/>
  <c r="F565" i="2"/>
  <c r="G565" i="2" s="1"/>
  <c r="H565" i="2" s="1"/>
  <c r="F566" i="2"/>
  <c r="G566" i="2" s="1"/>
  <c r="H566" i="2" s="1"/>
  <c r="F567" i="2"/>
  <c r="G567" i="2" s="1"/>
  <c r="H567" i="2" s="1"/>
  <c r="F568" i="2"/>
  <c r="G568" i="2" s="1"/>
  <c r="H568" i="2" s="1"/>
  <c r="F569" i="2"/>
  <c r="G569" i="2" s="1"/>
  <c r="H569" i="2" s="1"/>
  <c r="F570" i="2"/>
  <c r="G570" i="2" s="1"/>
  <c r="H570" i="2" s="1"/>
  <c r="F571" i="2"/>
  <c r="G571" i="2" s="1"/>
  <c r="H571" i="2" s="1"/>
  <c r="F572" i="2"/>
  <c r="G572" i="2" s="1"/>
  <c r="H572" i="2" s="1"/>
  <c r="F573" i="2"/>
  <c r="G573" i="2" s="1"/>
  <c r="H573" i="2" s="1"/>
  <c r="F574" i="2"/>
  <c r="G574" i="2" s="1"/>
  <c r="H574" i="2" s="1"/>
  <c r="F575" i="2"/>
  <c r="G575" i="2" s="1"/>
  <c r="H575" i="2" s="1"/>
  <c r="F576" i="2"/>
  <c r="G576" i="2" s="1"/>
  <c r="H576" i="2" s="1"/>
  <c r="F577" i="2"/>
  <c r="G577" i="2" s="1"/>
  <c r="H577" i="2" s="1"/>
  <c r="F578" i="2"/>
  <c r="G578" i="2" s="1"/>
  <c r="H578" i="2" s="1"/>
  <c r="F579" i="2"/>
  <c r="G579" i="2" s="1"/>
  <c r="H579" i="2" s="1"/>
  <c r="F580" i="2"/>
  <c r="G580" i="2" s="1"/>
  <c r="H580" i="2" s="1"/>
  <c r="F581" i="2"/>
  <c r="G581" i="2" s="1"/>
  <c r="H581" i="2" s="1"/>
  <c r="F582" i="2"/>
  <c r="G582" i="2" s="1"/>
  <c r="H582" i="2" s="1"/>
  <c r="F583" i="2"/>
  <c r="G583" i="2" s="1"/>
  <c r="H583" i="2" s="1"/>
  <c r="F584" i="2"/>
  <c r="G584" i="2" s="1"/>
  <c r="H584" i="2" s="1"/>
  <c r="F585" i="2"/>
  <c r="G585" i="2" s="1"/>
  <c r="H585" i="2" s="1"/>
  <c r="F586" i="2"/>
  <c r="G586" i="2" s="1"/>
  <c r="H586" i="2" s="1"/>
  <c r="F587" i="2"/>
  <c r="G587" i="2" s="1"/>
  <c r="H587" i="2" s="1"/>
  <c r="F588" i="2"/>
  <c r="G588" i="2" s="1"/>
  <c r="H588" i="2" s="1"/>
  <c r="F589" i="2"/>
  <c r="G589" i="2" s="1"/>
  <c r="H589" i="2" s="1"/>
  <c r="F590" i="2"/>
  <c r="G590" i="2" s="1"/>
  <c r="H590" i="2" s="1"/>
  <c r="F591" i="2"/>
  <c r="G591" i="2" s="1"/>
  <c r="H591" i="2" s="1"/>
  <c r="F592" i="2"/>
  <c r="G592" i="2" s="1"/>
  <c r="H592" i="2" s="1"/>
  <c r="F593" i="2"/>
  <c r="G593" i="2" s="1"/>
  <c r="H593" i="2" s="1"/>
  <c r="F594" i="2"/>
  <c r="G594" i="2" s="1"/>
  <c r="H594" i="2" s="1"/>
  <c r="F595" i="2"/>
  <c r="G595" i="2" s="1"/>
  <c r="H595" i="2" s="1"/>
  <c r="F596" i="2"/>
  <c r="G596" i="2" s="1"/>
  <c r="H596" i="2" s="1"/>
  <c r="F597" i="2"/>
  <c r="G597" i="2" s="1"/>
  <c r="H597" i="2" s="1"/>
  <c r="F598" i="2"/>
  <c r="G598" i="2" s="1"/>
  <c r="H598" i="2" s="1"/>
  <c r="F599" i="2"/>
  <c r="G599" i="2" s="1"/>
  <c r="H599" i="2" s="1"/>
  <c r="F600" i="2"/>
  <c r="G600" i="2" s="1"/>
  <c r="H600" i="2" s="1"/>
  <c r="F601" i="2"/>
  <c r="G601" i="2" s="1"/>
  <c r="H601" i="2" s="1"/>
  <c r="F602" i="2"/>
  <c r="G602" i="2" s="1"/>
  <c r="H602" i="2" s="1"/>
  <c r="F603" i="2"/>
  <c r="G603" i="2" s="1"/>
  <c r="H603" i="2" s="1"/>
  <c r="F604" i="2"/>
  <c r="G604" i="2" s="1"/>
  <c r="H604" i="2" s="1"/>
  <c r="F605" i="2"/>
  <c r="G605" i="2" s="1"/>
  <c r="H605" i="2" s="1"/>
  <c r="F606" i="2"/>
  <c r="G606" i="2" s="1"/>
  <c r="H606" i="2" s="1"/>
  <c r="F607" i="2"/>
  <c r="G607" i="2" s="1"/>
  <c r="H607" i="2" s="1"/>
  <c r="F608" i="2"/>
  <c r="G608" i="2" s="1"/>
  <c r="H608" i="2" s="1"/>
  <c r="F609" i="2"/>
  <c r="G609" i="2" s="1"/>
  <c r="H609" i="2" s="1"/>
  <c r="F610" i="2"/>
  <c r="G610" i="2" s="1"/>
  <c r="H610" i="2" s="1"/>
  <c r="F611" i="2"/>
  <c r="G611" i="2" s="1"/>
  <c r="H611" i="2" s="1"/>
  <c r="F612" i="2"/>
  <c r="G612" i="2" s="1"/>
  <c r="H612" i="2" s="1"/>
  <c r="F613" i="2"/>
  <c r="G613" i="2" s="1"/>
  <c r="H613" i="2" s="1"/>
  <c r="F614" i="2"/>
  <c r="G614" i="2" s="1"/>
  <c r="H614" i="2" s="1"/>
  <c r="F615" i="2"/>
  <c r="G615" i="2" s="1"/>
  <c r="H615" i="2" s="1"/>
  <c r="F616" i="2"/>
  <c r="G616" i="2" s="1"/>
  <c r="H616" i="2" s="1"/>
  <c r="F617" i="2"/>
  <c r="G617" i="2" s="1"/>
  <c r="H617" i="2" s="1"/>
  <c r="F618" i="2"/>
  <c r="G618" i="2" s="1"/>
  <c r="H618" i="2" s="1"/>
  <c r="F619" i="2"/>
  <c r="G619" i="2" s="1"/>
  <c r="H619" i="2" s="1"/>
  <c r="F620" i="2"/>
  <c r="G620" i="2" s="1"/>
  <c r="H620" i="2" s="1"/>
  <c r="F621" i="2"/>
  <c r="G621" i="2" s="1"/>
  <c r="H621" i="2" s="1"/>
  <c r="F622" i="2"/>
  <c r="G622" i="2" s="1"/>
  <c r="H622" i="2" s="1"/>
  <c r="F623" i="2"/>
  <c r="G623" i="2" s="1"/>
  <c r="H623" i="2" s="1"/>
  <c r="F624" i="2"/>
  <c r="G624" i="2" s="1"/>
  <c r="H624" i="2" s="1"/>
  <c r="F625" i="2"/>
  <c r="G625" i="2" s="1"/>
  <c r="H625" i="2" s="1"/>
  <c r="F626" i="2"/>
  <c r="G626" i="2" s="1"/>
  <c r="H626" i="2" s="1"/>
  <c r="F627" i="2"/>
  <c r="G627" i="2" s="1"/>
  <c r="H627" i="2" s="1"/>
  <c r="F628" i="2"/>
  <c r="G628" i="2" s="1"/>
  <c r="H628" i="2" s="1"/>
  <c r="F629" i="2"/>
  <c r="G629" i="2" s="1"/>
  <c r="H629" i="2" s="1"/>
  <c r="F630" i="2"/>
  <c r="G630" i="2" s="1"/>
  <c r="H630" i="2" s="1"/>
  <c r="F631" i="2"/>
  <c r="G631" i="2" s="1"/>
  <c r="H631" i="2" s="1"/>
  <c r="F632" i="2"/>
  <c r="G632" i="2" s="1"/>
  <c r="H632" i="2" s="1"/>
  <c r="F633" i="2"/>
  <c r="G633" i="2" s="1"/>
  <c r="H633" i="2" s="1"/>
  <c r="F634" i="2"/>
  <c r="G634" i="2" s="1"/>
  <c r="H634" i="2" s="1"/>
  <c r="F635" i="2"/>
  <c r="G635" i="2" s="1"/>
  <c r="H635" i="2" s="1"/>
  <c r="F636" i="2"/>
  <c r="G636" i="2" s="1"/>
  <c r="H636" i="2" s="1"/>
  <c r="F637" i="2"/>
  <c r="G637" i="2" s="1"/>
  <c r="H637" i="2" s="1"/>
  <c r="F638" i="2"/>
  <c r="G638" i="2" s="1"/>
  <c r="H638" i="2" s="1"/>
  <c r="F639" i="2"/>
  <c r="G639" i="2" s="1"/>
  <c r="H639" i="2" s="1"/>
  <c r="F640" i="2"/>
  <c r="G640" i="2" s="1"/>
  <c r="H640" i="2" s="1"/>
  <c r="F2" i="2"/>
  <c r="I398" i="2"/>
  <c r="K398" i="2"/>
  <c r="L398" i="2"/>
  <c r="N398" i="2"/>
  <c r="O398" i="2" s="1"/>
  <c r="R398" i="2"/>
  <c r="S398" i="2"/>
  <c r="T398" i="2"/>
  <c r="V398" i="2"/>
  <c r="W398" i="2" s="1"/>
  <c r="I399" i="2"/>
  <c r="K399" i="2"/>
  <c r="L399" i="2"/>
  <c r="N399" i="2"/>
  <c r="O399" i="2" s="1"/>
  <c r="R399" i="2"/>
  <c r="S399" i="2"/>
  <c r="T399" i="2"/>
  <c r="U399" i="2" s="1"/>
  <c r="V399" i="2"/>
  <c r="W399" i="2" s="1"/>
  <c r="I400" i="2"/>
  <c r="K400" i="2"/>
  <c r="L400" i="2"/>
  <c r="N400" i="2"/>
  <c r="O400" i="2" s="1"/>
  <c r="R400" i="2"/>
  <c r="S400" i="2"/>
  <c r="T400" i="2"/>
  <c r="U400" i="2" s="1"/>
  <c r="V400" i="2"/>
  <c r="W400" i="2" s="1"/>
  <c r="I401" i="2"/>
  <c r="K401" i="2"/>
  <c r="L401" i="2"/>
  <c r="N401" i="2"/>
  <c r="O401" i="2" s="1"/>
  <c r="R401" i="2"/>
  <c r="S401" i="2"/>
  <c r="T401" i="2"/>
  <c r="V401" i="2"/>
  <c r="W401" i="2" s="1"/>
  <c r="I402" i="2"/>
  <c r="K402" i="2"/>
  <c r="L402" i="2"/>
  <c r="N402" i="2"/>
  <c r="O402" i="2" s="1"/>
  <c r="R402" i="2"/>
  <c r="S402" i="2"/>
  <c r="T402" i="2"/>
  <c r="V402" i="2"/>
  <c r="W402" i="2" s="1"/>
  <c r="I403" i="2"/>
  <c r="K403" i="2"/>
  <c r="L403" i="2"/>
  <c r="N403" i="2"/>
  <c r="O403" i="2" s="1"/>
  <c r="R403" i="2"/>
  <c r="S403" i="2"/>
  <c r="T403" i="2"/>
  <c r="V403" i="2"/>
  <c r="W403" i="2" s="1"/>
  <c r="I404" i="2"/>
  <c r="K404" i="2"/>
  <c r="L404" i="2"/>
  <c r="N404" i="2"/>
  <c r="O404" i="2" s="1"/>
  <c r="R404" i="2"/>
  <c r="S404" i="2"/>
  <c r="T404" i="2"/>
  <c r="V404" i="2"/>
  <c r="W404" i="2" s="1"/>
  <c r="I405" i="2"/>
  <c r="K405" i="2"/>
  <c r="L405" i="2"/>
  <c r="N405" i="2"/>
  <c r="O405" i="2" s="1"/>
  <c r="R405" i="2"/>
  <c r="S405" i="2"/>
  <c r="T405" i="2"/>
  <c r="V405" i="2"/>
  <c r="W405" i="2" s="1"/>
  <c r="I406" i="2"/>
  <c r="K406" i="2"/>
  <c r="L406" i="2"/>
  <c r="N406" i="2"/>
  <c r="O406" i="2" s="1"/>
  <c r="R406" i="2"/>
  <c r="S406" i="2"/>
  <c r="T406" i="2"/>
  <c r="U406" i="2" s="1"/>
  <c r="V406" i="2"/>
  <c r="W406" i="2" s="1"/>
  <c r="I407" i="2"/>
  <c r="K407" i="2"/>
  <c r="L407" i="2"/>
  <c r="N407" i="2"/>
  <c r="O407" i="2" s="1"/>
  <c r="R407" i="2"/>
  <c r="S407" i="2"/>
  <c r="T407" i="2"/>
  <c r="U407" i="2" s="1"/>
  <c r="V407" i="2"/>
  <c r="W407" i="2" s="1"/>
  <c r="I408" i="2"/>
  <c r="K408" i="2"/>
  <c r="L408" i="2"/>
  <c r="N408" i="2"/>
  <c r="O408" i="2" s="1"/>
  <c r="R408" i="2"/>
  <c r="S408" i="2"/>
  <c r="T408" i="2"/>
  <c r="U408" i="2" s="1"/>
  <c r="V408" i="2"/>
  <c r="W408" i="2" s="1"/>
  <c r="I409" i="2"/>
  <c r="K409" i="2"/>
  <c r="L409" i="2"/>
  <c r="N409" i="2"/>
  <c r="O409" i="2" s="1"/>
  <c r="R409" i="2"/>
  <c r="S409" i="2"/>
  <c r="T409" i="2"/>
  <c r="V409" i="2"/>
  <c r="W409" i="2" s="1"/>
  <c r="I410" i="2"/>
  <c r="K410" i="2"/>
  <c r="L410" i="2"/>
  <c r="N410" i="2"/>
  <c r="O410" i="2" s="1"/>
  <c r="R410" i="2"/>
  <c r="S410" i="2"/>
  <c r="T410" i="2"/>
  <c r="V410" i="2"/>
  <c r="W410" i="2" s="1"/>
  <c r="I411" i="2"/>
  <c r="K411" i="2"/>
  <c r="L411" i="2"/>
  <c r="N411" i="2"/>
  <c r="O411" i="2" s="1"/>
  <c r="R411" i="2"/>
  <c r="S411" i="2"/>
  <c r="T411" i="2"/>
  <c r="V411" i="2"/>
  <c r="W411" i="2" s="1"/>
  <c r="I412" i="2"/>
  <c r="K412" i="2"/>
  <c r="L412" i="2"/>
  <c r="N412" i="2"/>
  <c r="O412" i="2" s="1"/>
  <c r="R412" i="2"/>
  <c r="S412" i="2"/>
  <c r="T412" i="2"/>
  <c r="U412" i="2" s="1"/>
  <c r="V412" i="2"/>
  <c r="I413" i="2"/>
  <c r="K413" i="2"/>
  <c r="L413" i="2"/>
  <c r="N413" i="2"/>
  <c r="O413" i="2" s="1"/>
  <c r="R413" i="2"/>
  <c r="S413" i="2"/>
  <c r="T413" i="2"/>
  <c r="U413" i="2" s="1"/>
  <c r="V413" i="2"/>
  <c r="W413" i="2" s="1"/>
  <c r="I414" i="2"/>
  <c r="K414" i="2"/>
  <c r="L414" i="2"/>
  <c r="N414" i="2"/>
  <c r="O414" i="2" s="1"/>
  <c r="R414" i="2"/>
  <c r="S414" i="2"/>
  <c r="T414" i="2"/>
  <c r="V414" i="2"/>
  <c r="W414" i="2" s="1"/>
  <c r="I415" i="2"/>
  <c r="K415" i="2"/>
  <c r="L415" i="2"/>
  <c r="N415" i="2"/>
  <c r="O415" i="2" s="1"/>
  <c r="R415" i="2"/>
  <c r="S415" i="2"/>
  <c r="T415" i="2"/>
  <c r="U415" i="2" s="1"/>
  <c r="V415" i="2"/>
  <c r="W415" i="2" s="1"/>
  <c r="I416" i="2"/>
  <c r="K416" i="2"/>
  <c r="L416" i="2"/>
  <c r="N416" i="2"/>
  <c r="O416" i="2" s="1"/>
  <c r="R416" i="2"/>
  <c r="S416" i="2"/>
  <c r="T416" i="2"/>
  <c r="U416" i="2" s="1"/>
  <c r="V416" i="2"/>
  <c r="W416" i="2" s="1"/>
  <c r="I417" i="2"/>
  <c r="K417" i="2"/>
  <c r="L417" i="2"/>
  <c r="N417" i="2"/>
  <c r="O417" i="2" s="1"/>
  <c r="R417" i="2"/>
  <c r="S417" i="2"/>
  <c r="T417" i="2"/>
  <c r="V417" i="2"/>
  <c r="W417" i="2" s="1"/>
  <c r="I418" i="2"/>
  <c r="K418" i="2"/>
  <c r="L418" i="2"/>
  <c r="N418" i="2"/>
  <c r="O418" i="2" s="1"/>
  <c r="R418" i="2"/>
  <c r="S418" i="2"/>
  <c r="T418" i="2"/>
  <c r="U418" i="2" s="1"/>
  <c r="V418" i="2"/>
  <c r="W418" i="2" s="1"/>
  <c r="I419" i="2"/>
  <c r="K419" i="2"/>
  <c r="L419" i="2"/>
  <c r="N419" i="2"/>
  <c r="O419" i="2" s="1"/>
  <c r="R419" i="2"/>
  <c r="S419" i="2"/>
  <c r="T419" i="2"/>
  <c r="V419" i="2"/>
  <c r="W419" i="2" s="1"/>
  <c r="I420" i="2"/>
  <c r="K420" i="2"/>
  <c r="L420" i="2"/>
  <c r="N420" i="2"/>
  <c r="O420" i="2" s="1"/>
  <c r="R420" i="2"/>
  <c r="S420" i="2"/>
  <c r="T420" i="2"/>
  <c r="V420" i="2"/>
  <c r="W420" i="2" s="1"/>
  <c r="I421" i="2"/>
  <c r="K421" i="2"/>
  <c r="L421" i="2"/>
  <c r="N421" i="2"/>
  <c r="O421" i="2" s="1"/>
  <c r="R421" i="2"/>
  <c r="S421" i="2"/>
  <c r="T421" i="2"/>
  <c r="V421" i="2"/>
  <c r="W421" i="2" s="1"/>
  <c r="I422" i="2"/>
  <c r="K422" i="2"/>
  <c r="L422" i="2"/>
  <c r="N422" i="2"/>
  <c r="O422" i="2" s="1"/>
  <c r="R422" i="2"/>
  <c r="S422" i="2"/>
  <c r="T422" i="2"/>
  <c r="V422" i="2"/>
  <c r="W422" i="2" s="1"/>
  <c r="I423" i="2"/>
  <c r="K423" i="2"/>
  <c r="L423" i="2"/>
  <c r="N423" i="2"/>
  <c r="O423" i="2" s="1"/>
  <c r="R423" i="2"/>
  <c r="S423" i="2"/>
  <c r="T423" i="2"/>
  <c r="V423" i="2"/>
  <c r="W423" i="2" s="1"/>
  <c r="I424" i="2"/>
  <c r="K424" i="2"/>
  <c r="L424" i="2"/>
  <c r="N424" i="2"/>
  <c r="O424" i="2" s="1"/>
  <c r="R424" i="2"/>
  <c r="S424" i="2"/>
  <c r="T424" i="2"/>
  <c r="V424" i="2"/>
  <c r="W424" i="2" s="1"/>
  <c r="I425" i="2"/>
  <c r="K425" i="2"/>
  <c r="L425" i="2"/>
  <c r="N425" i="2"/>
  <c r="O425" i="2" s="1"/>
  <c r="R425" i="2"/>
  <c r="S425" i="2"/>
  <c r="T425" i="2"/>
  <c r="V425" i="2"/>
  <c r="W425" i="2" s="1"/>
  <c r="I426" i="2"/>
  <c r="K426" i="2"/>
  <c r="L426" i="2"/>
  <c r="N426" i="2"/>
  <c r="O426" i="2" s="1"/>
  <c r="R426" i="2"/>
  <c r="S426" i="2"/>
  <c r="T426" i="2"/>
  <c r="U426" i="2" s="1"/>
  <c r="V426" i="2"/>
  <c r="W426" i="2" s="1"/>
  <c r="I427" i="2"/>
  <c r="K427" i="2"/>
  <c r="L427" i="2"/>
  <c r="N427" i="2"/>
  <c r="O427" i="2" s="1"/>
  <c r="R427" i="2"/>
  <c r="S427" i="2"/>
  <c r="T427" i="2"/>
  <c r="V427" i="2"/>
  <c r="W427" i="2" s="1"/>
  <c r="I428" i="2"/>
  <c r="K428" i="2"/>
  <c r="L428" i="2"/>
  <c r="N428" i="2"/>
  <c r="O428" i="2" s="1"/>
  <c r="R428" i="2"/>
  <c r="S428" i="2"/>
  <c r="T428" i="2"/>
  <c r="U428" i="2" s="1"/>
  <c r="V428" i="2"/>
  <c r="W428" i="2" s="1"/>
  <c r="I429" i="2"/>
  <c r="K429" i="2"/>
  <c r="L429" i="2"/>
  <c r="N429" i="2"/>
  <c r="O429" i="2" s="1"/>
  <c r="R429" i="2"/>
  <c r="S429" i="2"/>
  <c r="T429" i="2"/>
  <c r="V429" i="2"/>
  <c r="W429" i="2" s="1"/>
  <c r="I430" i="2"/>
  <c r="K430" i="2"/>
  <c r="L430" i="2"/>
  <c r="N430" i="2"/>
  <c r="O430" i="2" s="1"/>
  <c r="R430" i="2"/>
  <c r="S430" i="2"/>
  <c r="T430" i="2"/>
  <c r="V430" i="2"/>
  <c r="W430" i="2" s="1"/>
  <c r="I431" i="2"/>
  <c r="K431" i="2"/>
  <c r="L431" i="2"/>
  <c r="N431" i="2"/>
  <c r="O431" i="2" s="1"/>
  <c r="R431" i="2"/>
  <c r="S431" i="2"/>
  <c r="T431" i="2"/>
  <c r="V431" i="2"/>
  <c r="W431" i="2" s="1"/>
  <c r="I432" i="2"/>
  <c r="K432" i="2"/>
  <c r="L432" i="2"/>
  <c r="N432" i="2"/>
  <c r="O432" i="2" s="1"/>
  <c r="R432" i="2"/>
  <c r="S432" i="2"/>
  <c r="T432" i="2"/>
  <c r="V432" i="2"/>
  <c r="W432" i="2" s="1"/>
  <c r="I433" i="2"/>
  <c r="K433" i="2"/>
  <c r="L433" i="2"/>
  <c r="N433" i="2"/>
  <c r="O433" i="2" s="1"/>
  <c r="R433" i="2"/>
  <c r="S433" i="2"/>
  <c r="T433" i="2"/>
  <c r="V433" i="2"/>
  <c r="W433" i="2" s="1"/>
  <c r="I434" i="2"/>
  <c r="K434" i="2"/>
  <c r="L434" i="2"/>
  <c r="N434" i="2"/>
  <c r="O434" i="2" s="1"/>
  <c r="R434" i="2"/>
  <c r="S434" i="2"/>
  <c r="T434" i="2"/>
  <c r="V434" i="2"/>
  <c r="W434" i="2" s="1"/>
  <c r="I435" i="2"/>
  <c r="K435" i="2"/>
  <c r="L435" i="2"/>
  <c r="N435" i="2"/>
  <c r="O435" i="2" s="1"/>
  <c r="R435" i="2"/>
  <c r="S435" i="2"/>
  <c r="T435" i="2"/>
  <c r="U435" i="2" s="1"/>
  <c r="V435" i="2"/>
  <c r="W435" i="2" s="1"/>
  <c r="I436" i="2"/>
  <c r="K436" i="2"/>
  <c r="L436" i="2"/>
  <c r="N436" i="2"/>
  <c r="O436" i="2" s="1"/>
  <c r="R436" i="2"/>
  <c r="S436" i="2"/>
  <c r="T436" i="2"/>
  <c r="U436" i="2" s="1"/>
  <c r="V436" i="2"/>
  <c r="W436" i="2" s="1"/>
  <c r="I437" i="2"/>
  <c r="K437" i="2"/>
  <c r="L437" i="2"/>
  <c r="N437" i="2"/>
  <c r="O437" i="2" s="1"/>
  <c r="R437" i="2"/>
  <c r="S437" i="2"/>
  <c r="T437" i="2"/>
  <c r="U437" i="2" s="1"/>
  <c r="V437" i="2"/>
  <c r="W437" i="2" s="1"/>
  <c r="I438" i="2"/>
  <c r="K438" i="2"/>
  <c r="L438" i="2"/>
  <c r="N438" i="2"/>
  <c r="O438" i="2" s="1"/>
  <c r="R438" i="2"/>
  <c r="S438" i="2"/>
  <c r="T438" i="2"/>
  <c r="V438" i="2"/>
  <c r="W438" i="2" s="1"/>
  <c r="I439" i="2"/>
  <c r="K439" i="2"/>
  <c r="L439" i="2"/>
  <c r="N439" i="2"/>
  <c r="O439" i="2" s="1"/>
  <c r="R439" i="2"/>
  <c r="S439" i="2"/>
  <c r="T439" i="2"/>
  <c r="V439" i="2"/>
  <c r="W439" i="2" s="1"/>
  <c r="I440" i="2"/>
  <c r="K440" i="2"/>
  <c r="L440" i="2"/>
  <c r="N440" i="2"/>
  <c r="O440" i="2" s="1"/>
  <c r="R440" i="2"/>
  <c r="S440" i="2"/>
  <c r="T440" i="2"/>
  <c r="U440" i="2" s="1"/>
  <c r="V440" i="2"/>
  <c r="W440" i="2" s="1"/>
  <c r="I441" i="2"/>
  <c r="K441" i="2"/>
  <c r="L441" i="2"/>
  <c r="N441" i="2"/>
  <c r="O441" i="2" s="1"/>
  <c r="R441" i="2"/>
  <c r="S441" i="2"/>
  <c r="T441" i="2"/>
  <c r="U441" i="2" s="1"/>
  <c r="V441" i="2"/>
  <c r="W441" i="2" s="1"/>
  <c r="I442" i="2"/>
  <c r="K442" i="2"/>
  <c r="L442" i="2"/>
  <c r="N442" i="2"/>
  <c r="O442" i="2" s="1"/>
  <c r="R442" i="2"/>
  <c r="S442" i="2"/>
  <c r="T442" i="2"/>
  <c r="U442" i="2" s="1"/>
  <c r="V442" i="2"/>
  <c r="W442" i="2" s="1"/>
  <c r="I443" i="2"/>
  <c r="K443" i="2"/>
  <c r="L443" i="2"/>
  <c r="N443" i="2"/>
  <c r="O443" i="2" s="1"/>
  <c r="R443" i="2"/>
  <c r="S443" i="2"/>
  <c r="T443" i="2"/>
  <c r="U443" i="2" s="1"/>
  <c r="V443" i="2"/>
  <c r="W443" i="2" s="1"/>
  <c r="I444" i="2"/>
  <c r="K444" i="2"/>
  <c r="L444" i="2"/>
  <c r="N444" i="2"/>
  <c r="O444" i="2" s="1"/>
  <c r="R444" i="2"/>
  <c r="S444" i="2"/>
  <c r="T444" i="2"/>
  <c r="U444" i="2" s="1"/>
  <c r="V444" i="2"/>
  <c r="W444" i="2" s="1"/>
  <c r="I445" i="2"/>
  <c r="K445" i="2"/>
  <c r="L445" i="2"/>
  <c r="N445" i="2"/>
  <c r="O445" i="2" s="1"/>
  <c r="R445" i="2"/>
  <c r="S445" i="2"/>
  <c r="T445" i="2"/>
  <c r="V445" i="2"/>
  <c r="W445" i="2" s="1"/>
  <c r="I446" i="2"/>
  <c r="K446" i="2"/>
  <c r="L446" i="2"/>
  <c r="N446" i="2"/>
  <c r="O446" i="2" s="1"/>
  <c r="R446" i="2"/>
  <c r="S446" i="2"/>
  <c r="T446" i="2"/>
  <c r="V446" i="2"/>
  <c r="W446" i="2" s="1"/>
  <c r="I447" i="2"/>
  <c r="K447" i="2"/>
  <c r="L447" i="2"/>
  <c r="N447" i="2"/>
  <c r="O447" i="2" s="1"/>
  <c r="R447" i="2"/>
  <c r="S447" i="2"/>
  <c r="T447" i="2"/>
  <c r="V447" i="2"/>
  <c r="W447" i="2" s="1"/>
  <c r="I448" i="2"/>
  <c r="K448" i="2"/>
  <c r="L448" i="2"/>
  <c r="N448" i="2"/>
  <c r="O448" i="2" s="1"/>
  <c r="R448" i="2"/>
  <c r="S448" i="2"/>
  <c r="T448" i="2"/>
  <c r="V448" i="2"/>
  <c r="W448" i="2" s="1"/>
  <c r="I449" i="2"/>
  <c r="K449" i="2"/>
  <c r="L449" i="2"/>
  <c r="N449" i="2"/>
  <c r="O449" i="2" s="1"/>
  <c r="R449" i="2"/>
  <c r="S449" i="2"/>
  <c r="T449" i="2"/>
  <c r="V449" i="2"/>
  <c r="I450" i="2"/>
  <c r="K450" i="2"/>
  <c r="L450" i="2"/>
  <c r="N450" i="2"/>
  <c r="O450" i="2" s="1"/>
  <c r="R450" i="2"/>
  <c r="S450" i="2"/>
  <c r="T450" i="2"/>
  <c r="U450" i="2" s="1"/>
  <c r="V450" i="2"/>
  <c r="W450" i="2" s="1"/>
  <c r="I451" i="2"/>
  <c r="K451" i="2"/>
  <c r="L451" i="2"/>
  <c r="N451" i="2"/>
  <c r="O451" i="2" s="1"/>
  <c r="R451" i="2"/>
  <c r="S451" i="2"/>
  <c r="T451" i="2"/>
  <c r="V451" i="2"/>
  <c r="W451" i="2" s="1"/>
  <c r="I452" i="2"/>
  <c r="K452" i="2"/>
  <c r="L452" i="2"/>
  <c r="N452" i="2"/>
  <c r="O452" i="2" s="1"/>
  <c r="R452" i="2"/>
  <c r="S452" i="2"/>
  <c r="T452" i="2"/>
  <c r="U452" i="2" s="1"/>
  <c r="V452" i="2"/>
  <c r="W452" i="2" s="1"/>
  <c r="I453" i="2"/>
  <c r="K453" i="2"/>
  <c r="L453" i="2"/>
  <c r="N453" i="2"/>
  <c r="O453" i="2" s="1"/>
  <c r="R453" i="2"/>
  <c r="S453" i="2"/>
  <c r="T453" i="2"/>
  <c r="V453" i="2"/>
  <c r="W453" i="2" s="1"/>
  <c r="I454" i="2"/>
  <c r="K454" i="2"/>
  <c r="L454" i="2"/>
  <c r="N454" i="2"/>
  <c r="O454" i="2" s="1"/>
  <c r="R454" i="2"/>
  <c r="S454" i="2"/>
  <c r="T454" i="2"/>
  <c r="V454" i="2"/>
  <c r="W454" i="2" s="1"/>
  <c r="I455" i="2"/>
  <c r="K455" i="2"/>
  <c r="L455" i="2"/>
  <c r="N455" i="2"/>
  <c r="O455" i="2" s="1"/>
  <c r="R455" i="2"/>
  <c r="S455" i="2"/>
  <c r="T455" i="2"/>
  <c r="V455" i="2"/>
  <c r="W455" i="2" s="1"/>
  <c r="I456" i="2"/>
  <c r="K456" i="2"/>
  <c r="L456" i="2"/>
  <c r="N456" i="2"/>
  <c r="O456" i="2" s="1"/>
  <c r="R456" i="2"/>
  <c r="S456" i="2"/>
  <c r="T456" i="2"/>
  <c r="V456" i="2"/>
  <c r="W456" i="2" s="1"/>
  <c r="I457" i="2"/>
  <c r="K457" i="2"/>
  <c r="L457" i="2"/>
  <c r="N457" i="2"/>
  <c r="O457" i="2" s="1"/>
  <c r="R457" i="2"/>
  <c r="S457" i="2"/>
  <c r="T457" i="2"/>
  <c r="V457" i="2"/>
  <c r="W457" i="2" s="1"/>
  <c r="I458" i="2"/>
  <c r="K458" i="2"/>
  <c r="L458" i="2"/>
  <c r="N458" i="2"/>
  <c r="O458" i="2" s="1"/>
  <c r="R458" i="2"/>
  <c r="S458" i="2"/>
  <c r="T458" i="2"/>
  <c r="V458" i="2"/>
  <c r="W458" i="2" s="1"/>
  <c r="I459" i="2"/>
  <c r="K459" i="2"/>
  <c r="L459" i="2"/>
  <c r="N459" i="2"/>
  <c r="O459" i="2" s="1"/>
  <c r="R459" i="2"/>
  <c r="S459" i="2"/>
  <c r="T459" i="2"/>
  <c r="U459" i="2" s="1"/>
  <c r="V459" i="2"/>
  <c r="W459" i="2" s="1"/>
  <c r="I460" i="2"/>
  <c r="K460" i="2"/>
  <c r="L460" i="2"/>
  <c r="N460" i="2"/>
  <c r="O460" i="2" s="1"/>
  <c r="R460" i="2"/>
  <c r="S460" i="2"/>
  <c r="T460" i="2"/>
  <c r="U460" i="2" s="1"/>
  <c r="V460" i="2"/>
  <c r="W460" i="2" s="1"/>
  <c r="I461" i="2"/>
  <c r="K461" i="2"/>
  <c r="L461" i="2"/>
  <c r="N461" i="2"/>
  <c r="O461" i="2" s="1"/>
  <c r="R461" i="2"/>
  <c r="S461" i="2"/>
  <c r="T461" i="2"/>
  <c r="V461" i="2"/>
  <c r="I462" i="2"/>
  <c r="K462" i="2"/>
  <c r="L462" i="2"/>
  <c r="N462" i="2"/>
  <c r="O462" i="2" s="1"/>
  <c r="R462" i="2"/>
  <c r="S462" i="2"/>
  <c r="T462" i="2"/>
  <c r="U462" i="2" s="1"/>
  <c r="V462" i="2"/>
  <c r="W462" i="2" s="1"/>
  <c r="I463" i="2"/>
  <c r="K463" i="2"/>
  <c r="L463" i="2"/>
  <c r="N463" i="2"/>
  <c r="O463" i="2" s="1"/>
  <c r="R463" i="2"/>
  <c r="S463" i="2"/>
  <c r="T463" i="2"/>
  <c r="U463" i="2" s="1"/>
  <c r="V463" i="2"/>
  <c r="W463" i="2" s="1"/>
  <c r="I464" i="2"/>
  <c r="K464" i="2"/>
  <c r="L464" i="2"/>
  <c r="N464" i="2"/>
  <c r="O464" i="2" s="1"/>
  <c r="R464" i="2"/>
  <c r="S464" i="2"/>
  <c r="T464" i="2"/>
  <c r="V464" i="2"/>
  <c r="W464" i="2" s="1"/>
  <c r="I465" i="2"/>
  <c r="K465" i="2"/>
  <c r="L465" i="2"/>
  <c r="N465" i="2"/>
  <c r="O465" i="2" s="1"/>
  <c r="R465" i="2"/>
  <c r="S465" i="2"/>
  <c r="T465" i="2"/>
  <c r="V465" i="2"/>
  <c r="W465" i="2" s="1"/>
  <c r="I466" i="2"/>
  <c r="K466" i="2"/>
  <c r="L466" i="2"/>
  <c r="N466" i="2"/>
  <c r="O466" i="2" s="1"/>
  <c r="R466" i="2"/>
  <c r="S466" i="2"/>
  <c r="T466" i="2"/>
  <c r="V466" i="2"/>
  <c r="W466" i="2" s="1"/>
  <c r="I467" i="2"/>
  <c r="K467" i="2"/>
  <c r="L467" i="2"/>
  <c r="N467" i="2"/>
  <c r="O467" i="2" s="1"/>
  <c r="R467" i="2"/>
  <c r="S467" i="2"/>
  <c r="T467" i="2"/>
  <c r="V467" i="2"/>
  <c r="W467" i="2" s="1"/>
  <c r="I468" i="2"/>
  <c r="K468" i="2"/>
  <c r="L468" i="2"/>
  <c r="N468" i="2"/>
  <c r="O468" i="2" s="1"/>
  <c r="R468" i="2"/>
  <c r="S468" i="2"/>
  <c r="T468" i="2"/>
  <c r="V468" i="2"/>
  <c r="W468" i="2" s="1"/>
  <c r="I469" i="2"/>
  <c r="K469" i="2"/>
  <c r="L469" i="2"/>
  <c r="N469" i="2"/>
  <c r="O469" i="2" s="1"/>
  <c r="R469" i="2"/>
  <c r="S469" i="2"/>
  <c r="T469" i="2"/>
  <c r="V469" i="2"/>
  <c r="W469" i="2" s="1"/>
  <c r="I470" i="2"/>
  <c r="K470" i="2"/>
  <c r="L470" i="2"/>
  <c r="N470" i="2"/>
  <c r="O470" i="2" s="1"/>
  <c r="R470" i="2"/>
  <c r="S470" i="2"/>
  <c r="T470" i="2"/>
  <c r="U470" i="2" s="1"/>
  <c r="V470" i="2"/>
  <c r="W470" i="2" s="1"/>
  <c r="I471" i="2"/>
  <c r="K471" i="2"/>
  <c r="L471" i="2"/>
  <c r="N471" i="2"/>
  <c r="O471" i="2" s="1"/>
  <c r="R471" i="2"/>
  <c r="S471" i="2"/>
  <c r="T471" i="2"/>
  <c r="V471" i="2"/>
  <c r="W471" i="2" s="1"/>
  <c r="I472" i="2"/>
  <c r="K472" i="2"/>
  <c r="L472" i="2"/>
  <c r="N472" i="2"/>
  <c r="O472" i="2" s="1"/>
  <c r="R472" i="2"/>
  <c r="S472" i="2"/>
  <c r="T472" i="2"/>
  <c r="V472" i="2"/>
  <c r="W472" i="2" s="1"/>
  <c r="I473" i="2"/>
  <c r="K473" i="2"/>
  <c r="L473" i="2"/>
  <c r="N473" i="2"/>
  <c r="O473" i="2" s="1"/>
  <c r="R473" i="2"/>
  <c r="S473" i="2"/>
  <c r="T473" i="2"/>
  <c r="U473" i="2" s="1"/>
  <c r="V473" i="2"/>
  <c r="W473" i="2" s="1"/>
  <c r="I474" i="2"/>
  <c r="K474" i="2"/>
  <c r="L474" i="2"/>
  <c r="N474" i="2"/>
  <c r="O474" i="2" s="1"/>
  <c r="R474" i="2"/>
  <c r="S474" i="2"/>
  <c r="T474" i="2"/>
  <c r="U474" i="2" s="1"/>
  <c r="V474" i="2"/>
  <c r="W474" i="2" s="1"/>
  <c r="I475" i="2"/>
  <c r="K475" i="2"/>
  <c r="L475" i="2"/>
  <c r="N475" i="2"/>
  <c r="O475" i="2" s="1"/>
  <c r="R475" i="2"/>
  <c r="S475" i="2"/>
  <c r="T475" i="2"/>
  <c r="U475" i="2" s="1"/>
  <c r="V475" i="2"/>
  <c r="W475" i="2" s="1"/>
  <c r="I476" i="2"/>
  <c r="K476" i="2"/>
  <c r="L476" i="2"/>
  <c r="N476" i="2"/>
  <c r="O476" i="2" s="1"/>
  <c r="R476" i="2"/>
  <c r="S476" i="2"/>
  <c r="T476" i="2"/>
  <c r="U476" i="2" s="1"/>
  <c r="V476" i="2"/>
  <c r="W476" i="2" s="1"/>
  <c r="I477" i="2"/>
  <c r="K477" i="2"/>
  <c r="L477" i="2"/>
  <c r="N477" i="2"/>
  <c r="O477" i="2" s="1"/>
  <c r="R477" i="2"/>
  <c r="S477" i="2"/>
  <c r="T477" i="2"/>
  <c r="V477" i="2"/>
  <c r="W477" i="2" s="1"/>
  <c r="I478" i="2"/>
  <c r="K478" i="2"/>
  <c r="L478" i="2"/>
  <c r="N478" i="2"/>
  <c r="O478" i="2" s="1"/>
  <c r="R478" i="2"/>
  <c r="S478" i="2"/>
  <c r="T478" i="2"/>
  <c r="V478" i="2"/>
  <c r="W478" i="2" s="1"/>
  <c r="I479" i="2"/>
  <c r="K479" i="2"/>
  <c r="L479" i="2"/>
  <c r="N479" i="2"/>
  <c r="O479" i="2" s="1"/>
  <c r="R479" i="2"/>
  <c r="S479" i="2"/>
  <c r="T479" i="2"/>
  <c r="V479" i="2"/>
  <c r="W479" i="2" s="1"/>
  <c r="I480" i="2"/>
  <c r="K480" i="2"/>
  <c r="L480" i="2"/>
  <c r="N480" i="2"/>
  <c r="O480" i="2" s="1"/>
  <c r="R480" i="2"/>
  <c r="S480" i="2"/>
  <c r="T480" i="2"/>
  <c r="V480" i="2"/>
  <c r="W480" i="2" s="1"/>
  <c r="I481" i="2"/>
  <c r="K481" i="2"/>
  <c r="L481" i="2"/>
  <c r="N481" i="2"/>
  <c r="O481" i="2" s="1"/>
  <c r="R481" i="2"/>
  <c r="S481" i="2"/>
  <c r="T481" i="2"/>
  <c r="V481" i="2"/>
  <c r="W481" i="2" s="1"/>
  <c r="I482" i="2"/>
  <c r="K482" i="2"/>
  <c r="L482" i="2"/>
  <c r="N482" i="2"/>
  <c r="O482" i="2" s="1"/>
  <c r="R482" i="2"/>
  <c r="S482" i="2"/>
  <c r="T482" i="2"/>
  <c r="V482" i="2"/>
  <c r="W482" i="2" s="1"/>
  <c r="I483" i="2"/>
  <c r="K483" i="2"/>
  <c r="L483" i="2"/>
  <c r="N483" i="2"/>
  <c r="O483" i="2" s="1"/>
  <c r="R483" i="2"/>
  <c r="S483" i="2"/>
  <c r="T483" i="2"/>
  <c r="V483" i="2"/>
  <c r="W483" i="2" s="1"/>
  <c r="I484" i="2"/>
  <c r="K484" i="2"/>
  <c r="L484" i="2"/>
  <c r="N484" i="2"/>
  <c r="O484" i="2" s="1"/>
  <c r="R484" i="2"/>
  <c r="S484" i="2"/>
  <c r="T484" i="2"/>
  <c r="V484" i="2"/>
  <c r="W484" i="2" s="1"/>
  <c r="I485" i="2"/>
  <c r="K485" i="2"/>
  <c r="L485" i="2"/>
  <c r="N485" i="2"/>
  <c r="O485" i="2" s="1"/>
  <c r="R485" i="2"/>
  <c r="S485" i="2"/>
  <c r="T485" i="2"/>
  <c r="V485" i="2"/>
  <c r="W485" i="2" s="1"/>
  <c r="I486" i="2"/>
  <c r="K486" i="2"/>
  <c r="L486" i="2"/>
  <c r="N486" i="2"/>
  <c r="O486" i="2" s="1"/>
  <c r="R486" i="2"/>
  <c r="S486" i="2"/>
  <c r="T486" i="2"/>
  <c r="V486" i="2"/>
  <c r="W486" i="2" s="1"/>
  <c r="I487" i="2"/>
  <c r="K487" i="2"/>
  <c r="L487" i="2"/>
  <c r="N487" i="2"/>
  <c r="O487" i="2" s="1"/>
  <c r="R487" i="2"/>
  <c r="S487" i="2"/>
  <c r="T487" i="2"/>
  <c r="V487" i="2"/>
  <c r="W487" i="2" s="1"/>
  <c r="I488" i="2"/>
  <c r="K488" i="2"/>
  <c r="L488" i="2"/>
  <c r="N488" i="2"/>
  <c r="O488" i="2" s="1"/>
  <c r="R488" i="2"/>
  <c r="S488" i="2"/>
  <c r="T488" i="2"/>
  <c r="V488" i="2"/>
  <c r="W488" i="2" s="1"/>
  <c r="I489" i="2"/>
  <c r="K489" i="2"/>
  <c r="L489" i="2"/>
  <c r="N489" i="2"/>
  <c r="O489" i="2" s="1"/>
  <c r="R489" i="2"/>
  <c r="S489" i="2"/>
  <c r="T489" i="2"/>
  <c r="V489" i="2"/>
  <c r="W489" i="2" s="1"/>
  <c r="I490" i="2"/>
  <c r="K490" i="2"/>
  <c r="L490" i="2"/>
  <c r="N490" i="2"/>
  <c r="O490" i="2" s="1"/>
  <c r="R490" i="2"/>
  <c r="S490" i="2"/>
  <c r="T490" i="2"/>
  <c r="U490" i="2" s="1"/>
  <c r="V490" i="2"/>
  <c r="W490" i="2" s="1"/>
  <c r="I491" i="2"/>
  <c r="K491" i="2"/>
  <c r="L491" i="2"/>
  <c r="N491" i="2"/>
  <c r="O491" i="2" s="1"/>
  <c r="R491" i="2"/>
  <c r="S491" i="2"/>
  <c r="T491" i="2"/>
  <c r="V491" i="2"/>
  <c r="W491" i="2" s="1"/>
  <c r="I492" i="2"/>
  <c r="K492" i="2"/>
  <c r="L492" i="2"/>
  <c r="N492" i="2"/>
  <c r="O492" i="2" s="1"/>
  <c r="R492" i="2"/>
  <c r="S492" i="2"/>
  <c r="T492" i="2"/>
  <c r="V492" i="2"/>
  <c r="W492" i="2" s="1"/>
  <c r="I493" i="2"/>
  <c r="K493" i="2"/>
  <c r="L493" i="2"/>
  <c r="N493" i="2"/>
  <c r="O493" i="2" s="1"/>
  <c r="R493" i="2"/>
  <c r="S493" i="2"/>
  <c r="T493" i="2"/>
  <c r="V493" i="2"/>
  <c r="W493" i="2" s="1"/>
  <c r="I494" i="2"/>
  <c r="K494" i="2"/>
  <c r="L494" i="2"/>
  <c r="N494" i="2"/>
  <c r="O494" i="2" s="1"/>
  <c r="R494" i="2"/>
  <c r="S494" i="2"/>
  <c r="T494" i="2"/>
  <c r="U494" i="2" s="1"/>
  <c r="V494" i="2"/>
  <c r="W494" i="2" s="1"/>
  <c r="I495" i="2"/>
  <c r="K495" i="2"/>
  <c r="L495" i="2"/>
  <c r="N495" i="2"/>
  <c r="O495" i="2" s="1"/>
  <c r="R495" i="2"/>
  <c r="S495" i="2"/>
  <c r="T495" i="2"/>
  <c r="V495" i="2"/>
  <c r="W495" i="2" s="1"/>
  <c r="I496" i="2"/>
  <c r="K496" i="2"/>
  <c r="L496" i="2"/>
  <c r="N496" i="2"/>
  <c r="O496" i="2" s="1"/>
  <c r="R496" i="2"/>
  <c r="S496" i="2"/>
  <c r="T496" i="2"/>
  <c r="U496" i="2" s="1"/>
  <c r="V496" i="2"/>
  <c r="W496" i="2" s="1"/>
  <c r="I497" i="2"/>
  <c r="K497" i="2"/>
  <c r="L497" i="2"/>
  <c r="N497" i="2"/>
  <c r="O497" i="2" s="1"/>
  <c r="R497" i="2"/>
  <c r="S497" i="2"/>
  <c r="T497" i="2"/>
  <c r="U497" i="2" s="1"/>
  <c r="V497" i="2"/>
  <c r="W497" i="2" s="1"/>
  <c r="I498" i="2"/>
  <c r="K498" i="2"/>
  <c r="L498" i="2"/>
  <c r="N498" i="2"/>
  <c r="O498" i="2" s="1"/>
  <c r="R498" i="2"/>
  <c r="S498" i="2"/>
  <c r="T498" i="2"/>
  <c r="V498" i="2"/>
  <c r="W498" i="2" s="1"/>
  <c r="I499" i="2"/>
  <c r="K499" i="2"/>
  <c r="L499" i="2"/>
  <c r="N499" i="2"/>
  <c r="O499" i="2" s="1"/>
  <c r="R499" i="2"/>
  <c r="S499" i="2"/>
  <c r="T499" i="2"/>
  <c r="V499" i="2"/>
  <c r="W499" i="2" s="1"/>
  <c r="I500" i="2"/>
  <c r="K500" i="2"/>
  <c r="L500" i="2"/>
  <c r="N500" i="2"/>
  <c r="O500" i="2" s="1"/>
  <c r="R500" i="2"/>
  <c r="S500" i="2"/>
  <c r="T500" i="2"/>
  <c r="V500" i="2"/>
  <c r="W500" i="2" s="1"/>
  <c r="I501" i="2"/>
  <c r="K501" i="2"/>
  <c r="L501" i="2"/>
  <c r="N501" i="2"/>
  <c r="O501" i="2" s="1"/>
  <c r="R501" i="2"/>
  <c r="S501" i="2"/>
  <c r="T501" i="2"/>
  <c r="V501" i="2"/>
  <c r="W501" i="2" s="1"/>
  <c r="I502" i="2"/>
  <c r="K502" i="2"/>
  <c r="L502" i="2"/>
  <c r="N502" i="2"/>
  <c r="O502" i="2" s="1"/>
  <c r="R502" i="2"/>
  <c r="S502" i="2"/>
  <c r="T502" i="2"/>
  <c r="V502" i="2"/>
  <c r="W502" i="2" s="1"/>
  <c r="I503" i="2"/>
  <c r="K503" i="2"/>
  <c r="L503" i="2"/>
  <c r="N503" i="2"/>
  <c r="O503" i="2" s="1"/>
  <c r="R503" i="2"/>
  <c r="S503" i="2"/>
  <c r="T503" i="2"/>
  <c r="V503" i="2"/>
  <c r="W503" i="2" s="1"/>
  <c r="I504" i="2"/>
  <c r="K504" i="2"/>
  <c r="L504" i="2"/>
  <c r="N504" i="2"/>
  <c r="O504" i="2" s="1"/>
  <c r="R504" i="2"/>
  <c r="S504" i="2"/>
  <c r="T504" i="2"/>
  <c r="V504" i="2"/>
  <c r="W504" i="2" s="1"/>
  <c r="I505" i="2"/>
  <c r="K505" i="2"/>
  <c r="L505" i="2"/>
  <c r="N505" i="2"/>
  <c r="O505" i="2" s="1"/>
  <c r="R505" i="2"/>
  <c r="S505" i="2"/>
  <c r="T505" i="2"/>
  <c r="V505" i="2"/>
  <c r="W505" i="2" s="1"/>
  <c r="I506" i="2"/>
  <c r="K506" i="2"/>
  <c r="L506" i="2"/>
  <c r="N506" i="2"/>
  <c r="O506" i="2" s="1"/>
  <c r="R506" i="2"/>
  <c r="S506" i="2"/>
  <c r="T506" i="2"/>
  <c r="V506" i="2"/>
  <c r="W506" i="2" s="1"/>
  <c r="I507" i="2"/>
  <c r="K507" i="2"/>
  <c r="L507" i="2"/>
  <c r="N507" i="2"/>
  <c r="O507" i="2" s="1"/>
  <c r="R507" i="2"/>
  <c r="S507" i="2"/>
  <c r="T507" i="2"/>
  <c r="V507" i="2"/>
  <c r="W507" i="2" s="1"/>
  <c r="I508" i="2"/>
  <c r="K508" i="2"/>
  <c r="L508" i="2"/>
  <c r="N508" i="2"/>
  <c r="O508" i="2" s="1"/>
  <c r="R508" i="2"/>
  <c r="S508" i="2"/>
  <c r="T508" i="2"/>
  <c r="V508" i="2"/>
  <c r="W508" i="2" s="1"/>
  <c r="I509" i="2"/>
  <c r="K509" i="2"/>
  <c r="L509" i="2"/>
  <c r="N509" i="2"/>
  <c r="O509" i="2" s="1"/>
  <c r="R509" i="2"/>
  <c r="S509" i="2"/>
  <c r="T509" i="2"/>
  <c r="V509" i="2"/>
  <c r="W509" i="2" s="1"/>
  <c r="I510" i="2"/>
  <c r="K510" i="2"/>
  <c r="L510" i="2"/>
  <c r="N510" i="2"/>
  <c r="O510" i="2" s="1"/>
  <c r="R510" i="2"/>
  <c r="S510" i="2"/>
  <c r="T510" i="2"/>
  <c r="V510" i="2"/>
  <c r="W510" i="2" s="1"/>
  <c r="I511" i="2"/>
  <c r="K511" i="2"/>
  <c r="L511" i="2"/>
  <c r="N511" i="2"/>
  <c r="O511" i="2" s="1"/>
  <c r="R511" i="2"/>
  <c r="S511" i="2"/>
  <c r="T511" i="2"/>
  <c r="V511" i="2"/>
  <c r="W511" i="2" s="1"/>
  <c r="I512" i="2"/>
  <c r="K512" i="2"/>
  <c r="L512" i="2"/>
  <c r="N512" i="2"/>
  <c r="O512" i="2" s="1"/>
  <c r="R512" i="2"/>
  <c r="S512" i="2"/>
  <c r="T512" i="2"/>
  <c r="V512" i="2"/>
  <c r="W512" i="2" s="1"/>
  <c r="I513" i="2"/>
  <c r="K513" i="2"/>
  <c r="L513" i="2"/>
  <c r="N513" i="2"/>
  <c r="O513" i="2" s="1"/>
  <c r="R513" i="2"/>
  <c r="S513" i="2"/>
  <c r="T513" i="2"/>
  <c r="V513" i="2"/>
  <c r="W513" i="2" s="1"/>
  <c r="I514" i="2"/>
  <c r="K514" i="2"/>
  <c r="L514" i="2"/>
  <c r="N514" i="2"/>
  <c r="O514" i="2" s="1"/>
  <c r="R514" i="2"/>
  <c r="S514" i="2"/>
  <c r="T514" i="2"/>
  <c r="V514" i="2"/>
  <c r="W514" i="2" s="1"/>
  <c r="I515" i="2"/>
  <c r="K515" i="2"/>
  <c r="L515" i="2"/>
  <c r="N515" i="2"/>
  <c r="O515" i="2" s="1"/>
  <c r="R515" i="2"/>
  <c r="S515" i="2"/>
  <c r="T515" i="2"/>
  <c r="V515" i="2"/>
  <c r="W515" i="2" s="1"/>
  <c r="I516" i="2"/>
  <c r="K516" i="2"/>
  <c r="L516" i="2"/>
  <c r="N516" i="2"/>
  <c r="O516" i="2" s="1"/>
  <c r="R516" i="2"/>
  <c r="S516" i="2"/>
  <c r="T516" i="2"/>
  <c r="V516" i="2"/>
  <c r="W516" i="2" s="1"/>
  <c r="I517" i="2"/>
  <c r="K517" i="2"/>
  <c r="L517" i="2"/>
  <c r="N517" i="2"/>
  <c r="O517" i="2" s="1"/>
  <c r="R517" i="2"/>
  <c r="S517" i="2"/>
  <c r="T517" i="2"/>
  <c r="V517" i="2"/>
  <c r="W517" i="2" s="1"/>
  <c r="I518" i="2"/>
  <c r="K518" i="2"/>
  <c r="L518" i="2"/>
  <c r="N518" i="2"/>
  <c r="O518" i="2" s="1"/>
  <c r="R518" i="2"/>
  <c r="S518" i="2"/>
  <c r="T518" i="2"/>
  <c r="V518" i="2"/>
  <c r="W518" i="2" s="1"/>
  <c r="I519" i="2"/>
  <c r="K519" i="2"/>
  <c r="L519" i="2"/>
  <c r="N519" i="2"/>
  <c r="O519" i="2" s="1"/>
  <c r="R519" i="2"/>
  <c r="S519" i="2"/>
  <c r="T519" i="2"/>
  <c r="U519" i="2" s="1"/>
  <c r="V519" i="2"/>
  <c r="W519" i="2" s="1"/>
  <c r="I520" i="2"/>
  <c r="K520" i="2"/>
  <c r="L520" i="2"/>
  <c r="N520" i="2"/>
  <c r="O520" i="2" s="1"/>
  <c r="R520" i="2"/>
  <c r="S520" i="2"/>
  <c r="T520" i="2"/>
  <c r="V520" i="2"/>
  <c r="W520" i="2" s="1"/>
  <c r="I521" i="2"/>
  <c r="K521" i="2"/>
  <c r="L521" i="2"/>
  <c r="N521" i="2"/>
  <c r="O521" i="2" s="1"/>
  <c r="R521" i="2"/>
  <c r="S521" i="2"/>
  <c r="T521" i="2"/>
  <c r="V521" i="2"/>
  <c r="W521" i="2" s="1"/>
  <c r="I522" i="2"/>
  <c r="K522" i="2"/>
  <c r="L522" i="2"/>
  <c r="N522" i="2"/>
  <c r="O522" i="2" s="1"/>
  <c r="R522" i="2"/>
  <c r="S522" i="2"/>
  <c r="T522" i="2"/>
  <c r="V522" i="2"/>
  <c r="W522" i="2" s="1"/>
  <c r="I523" i="2"/>
  <c r="K523" i="2"/>
  <c r="L523" i="2"/>
  <c r="N523" i="2"/>
  <c r="O523" i="2" s="1"/>
  <c r="R523" i="2"/>
  <c r="S523" i="2"/>
  <c r="T523" i="2"/>
  <c r="U523" i="2" s="1"/>
  <c r="V523" i="2"/>
  <c r="W523" i="2" s="1"/>
  <c r="I524" i="2"/>
  <c r="K524" i="2"/>
  <c r="L524" i="2"/>
  <c r="N524" i="2"/>
  <c r="O524" i="2" s="1"/>
  <c r="R524" i="2"/>
  <c r="S524" i="2"/>
  <c r="T524" i="2"/>
  <c r="V524" i="2"/>
  <c r="W524" i="2" s="1"/>
  <c r="I525" i="2"/>
  <c r="K525" i="2"/>
  <c r="L525" i="2"/>
  <c r="N525" i="2"/>
  <c r="O525" i="2" s="1"/>
  <c r="R525" i="2"/>
  <c r="S525" i="2"/>
  <c r="T525" i="2"/>
  <c r="U525" i="2" s="1"/>
  <c r="V525" i="2"/>
  <c r="W525" i="2" s="1"/>
  <c r="I526" i="2"/>
  <c r="K526" i="2"/>
  <c r="L526" i="2"/>
  <c r="N526" i="2"/>
  <c r="O526" i="2" s="1"/>
  <c r="R526" i="2"/>
  <c r="S526" i="2"/>
  <c r="T526" i="2"/>
  <c r="V526" i="2"/>
  <c r="W526" i="2" s="1"/>
  <c r="I527" i="2"/>
  <c r="K527" i="2"/>
  <c r="L527" i="2"/>
  <c r="N527" i="2"/>
  <c r="O527" i="2" s="1"/>
  <c r="R527" i="2"/>
  <c r="S527" i="2"/>
  <c r="T527" i="2"/>
  <c r="V527" i="2"/>
  <c r="W527" i="2" s="1"/>
  <c r="I528" i="2"/>
  <c r="K528" i="2"/>
  <c r="L528" i="2"/>
  <c r="N528" i="2"/>
  <c r="O528" i="2" s="1"/>
  <c r="R528" i="2"/>
  <c r="S528" i="2"/>
  <c r="T528" i="2"/>
  <c r="U528" i="2" s="1"/>
  <c r="V528" i="2"/>
  <c r="W528" i="2" s="1"/>
  <c r="I529" i="2"/>
  <c r="K529" i="2"/>
  <c r="L529" i="2"/>
  <c r="N529" i="2"/>
  <c r="O529" i="2" s="1"/>
  <c r="R529" i="2"/>
  <c r="S529" i="2"/>
  <c r="T529" i="2"/>
  <c r="U529" i="2" s="1"/>
  <c r="V529" i="2"/>
  <c r="W529" i="2" s="1"/>
  <c r="I530" i="2"/>
  <c r="K530" i="2"/>
  <c r="L530" i="2"/>
  <c r="N530" i="2"/>
  <c r="O530" i="2" s="1"/>
  <c r="R530" i="2"/>
  <c r="S530" i="2"/>
  <c r="T530" i="2"/>
  <c r="V530" i="2"/>
  <c r="W530" i="2" s="1"/>
  <c r="I531" i="2"/>
  <c r="K531" i="2"/>
  <c r="L531" i="2"/>
  <c r="N531" i="2"/>
  <c r="O531" i="2" s="1"/>
  <c r="R531" i="2"/>
  <c r="S531" i="2"/>
  <c r="T531" i="2"/>
  <c r="U531" i="2" s="1"/>
  <c r="V531" i="2"/>
  <c r="W531" i="2" s="1"/>
  <c r="I532" i="2"/>
  <c r="K532" i="2"/>
  <c r="L532" i="2"/>
  <c r="N532" i="2"/>
  <c r="O532" i="2" s="1"/>
  <c r="R532" i="2"/>
  <c r="S532" i="2"/>
  <c r="T532" i="2"/>
  <c r="V532" i="2"/>
  <c r="W532" i="2" s="1"/>
  <c r="I533" i="2"/>
  <c r="K533" i="2"/>
  <c r="L533" i="2"/>
  <c r="N533" i="2"/>
  <c r="O533" i="2" s="1"/>
  <c r="R533" i="2"/>
  <c r="S533" i="2"/>
  <c r="T533" i="2"/>
  <c r="V533" i="2"/>
  <c r="I534" i="2"/>
  <c r="K534" i="2"/>
  <c r="L534" i="2"/>
  <c r="N534" i="2"/>
  <c r="O534" i="2" s="1"/>
  <c r="R534" i="2"/>
  <c r="S534" i="2"/>
  <c r="T534" i="2"/>
  <c r="V534" i="2"/>
  <c r="W534" i="2" s="1"/>
  <c r="I535" i="2"/>
  <c r="K535" i="2"/>
  <c r="L535" i="2"/>
  <c r="N535" i="2"/>
  <c r="O535" i="2" s="1"/>
  <c r="R535" i="2"/>
  <c r="S535" i="2"/>
  <c r="T535" i="2"/>
  <c r="V535" i="2"/>
  <c r="W535" i="2" s="1"/>
  <c r="I536" i="2"/>
  <c r="K536" i="2"/>
  <c r="L536" i="2"/>
  <c r="N536" i="2"/>
  <c r="O536" i="2" s="1"/>
  <c r="R536" i="2"/>
  <c r="S536" i="2"/>
  <c r="T536" i="2"/>
  <c r="U536" i="2" s="1"/>
  <c r="V536" i="2"/>
  <c r="W536" i="2" s="1"/>
  <c r="I537" i="2"/>
  <c r="K537" i="2"/>
  <c r="L537" i="2"/>
  <c r="N537" i="2"/>
  <c r="O537" i="2" s="1"/>
  <c r="R537" i="2"/>
  <c r="S537" i="2"/>
  <c r="T537" i="2"/>
  <c r="V537" i="2"/>
  <c r="W537" i="2" s="1"/>
  <c r="I538" i="2"/>
  <c r="K538" i="2"/>
  <c r="L538" i="2"/>
  <c r="N538" i="2"/>
  <c r="O538" i="2" s="1"/>
  <c r="R538" i="2"/>
  <c r="S538" i="2"/>
  <c r="T538" i="2"/>
  <c r="V538" i="2"/>
  <c r="W538" i="2" s="1"/>
  <c r="I539" i="2"/>
  <c r="K539" i="2"/>
  <c r="L539" i="2"/>
  <c r="N539" i="2"/>
  <c r="O539" i="2" s="1"/>
  <c r="R539" i="2"/>
  <c r="S539" i="2"/>
  <c r="T539" i="2"/>
  <c r="V539" i="2"/>
  <c r="W539" i="2" s="1"/>
  <c r="I540" i="2"/>
  <c r="K540" i="2"/>
  <c r="L540" i="2"/>
  <c r="N540" i="2"/>
  <c r="O540" i="2" s="1"/>
  <c r="R540" i="2"/>
  <c r="S540" i="2"/>
  <c r="T540" i="2"/>
  <c r="U540" i="2" s="1"/>
  <c r="V540" i="2"/>
  <c r="W540" i="2" s="1"/>
  <c r="I541" i="2"/>
  <c r="K541" i="2"/>
  <c r="L541" i="2"/>
  <c r="N541" i="2"/>
  <c r="O541" i="2" s="1"/>
  <c r="R541" i="2"/>
  <c r="S541" i="2"/>
  <c r="T541" i="2"/>
  <c r="V541" i="2"/>
  <c r="W541" i="2" s="1"/>
  <c r="I542" i="2"/>
  <c r="K542" i="2"/>
  <c r="L542" i="2"/>
  <c r="N542" i="2"/>
  <c r="O542" i="2" s="1"/>
  <c r="R542" i="2"/>
  <c r="S542" i="2"/>
  <c r="T542" i="2"/>
  <c r="U542" i="2" s="1"/>
  <c r="V542" i="2"/>
  <c r="W542" i="2" s="1"/>
  <c r="I543" i="2"/>
  <c r="K543" i="2"/>
  <c r="L543" i="2"/>
  <c r="N543" i="2"/>
  <c r="O543" i="2" s="1"/>
  <c r="R543" i="2"/>
  <c r="S543" i="2"/>
  <c r="T543" i="2"/>
  <c r="V543" i="2"/>
  <c r="W543" i="2" s="1"/>
  <c r="I544" i="2"/>
  <c r="K544" i="2"/>
  <c r="L544" i="2"/>
  <c r="N544" i="2"/>
  <c r="O544" i="2" s="1"/>
  <c r="R544" i="2"/>
  <c r="S544" i="2"/>
  <c r="T544" i="2"/>
  <c r="V544" i="2"/>
  <c r="W544" i="2" s="1"/>
  <c r="I545" i="2"/>
  <c r="K545" i="2"/>
  <c r="L545" i="2"/>
  <c r="N545" i="2"/>
  <c r="O545" i="2" s="1"/>
  <c r="R545" i="2"/>
  <c r="S545" i="2"/>
  <c r="T545" i="2"/>
  <c r="V545" i="2"/>
  <c r="W545" i="2" s="1"/>
  <c r="I546" i="2"/>
  <c r="K546" i="2"/>
  <c r="L546" i="2"/>
  <c r="N546" i="2"/>
  <c r="O546" i="2" s="1"/>
  <c r="R546" i="2"/>
  <c r="S546" i="2"/>
  <c r="T546" i="2"/>
  <c r="V546" i="2"/>
  <c r="W546" i="2" s="1"/>
  <c r="I547" i="2"/>
  <c r="K547" i="2"/>
  <c r="L547" i="2"/>
  <c r="N547" i="2"/>
  <c r="O547" i="2" s="1"/>
  <c r="R547" i="2"/>
  <c r="S547" i="2"/>
  <c r="T547" i="2"/>
  <c r="V547" i="2"/>
  <c r="W547" i="2" s="1"/>
  <c r="I548" i="2"/>
  <c r="K548" i="2"/>
  <c r="L548" i="2"/>
  <c r="N548" i="2"/>
  <c r="O548" i="2" s="1"/>
  <c r="R548" i="2"/>
  <c r="S548" i="2"/>
  <c r="T548" i="2"/>
  <c r="U548" i="2" s="1"/>
  <c r="V548" i="2"/>
  <c r="W548" i="2" s="1"/>
  <c r="I549" i="2"/>
  <c r="K549" i="2"/>
  <c r="L549" i="2"/>
  <c r="N549" i="2"/>
  <c r="O549" i="2" s="1"/>
  <c r="R549" i="2"/>
  <c r="S549" i="2"/>
  <c r="T549" i="2"/>
  <c r="V549" i="2"/>
  <c r="W549" i="2" s="1"/>
  <c r="I550" i="2"/>
  <c r="K550" i="2"/>
  <c r="L550" i="2"/>
  <c r="N550" i="2"/>
  <c r="O550" i="2" s="1"/>
  <c r="R550" i="2"/>
  <c r="S550" i="2"/>
  <c r="T550" i="2"/>
  <c r="U550" i="2" s="1"/>
  <c r="V550" i="2"/>
  <c r="W550" i="2" s="1"/>
  <c r="I551" i="2"/>
  <c r="K551" i="2"/>
  <c r="L551" i="2"/>
  <c r="N551" i="2"/>
  <c r="O551" i="2" s="1"/>
  <c r="R551" i="2"/>
  <c r="S551" i="2"/>
  <c r="T551" i="2"/>
  <c r="U551" i="2" s="1"/>
  <c r="V551" i="2"/>
  <c r="W551" i="2" s="1"/>
  <c r="I552" i="2"/>
  <c r="K552" i="2"/>
  <c r="L552" i="2"/>
  <c r="N552" i="2"/>
  <c r="O552" i="2" s="1"/>
  <c r="R552" i="2"/>
  <c r="S552" i="2"/>
  <c r="T552" i="2"/>
  <c r="V552" i="2"/>
  <c r="W552" i="2" s="1"/>
  <c r="I553" i="2"/>
  <c r="K553" i="2"/>
  <c r="L553" i="2"/>
  <c r="N553" i="2"/>
  <c r="O553" i="2" s="1"/>
  <c r="R553" i="2"/>
  <c r="S553" i="2"/>
  <c r="T553" i="2"/>
  <c r="V553" i="2"/>
  <c r="W553" i="2" s="1"/>
  <c r="I554" i="2"/>
  <c r="K554" i="2"/>
  <c r="L554" i="2"/>
  <c r="N554" i="2"/>
  <c r="O554" i="2" s="1"/>
  <c r="R554" i="2"/>
  <c r="S554" i="2"/>
  <c r="T554" i="2"/>
  <c r="V554" i="2"/>
  <c r="W554" i="2" s="1"/>
  <c r="I555" i="2"/>
  <c r="K555" i="2"/>
  <c r="L555" i="2"/>
  <c r="N555" i="2"/>
  <c r="O555" i="2" s="1"/>
  <c r="R555" i="2"/>
  <c r="S555" i="2"/>
  <c r="T555" i="2"/>
  <c r="V555" i="2"/>
  <c r="W555" i="2" s="1"/>
  <c r="I556" i="2"/>
  <c r="K556" i="2"/>
  <c r="L556" i="2"/>
  <c r="N556" i="2"/>
  <c r="O556" i="2" s="1"/>
  <c r="R556" i="2"/>
  <c r="S556" i="2"/>
  <c r="T556" i="2"/>
  <c r="V556" i="2"/>
  <c r="W556" i="2" s="1"/>
  <c r="I557" i="2"/>
  <c r="K557" i="2"/>
  <c r="L557" i="2"/>
  <c r="N557" i="2"/>
  <c r="O557" i="2" s="1"/>
  <c r="R557" i="2"/>
  <c r="S557" i="2"/>
  <c r="T557" i="2"/>
  <c r="U557" i="2" s="1"/>
  <c r="V557" i="2"/>
  <c r="W557" i="2" s="1"/>
  <c r="I558" i="2"/>
  <c r="K558" i="2"/>
  <c r="L558" i="2"/>
  <c r="N558" i="2"/>
  <c r="O558" i="2" s="1"/>
  <c r="R558" i="2"/>
  <c r="S558" i="2"/>
  <c r="T558" i="2"/>
  <c r="V558" i="2"/>
  <c r="W558" i="2" s="1"/>
  <c r="I559" i="2"/>
  <c r="K559" i="2"/>
  <c r="L559" i="2"/>
  <c r="N559" i="2"/>
  <c r="O559" i="2" s="1"/>
  <c r="R559" i="2"/>
  <c r="S559" i="2"/>
  <c r="T559" i="2"/>
  <c r="V559" i="2"/>
  <c r="W559" i="2" s="1"/>
  <c r="I560" i="2"/>
  <c r="K560" i="2"/>
  <c r="L560" i="2"/>
  <c r="N560" i="2"/>
  <c r="O560" i="2" s="1"/>
  <c r="R560" i="2"/>
  <c r="S560" i="2"/>
  <c r="T560" i="2"/>
  <c r="U560" i="2" s="1"/>
  <c r="V560" i="2"/>
  <c r="W560" i="2" s="1"/>
  <c r="I561" i="2"/>
  <c r="K561" i="2"/>
  <c r="L561" i="2"/>
  <c r="N561" i="2"/>
  <c r="O561" i="2" s="1"/>
  <c r="R561" i="2"/>
  <c r="S561" i="2"/>
  <c r="T561" i="2"/>
  <c r="U561" i="2" s="1"/>
  <c r="V561" i="2"/>
  <c r="W561" i="2" s="1"/>
  <c r="I562" i="2"/>
  <c r="K562" i="2"/>
  <c r="L562" i="2"/>
  <c r="N562" i="2"/>
  <c r="O562" i="2" s="1"/>
  <c r="R562" i="2"/>
  <c r="S562" i="2"/>
  <c r="T562" i="2"/>
  <c r="V562" i="2"/>
  <c r="W562" i="2" s="1"/>
  <c r="I563" i="2"/>
  <c r="K563" i="2"/>
  <c r="L563" i="2"/>
  <c r="N563" i="2"/>
  <c r="O563" i="2" s="1"/>
  <c r="R563" i="2"/>
  <c r="S563" i="2"/>
  <c r="T563" i="2"/>
  <c r="U563" i="2" s="1"/>
  <c r="V563" i="2"/>
  <c r="W563" i="2" s="1"/>
  <c r="I564" i="2"/>
  <c r="K564" i="2"/>
  <c r="L564" i="2"/>
  <c r="N564" i="2"/>
  <c r="O564" i="2" s="1"/>
  <c r="R564" i="2"/>
  <c r="S564" i="2"/>
  <c r="T564" i="2"/>
  <c r="V564" i="2"/>
  <c r="W564" i="2" s="1"/>
  <c r="I565" i="2"/>
  <c r="K565" i="2"/>
  <c r="L565" i="2"/>
  <c r="N565" i="2"/>
  <c r="O565" i="2" s="1"/>
  <c r="R565" i="2"/>
  <c r="S565" i="2"/>
  <c r="T565" i="2"/>
  <c r="V565" i="2"/>
  <c r="W565" i="2" s="1"/>
  <c r="I566" i="2"/>
  <c r="K566" i="2"/>
  <c r="L566" i="2"/>
  <c r="N566" i="2"/>
  <c r="O566" i="2" s="1"/>
  <c r="R566" i="2"/>
  <c r="S566" i="2"/>
  <c r="T566" i="2"/>
  <c r="V566" i="2"/>
  <c r="W566" i="2" s="1"/>
  <c r="I567" i="2"/>
  <c r="K567" i="2"/>
  <c r="L567" i="2"/>
  <c r="N567" i="2"/>
  <c r="O567" i="2" s="1"/>
  <c r="R567" i="2"/>
  <c r="S567" i="2"/>
  <c r="T567" i="2"/>
  <c r="U567" i="2" s="1"/>
  <c r="V567" i="2"/>
  <c r="W567" i="2" s="1"/>
  <c r="I568" i="2"/>
  <c r="K568" i="2"/>
  <c r="L568" i="2"/>
  <c r="N568" i="2"/>
  <c r="O568" i="2" s="1"/>
  <c r="R568" i="2"/>
  <c r="S568" i="2"/>
  <c r="T568" i="2"/>
  <c r="V568" i="2"/>
  <c r="W568" i="2" s="1"/>
  <c r="I569" i="2"/>
  <c r="K569" i="2"/>
  <c r="L569" i="2"/>
  <c r="N569" i="2"/>
  <c r="O569" i="2" s="1"/>
  <c r="R569" i="2"/>
  <c r="S569" i="2"/>
  <c r="T569" i="2"/>
  <c r="V569" i="2"/>
  <c r="W569" i="2" s="1"/>
  <c r="I570" i="2"/>
  <c r="K570" i="2"/>
  <c r="L570" i="2"/>
  <c r="N570" i="2"/>
  <c r="O570" i="2" s="1"/>
  <c r="R570" i="2"/>
  <c r="S570" i="2"/>
  <c r="T570" i="2"/>
  <c r="V570" i="2"/>
  <c r="W570" i="2" s="1"/>
  <c r="I571" i="2"/>
  <c r="K571" i="2"/>
  <c r="L571" i="2"/>
  <c r="N571" i="2"/>
  <c r="O571" i="2" s="1"/>
  <c r="R571" i="2"/>
  <c r="S571" i="2"/>
  <c r="T571" i="2"/>
  <c r="V571" i="2"/>
  <c r="W571" i="2" s="1"/>
  <c r="I572" i="2"/>
  <c r="K572" i="2"/>
  <c r="L572" i="2"/>
  <c r="N572" i="2"/>
  <c r="O572" i="2" s="1"/>
  <c r="R572" i="2"/>
  <c r="S572" i="2"/>
  <c r="T572" i="2"/>
  <c r="V572" i="2"/>
  <c r="W572" i="2" s="1"/>
  <c r="I573" i="2"/>
  <c r="K573" i="2"/>
  <c r="L573" i="2"/>
  <c r="N573" i="2"/>
  <c r="O573" i="2" s="1"/>
  <c r="R573" i="2"/>
  <c r="S573" i="2"/>
  <c r="T573" i="2"/>
  <c r="V573" i="2"/>
  <c r="W573" i="2" s="1"/>
  <c r="I574" i="2"/>
  <c r="K574" i="2"/>
  <c r="L574" i="2"/>
  <c r="N574" i="2"/>
  <c r="O574" i="2" s="1"/>
  <c r="R574" i="2"/>
  <c r="S574" i="2"/>
  <c r="T574" i="2"/>
  <c r="V574" i="2"/>
  <c r="W574" i="2" s="1"/>
  <c r="I575" i="2"/>
  <c r="K575" i="2"/>
  <c r="L575" i="2"/>
  <c r="N575" i="2"/>
  <c r="O575" i="2" s="1"/>
  <c r="R575" i="2"/>
  <c r="S575" i="2"/>
  <c r="T575" i="2"/>
  <c r="V575" i="2"/>
  <c r="W575" i="2" s="1"/>
  <c r="I576" i="2"/>
  <c r="K576" i="2"/>
  <c r="L576" i="2"/>
  <c r="N576" i="2"/>
  <c r="O576" i="2" s="1"/>
  <c r="R576" i="2"/>
  <c r="S576" i="2"/>
  <c r="T576" i="2"/>
  <c r="V576" i="2"/>
  <c r="W576" i="2" s="1"/>
  <c r="I577" i="2"/>
  <c r="K577" i="2"/>
  <c r="L577" i="2"/>
  <c r="N577" i="2"/>
  <c r="O577" i="2" s="1"/>
  <c r="R577" i="2"/>
  <c r="S577" i="2"/>
  <c r="T577" i="2"/>
  <c r="V577" i="2"/>
  <c r="W577" i="2" s="1"/>
  <c r="I578" i="2"/>
  <c r="K578" i="2"/>
  <c r="L578" i="2"/>
  <c r="N578" i="2"/>
  <c r="O578" i="2" s="1"/>
  <c r="R578" i="2"/>
  <c r="S578" i="2"/>
  <c r="T578" i="2"/>
  <c r="V578" i="2"/>
  <c r="W578" i="2" s="1"/>
  <c r="I579" i="2"/>
  <c r="K579" i="2"/>
  <c r="L579" i="2"/>
  <c r="N579" i="2"/>
  <c r="O579" i="2" s="1"/>
  <c r="R579" i="2"/>
  <c r="S579" i="2"/>
  <c r="T579" i="2"/>
  <c r="V579" i="2"/>
  <c r="W579" i="2" s="1"/>
  <c r="I580" i="2"/>
  <c r="K580" i="2"/>
  <c r="L580" i="2"/>
  <c r="N580" i="2"/>
  <c r="O580" i="2" s="1"/>
  <c r="R580" i="2"/>
  <c r="S580" i="2"/>
  <c r="T580" i="2"/>
  <c r="U580" i="2" s="1"/>
  <c r="V580" i="2"/>
  <c r="W580" i="2" s="1"/>
  <c r="I581" i="2"/>
  <c r="K581" i="2"/>
  <c r="L581" i="2"/>
  <c r="N581" i="2"/>
  <c r="O581" i="2" s="1"/>
  <c r="R581" i="2"/>
  <c r="S581" i="2"/>
  <c r="T581" i="2"/>
  <c r="V581" i="2"/>
  <c r="W581" i="2" s="1"/>
  <c r="I582" i="2"/>
  <c r="K582" i="2"/>
  <c r="L582" i="2"/>
  <c r="N582" i="2"/>
  <c r="O582" i="2" s="1"/>
  <c r="R582" i="2"/>
  <c r="S582" i="2"/>
  <c r="T582" i="2"/>
  <c r="V582" i="2"/>
  <c r="W582" i="2" s="1"/>
  <c r="I583" i="2"/>
  <c r="K583" i="2"/>
  <c r="L583" i="2"/>
  <c r="N583" i="2"/>
  <c r="O583" i="2" s="1"/>
  <c r="R583" i="2"/>
  <c r="S583" i="2"/>
  <c r="T583" i="2"/>
  <c r="V583" i="2"/>
  <c r="W583" i="2" s="1"/>
  <c r="I584" i="2"/>
  <c r="K584" i="2"/>
  <c r="L584" i="2"/>
  <c r="N584" i="2"/>
  <c r="O584" i="2" s="1"/>
  <c r="R584" i="2"/>
  <c r="S584" i="2"/>
  <c r="T584" i="2"/>
  <c r="V584" i="2"/>
  <c r="W584" i="2" s="1"/>
  <c r="I585" i="2"/>
  <c r="K585" i="2"/>
  <c r="L585" i="2"/>
  <c r="N585" i="2"/>
  <c r="O585" i="2" s="1"/>
  <c r="R585" i="2"/>
  <c r="S585" i="2"/>
  <c r="T585" i="2"/>
  <c r="V585" i="2"/>
  <c r="W585" i="2" s="1"/>
  <c r="I586" i="2"/>
  <c r="K586" i="2"/>
  <c r="L586" i="2"/>
  <c r="N586" i="2"/>
  <c r="O586" i="2" s="1"/>
  <c r="R586" i="2"/>
  <c r="S586" i="2"/>
  <c r="T586" i="2"/>
  <c r="V586" i="2"/>
  <c r="W586" i="2" s="1"/>
  <c r="I587" i="2"/>
  <c r="K587" i="2"/>
  <c r="L587" i="2"/>
  <c r="N587" i="2"/>
  <c r="O587" i="2" s="1"/>
  <c r="R587" i="2"/>
  <c r="S587" i="2"/>
  <c r="T587" i="2"/>
  <c r="V587" i="2"/>
  <c r="W587" i="2" s="1"/>
  <c r="I588" i="2"/>
  <c r="K588" i="2"/>
  <c r="L588" i="2"/>
  <c r="N588" i="2"/>
  <c r="O588" i="2" s="1"/>
  <c r="R588" i="2"/>
  <c r="S588" i="2"/>
  <c r="T588" i="2"/>
  <c r="V588" i="2"/>
  <c r="W588" i="2" s="1"/>
  <c r="I589" i="2"/>
  <c r="K589" i="2"/>
  <c r="L589" i="2"/>
  <c r="N589" i="2"/>
  <c r="O589" i="2" s="1"/>
  <c r="R589" i="2"/>
  <c r="S589" i="2"/>
  <c r="T589" i="2"/>
  <c r="V589" i="2"/>
  <c r="W589" i="2" s="1"/>
  <c r="I590" i="2"/>
  <c r="K590" i="2"/>
  <c r="L590" i="2"/>
  <c r="N590" i="2"/>
  <c r="O590" i="2" s="1"/>
  <c r="R590" i="2"/>
  <c r="S590" i="2"/>
  <c r="T590" i="2"/>
  <c r="V590" i="2"/>
  <c r="W590" i="2" s="1"/>
  <c r="I591" i="2"/>
  <c r="K591" i="2"/>
  <c r="L591" i="2"/>
  <c r="N591" i="2"/>
  <c r="O591" i="2" s="1"/>
  <c r="R591" i="2"/>
  <c r="S591" i="2"/>
  <c r="T591" i="2"/>
  <c r="V591" i="2"/>
  <c r="W591" i="2" s="1"/>
  <c r="I592" i="2"/>
  <c r="K592" i="2"/>
  <c r="L592" i="2"/>
  <c r="N592" i="2"/>
  <c r="O592" i="2" s="1"/>
  <c r="R592" i="2"/>
  <c r="S592" i="2"/>
  <c r="T592" i="2"/>
  <c r="U592" i="2" s="1"/>
  <c r="V592" i="2"/>
  <c r="W592" i="2" s="1"/>
  <c r="I593" i="2"/>
  <c r="K593" i="2"/>
  <c r="L593" i="2"/>
  <c r="N593" i="2"/>
  <c r="O593" i="2" s="1"/>
  <c r="R593" i="2"/>
  <c r="S593" i="2"/>
  <c r="T593" i="2"/>
  <c r="V593" i="2"/>
  <c r="W593" i="2" s="1"/>
  <c r="I594" i="2"/>
  <c r="K594" i="2"/>
  <c r="L594" i="2"/>
  <c r="N594" i="2"/>
  <c r="O594" i="2" s="1"/>
  <c r="R594" i="2"/>
  <c r="S594" i="2"/>
  <c r="T594" i="2"/>
  <c r="V594" i="2"/>
  <c r="W594" i="2" s="1"/>
  <c r="I595" i="2"/>
  <c r="K595" i="2"/>
  <c r="L595" i="2"/>
  <c r="N595" i="2"/>
  <c r="O595" i="2" s="1"/>
  <c r="R595" i="2"/>
  <c r="S595" i="2"/>
  <c r="T595" i="2"/>
  <c r="V595" i="2"/>
  <c r="W595" i="2" s="1"/>
  <c r="I596" i="2"/>
  <c r="K596" i="2"/>
  <c r="L596" i="2"/>
  <c r="N596" i="2"/>
  <c r="O596" i="2" s="1"/>
  <c r="R596" i="2"/>
  <c r="S596" i="2"/>
  <c r="T596" i="2"/>
  <c r="V596" i="2"/>
  <c r="W596" i="2" s="1"/>
  <c r="I597" i="2"/>
  <c r="K597" i="2"/>
  <c r="L597" i="2"/>
  <c r="N597" i="2"/>
  <c r="O597" i="2" s="1"/>
  <c r="R597" i="2"/>
  <c r="S597" i="2"/>
  <c r="T597" i="2"/>
  <c r="V597" i="2"/>
  <c r="W597" i="2" s="1"/>
  <c r="I598" i="2"/>
  <c r="K598" i="2"/>
  <c r="L598" i="2"/>
  <c r="N598" i="2"/>
  <c r="O598" i="2" s="1"/>
  <c r="R598" i="2"/>
  <c r="S598" i="2"/>
  <c r="T598" i="2"/>
  <c r="V598" i="2"/>
  <c r="W598" i="2" s="1"/>
  <c r="I599" i="2"/>
  <c r="K599" i="2"/>
  <c r="L599" i="2"/>
  <c r="N599" i="2"/>
  <c r="O599" i="2" s="1"/>
  <c r="R599" i="2"/>
  <c r="S599" i="2"/>
  <c r="T599" i="2"/>
  <c r="V599" i="2"/>
  <c r="W599" i="2" s="1"/>
  <c r="I600" i="2"/>
  <c r="K600" i="2"/>
  <c r="L600" i="2"/>
  <c r="N600" i="2"/>
  <c r="O600" i="2" s="1"/>
  <c r="R600" i="2"/>
  <c r="S600" i="2"/>
  <c r="T600" i="2"/>
  <c r="U600" i="2" s="1"/>
  <c r="V600" i="2"/>
  <c r="W600" i="2" s="1"/>
  <c r="I601" i="2"/>
  <c r="K601" i="2"/>
  <c r="L601" i="2"/>
  <c r="N601" i="2"/>
  <c r="O601" i="2" s="1"/>
  <c r="R601" i="2"/>
  <c r="S601" i="2"/>
  <c r="T601" i="2"/>
  <c r="U601" i="2" s="1"/>
  <c r="V601" i="2"/>
  <c r="W601" i="2" s="1"/>
  <c r="I602" i="2"/>
  <c r="K602" i="2"/>
  <c r="L602" i="2"/>
  <c r="N602" i="2"/>
  <c r="O602" i="2" s="1"/>
  <c r="R602" i="2"/>
  <c r="S602" i="2"/>
  <c r="T602" i="2"/>
  <c r="V602" i="2"/>
  <c r="W602" i="2" s="1"/>
  <c r="I603" i="2"/>
  <c r="K603" i="2"/>
  <c r="L603" i="2"/>
  <c r="N603" i="2"/>
  <c r="O603" i="2" s="1"/>
  <c r="R603" i="2"/>
  <c r="S603" i="2"/>
  <c r="T603" i="2"/>
  <c r="V603" i="2"/>
  <c r="W603" i="2" s="1"/>
  <c r="I604" i="2"/>
  <c r="K604" i="2"/>
  <c r="L604" i="2"/>
  <c r="N604" i="2"/>
  <c r="O604" i="2" s="1"/>
  <c r="R604" i="2"/>
  <c r="S604" i="2"/>
  <c r="T604" i="2"/>
  <c r="V604" i="2"/>
  <c r="W604" i="2" s="1"/>
  <c r="I605" i="2"/>
  <c r="K605" i="2"/>
  <c r="L605" i="2"/>
  <c r="N605" i="2"/>
  <c r="O605" i="2" s="1"/>
  <c r="R605" i="2"/>
  <c r="S605" i="2"/>
  <c r="T605" i="2"/>
  <c r="V605" i="2"/>
  <c r="W605" i="2" s="1"/>
  <c r="I606" i="2"/>
  <c r="K606" i="2"/>
  <c r="L606" i="2"/>
  <c r="N606" i="2"/>
  <c r="O606" i="2" s="1"/>
  <c r="R606" i="2"/>
  <c r="S606" i="2"/>
  <c r="T606" i="2"/>
  <c r="V606" i="2"/>
  <c r="W606" i="2" s="1"/>
  <c r="I607" i="2"/>
  <c r="K607" i="2"/>
  <c r="L607" i="2"/>
  <c r="N607" i="2"/>
  <c r="O607" i="2" s="1"/>
  <c r="R607" i="2"/>
  <c r="S607" i="2"/>
  <c r="T607" i="2"/>
  <c r="V607" i="2"/>
  <c r="W607" i="2" s="1"/>
  <c r="I608" i="2"/>
  <c r="K608" i="2"/>
  <c r="L608" i="2"/>
  <c r="N608" i="2"/>
  <c r="O608" i="2" s="1"/>
  <c r="R608" i="2"/>
  <c r="S608" i="2"/>
  <c r="T608" i="2"/>
  <c r="V608" i="2"/>
  <c r="W608" i="2" s="1"/>
  <c r="I609" i="2"/>
  <c r="K609" i="2"/>
  <c r="L609" i="2"/>
  <c r="N609" i="2"/>
  <c r="O609" i="2" s="1"/>
  <c r="R609" i="2"/>
  <c r="S609" i="2"/>
  <c r="T609" i="2"/>
  <c r="V609" i="2"/>
  <c r="W609" i="2" s="1"/>
  <c r="I610" i="2"/>
  <c r="K610" i="2"/>
  <c r="L610" i="2"/>
  <c r="N610" i="2"/>
  <c r="O610" i="2" s="1"/>
  <c r="R610" i="2"/>
  <c r="S610" i="2"/>
  <c r="T610" i="2"/>
  <c r="V610" i="2"/>
  <c r="W610" i="2" s="1"/>
  <c r="I611" i="2"/>
  <c r="K611" i="2"/>
  <c r="L611" i="2"/>
  <c r="N611" i="2"/>
  <c r="O611" i="2" s="1"/>
  <c r="R611" i="2"/>
  <c r="S611" i="2"/>
  <c r="T611" i="2"/>
  <c r="U611" i="2" s="1"/>
  <c r="V611" i="2"/>
  <c r="W611" i="2" s="1"/>
  <c r="I612" i="2"/>
  <c r="K612" i="2"/>
  <c r="L612" i="2"/>
  <c r="N612" i="2"/>
  <c r="O612" i="2" s="1"/>
  <c r="R612" i="2"/>
  <c r="S612" i="2"/>
  <c r="T612" i="2"/>
  <c r="V612" i="2"/>
  <c r="W612" i="2" s="1"/>
  <c r="I613" i="2"/>
  <c r="K613" i="2"/>
  <c r="L613" i="2"/>
  <c r="N613" i="2"/>
  <c r="O613" i="2" s="1"/>
  <c r="R613" i="2"/>
  <c r="S613" i="2"/>
  <c r="T613" i="2"/>
  <c r="V613" i="2"/>
  <c r="W613" i="2" s="1"/>
  <c r="I614" i="2"/>
  <c r="K614" i="2"/>
  <c r="L614" i="2"/>
  <c r="N614" i="2"/>
  <c r="O614" i="2" s="1"/>
  <c r="R614" i="2"/>
  <c r="S614" i="2"/>
  <c r="T614" i="2"/>
  <c r="U614" i="2" s="1"/>
  <c r="V614" i="2"/>
  <c r="W614" i="2" s="1"/>
  <c r="I615" i="2"/>
  <c r="K615" i="2"/>
  <c r="L615" i="2"/>
  <c r="N615" i="2"/>
  <c r="O615" i="2" s="1"/>
  <c r="R615" i="2"/>
  <c r="S615" i="2"/>
  <c r="T615" i="2"/>
  <c r="V615" i="2"/>
  <c r="W615" i="2" s="1"/>
  <c r="I616" i="2"/>
  <c r="K616" i="2"/>
  <c r="L616" i="2"/>
  <c r="N616" i="2"/>
  <c r="O616" i="2" s="1"/>
  <c r="R616" i="2"/>
  <c r="S616" i="2"/>
  <c r="T616" i="2"/>
  <c r="V616" i="2"/>
  <c r="W616" i="2" s="1"/>
  <c r="I617" i="2"/>
  <c r="K617" i="2"/>
  <c r="L617" i="2"/>
  <c r="N617" i="2"/>
  <c r="O617" i="2" s="1"/>
  <c r="R617" i="2"/>
  <c r="S617" i="2"/>
  <c r="T617" i="2"/>
  <c r="V617" i="2"/>
  <c r="W617" i="2" s="1"/>
  <c r="I618" i="2"/>
  <c r="K618" i="2"/>
  <c r="L618" i="2"/>
  <c r="N618" i="2"/>
  <c r="O618" i="2" s="1"/>
  <c r="R618" i="2"/>
  <c r="S618" i="2"/>
  <c r="T618" i="2"/>
  <c r="V618" i="2"/>
  <c r="W618" i="2" s="1"/>
  <c r="I619" i="2"/>
  <c r="K619" i="2"/>
  <c r="L619" i="2"/>
  <c r="N619" i="2"/>
  <c r="O619" i="2" s="1"/>
  <c r="R619" i="2"/>
  <c r="S619" i="2"/>
  <c r="T619" i="2"/>
  <c r="V619" i="2"/>
  <c r="W619" i="2" s="1"/>
  <c r="I620" i="2"/>
  <c r="K620" i="2"/>
  <c r="L620" i="2"/>
  <c r="N620" i="2"/>
  <c r="O620" i="2" s="1"/>
  <c r="R620" i="2"/>
  <c r="S620" i="2"/>
  <c r="T620" i="2"/>
  <c r="V620" i="2"/>
  <c r="W620" i="2" s="1"/>
  <c r="I621" i="2"/>
  <c r="K621" i="2"/>
  <c r="L621" i="2"/>
  <c r="N621" i="2"/>
  <c r="O621" i="2" s="1"/>
  <c r="R621" i="2"/>
  <c r="S621" i="2"/>
  <c r="T621" i="2"/>
  <c r="V621" i="2"/>
  <c r="W621" i="2" s="1"/>
  <c r="I622" i="2"/>
  <c r="K622" i="2"/>
  <c r="L622" i="2"/>
  <c r="N622" i="2"/>
  <c r="O622" i="2" s="1"/>
  <c r="R622" i="2"/>
  <c r="S622" i="2"/>
  <c r="T622" i="2"/>
  <c r="V622" i="2"/>
  <c r="W622" i="2" s="1"/>
  <c r="I623" i="2"/>
  <c r="K623" i="2"/>
  <c r="L623" i="2"/>
  <c r="N623" i="2"/>
  <c r="O623" i="2" s="1"/>
  <c r="R623" i="2"/>
  <c r="S623" i="2"/>
  <c r="T623" i="2"/>
  <c r="V623" i="2"/>
  <c r="W623" i="2" s="1"/>
  <c r="I624" i="2"/>
  <c r="K624" i="2"/>
  <c r="L624" i="2"/>
  <c r="N624" i="2"/>
  <c r="O624" i="2" s="1"/>
  <c r="R624" i="2"/>
  <c r="S624" i="2"/>
  <c r="T624" i="2"/>
  <c r="U624" i="2" s="1"/>
  <c r="V624" i="2"/>
  <c r="W624" i="2" s="1"/>
  <c r="I625" i="2"/>
  <c r="K625" i="2"/>
  <c r="L625" i="2"/>
  <c r="N625" i="2"/>
  <c r="O625" i="2" s="1"/>
  <c r="R625" i="2"/>
  <c r="S625" i="2"/>
  <c r="T625" i="2"/>
  <c r="V625" i="2"/>
  <c r="I626" i="2"/>
  <c r="K626" i="2"/>
  <c r="L626" i="2"/>
  <c r="N626" i="2"/>
  <c r="O626" i="2" s="1"/>
  <c r="R626" i="2"/>
  <c r="S626" i="2"/>
  <c r="T626" i="2"/>
  <c r="V626" i="2"/>
  <c r="W626" i="2" s="1"/>
  <c r="I627" i="2"/>
  <c r="K627" i="2"/>
  <c r="L627" i="2"/>
  <c r="N627" i="2"/>
  <c r="O627" i="2" s="1"/>
  <c r="R627" i="2"/>
  <c r="S627" i="2"/>
  <c r="T627" i="2"/>
  <c r="U627" i="2" s="1"/>
  <c r="V627" i="2"/>
  <c r="W627" i="2" s="1"/>
  <c r="I628" i="2"/>
  <c r="K628" i="2"/>
  <c r="L628" i="2"/>
  <c r="N628" i="2"/>
  <c r="O628" i="2" s="1"/>
  <c r="R628" i="2"/>
  <c r="S628" i="2"/>
  <c r="T628" i="2"/>
  <c r="V628" i="2"/>
  <c r="W628" i="2" s="1"/>
  <c r="I629" i="2"/>
  <c r="K629" i="2"/>
  <c r="L629" i="2"/>
  <c r="N629" i="2"/>
  <c r="O629" i="2" s="1"/>
  <c r="R629" i="2"/>
  <c r="S629" i="2"/>
  <c r="T629" i="2"/>
  <c r="V629" i="2"/>
  <c r="W629" i="2" s="1"/>
  <c r="I630" i="2"/>
  <c r="K630" i="2"/>
  <c r="L630" i="2"/>
  <c r="N630" i="2"/>
  <c r="O630" i="2" s="1"/>
  <c r="R630" i="2"/>
  <c r="S630" i="2"/>
  <c r="T630" i="2"/>
  <c r="V630" i="2"/>
  <c r="W630" i="2" s="1"/>
  <c r="I631" i="2"/>
  <c r="K631" i="2"/>
  <c r="L631" i="2"/>
  <c r="N631" i="2"/>
  <c r="O631" i="2" s="1"/>
  <c r="R631" i="2"/>
  <c r="S631" i="2"/>
  <c r="T631" i="2"/>
  <c r="V631" i="2"/>
  <c r="W631" i="2" s="1"/>
  <c r="I632" i="2"/>
  <c r="K632" i="2"/>
  <c r="L632" i="2"/>
  <c r="N632" i="2"/>
  <c r="O632" i="2" s="1"/>
  <c r="R632" i="2"/>
  <c r="S632" i="2"/>
  <c r="T632" i="2"/>
  <c r="V632" i="2"/>
  <c r="W632" i="2" s="1"/>
  <c r="I633" i="2"/>
  <c r="K633" i="2"/>
  <c r="L633" i="2"/>
  <c r="N633" i="2"/>
  <c r="O633" i="2" s="1"/>
  <c r="R633" i="2"/>
  <c r="S633" i="2"/>
  <c r="T633" i="2"/>
  <c r="V633" i="2"/>
  <c r="W633" i="2" s="1"/>
  <c r="I634" i="2"/>
  <c r="K634" i="2"/>
  <c r="L634" i="2"/>
  <c r="N634" i="2"/>
  <c r="O634" i="2" s="1"/>
  <c r="R634" i="2"/>
  <c r="S634" i="2"/>
  <c r="T634" i="2"/>
  <c r="V634" i="2"/>
  <c r="W634" i="2" s="1"/>
  <c r="I635" i="2"/>
  <c r="K635" i="2"/>
  <c r="L635" i="2"/>
  <c r="N635" i="2"/>
  <c r="O635" i="2" s="1"/>
  <c r="R635" i="2"/>
  <c r="S635" i="2"/>
  <c r="T635" i="2"/>
  <c r="V635" i="2"/>
  <c r="W635" i="2" s="1"/>
  <c r="I636" i="2"/>
  <c r="K636" i="2"/>
  <c r="L636" i="2"/>
  <c r="N636" i="2"/>
  <c r="O636" i="2" s="1"/>
  <c r="R636" i="2"/>
  <c r="S636" i="2"/>
  <c r="T636" i="2"/>
  <c r="U636" i="2" s="1"/>
  <c r="V636" i="2"/>
  <c r="W636" i="2" s="1"/>
  <c r="I637" i="2"/>
  <c r="K637" i="2"/>
  <c r="L637" i="2"/>
  <c r="N637" i="2"/>
  <c r="O637" i="2" s="1"/>
  <c r="R637" i="2"/>
  <c r="S637" i="2"/>
  <c r="T637" i="2"/>
  <c r="V637" i="2"/>
  <c r="I638" i="2"/>
  <c r="K638" i="2"/>
  <c r="L638" i="2"/>
  <c r="N638" i="2"/>
  <c r="O638" i="2" s="1"/>
  <c r="R638" i="2"/>
  <c r="S638" i="2"/>
  <c r="T638" i="2"/>
  <c r="V638" i="2"/>
  <c r="W638" i="2" s="1"/>
  <c r="I639" i="2"/>
  <c r="K639" i="2"/>
  <c r="L639" i="2"/>
  <c r="N639" i="2"/>
  <c r="O639" i="2" s="1"/>
  <c r="R639" i="2"/>
  <c r="S639" i="2"/>
  <c r="T639" i="2"/>
  <c r="U639" i="2" s="1"/>
  <c r="V639" i="2"/>
  <c r="W639" i="2" s="1"/>
  <c r="I640" i="2"/>
  <c r="K640" i="2"/>
  <c r="L640" i="2"/>
  <c r="N640" i="2"/>
  <c r="O640" i="2" s="1"/>
  <c r="R640" i="2"/>
  <c r="S640" i="2"/>
  <c r="T640" i="2"/>
  <c r="U640" i="2" s="1"/>
  <c r="V640" i="2"/>
  <c r="W640" i="2" s="1"/>
  <c r="N3" i="2"/>
  <c r="O3" i="2" s="1"/>
  <c r="N4" i="2"/>
  <c r="O4" i="2" s="1"/>
  <c r="N5" i="2"/>
  <c r="O5" i="2" s="1"/>
  <c r="N6" i="2"/>
  <c r="O6" i="2" s="1"/>
  <c r="N7" i="2"/>
  <c r="O7" i="2" s="1"/>
  <c r="N8" i="2"/>
  <c r="O8" i="2" s="1"/>
  <c r="N9" i="2"/>
  <c r="O9" i="2" s="1"/>
  <c r="N10" i="2"/>
  <c r="O10" i="2" s="1"/>
  <c r="N11" i="2"/>
  <c r="O11" i="2" s="1"/>
  <c r="N12" i="2"/>
  <c r="O12" i="2" s="1"/>
  <c r="N13" i="2"/>
  <c r="O13" i="2" s="1"/>
  <c r="N14" i="2"/>
  <c r="O14" i="2" s="1"/>
  <c r="N15" i="2"/>
  <c r="O15" i="2" s="1"/>
  <c r="N16" i="2"/>
  <c r="O16" i="2" s="1"/>
  <c r="N17" i="2"/>
  <c r="O17" i="2" s="1"/>
  <c r="N18" i="2"/>
  <c r="O18" i="2" s="1"/>
  <c r="N19" i="2"/>
  <c r="O19" i="2" s="1"/>
  <c r="N20" i="2"/>
  <c r="O20" i="2" s="1"/>
  <c r="N21" i="2"/>
  <c r="O21" i="2" s="1"/>
  <c r="N22" i="2"/>
  <c r="O22" i="2" s="1"/>
  <c r="N23" i="2"/>
  <c r="O23" i="2" s="1"/>
  <c r="N24" i="2"/>
  <c r="O24" i="2" s="1"/>
  <c r="N25" i="2"/>
  <c r="O25" i="2" s="1"/>
  <c r="N27" i="2"/>
  <c r="O27" i="2" s="1"/>
  <c r="N28" i="2"/>
  <c r="O28" i="2" s="1"/>
  <c r="N29" i="2"/>
  <c r="O29" i="2" s="1"/>
  <c r="N30" i="2"/>
  <c r="O30" i="2" s="1"/>
  <c r="N31" i="2"/>
  <c r="O31" i="2" s="1"/>
  <c r="N32" i="2"/>
  <c r="O32" i="2" s="1"/>
  <c r="N33" i="2"/>
  <c r="O33" i="2" s="1"/>
  <c r="N34" i="2"/>
  <c r="O34" i="2" s="1"/>
  <c r="N35" i="2"/>
  <c r="O35" i="2" s="1"/>
  <c r="N36" i="2"/>
  <c r="O36" i="2" s="1"/>
  <c r="N37" i="2"/>
  <c r="O37" i="2" s="1"/>
  <c r="N38" i="2"/>
  <c r="O38" i="2" s="1"/>
  <c r="N39" i="2"/>
  <c r="O39" i="2" s="1"/>
  <c r="N40" i="2"/>
  <c r="O40" i="2" s="1"/>
  <c r="N41" i="2"/>
  <c r="O41" i="2" s="1"/>
  <c r="N42" i="2"/>
  <c r="O42" i="2" s="1"/>
  <c r="N43" i="2"/>
  <c r="O43" i="2" s="1"/>
  <c r="N44" i="2"/>
  <c r="O44" i="2" s="1"/>
  <c r="N45" i="2"/>
  <c r="O45" i="2" s="1"/>
  <c r="N46" i="2"/>
  <c r="O46" i="2" s="1"/>
  <c r="N47" i="2"/>
  <c r="O47" i="2" s="1"/>
  <c r="N48" i="2"/>
  <c r="O48" i="2" s="1"/>
  <c r="N49" i="2"/>
  <c r="O49" i="2" s="1"/>
  <c r="N50" i="2"/>
  <c r="O50" i="2" s="1"/>
  <c r="N51" i="2"/>
  <c r="O51" i="2" s="1"/>
  <c r="N52" i="2"/>
  <c r="O52" i="2" s="1"/>
  <c r="N53" i="2"/>
  <c r="O53" i="2" s="1"/>
  <c r="N54" i="2"/>
  <c r="O54" i="2" s="1"/>
  <c r="N55" i="2"/>
  <c r="O55" i="2" s="1"/>
  <c r="N56" i="2"/>
  <c r="O56" i="2" s="1"/>
  <c r="N57" i="2"/>
  <c r="O57" i="2" s="1"/>
  <c r="N58" i="2"/>
  <c r="O58" i="2" s="1"/>
  <c r="N59" i="2"/>
  <c r="O59" i="2" s="1"/>
  <c r="N60" i="2"/>
  <c r="O60" i="2" s="1"/>
  <c r="N61" i="2"/>
  <c r="O61" i="2" s="1"/>
  <c r="N62" i="2"/>
  <c r="O62" i="2" s="1"/>
  <c r="N63" i="2"/>
  <c r="O63" i="2" s="1"/>
  <c r="N64" i="2"/>
  <c r="O64" i="2" s="1"/>
  <c r="N65" i="2"/>
  <c r="O65" i="2" s="1"/>
  <c r="N66" i="2"/>
  <c r="O66" i="2" s="1"/>
  <c r="N67" i="2"/>
  <c r="O67" i="2" s="1"/>
  <c r="N68" i="2"/>
  <c r="O68" i="2" s="1"/>
  <c r="N69" i="2"/>
  <c r="O69" i="2" s="1"/>
  <c r="N70" i="2"/>
  <c r="O70" i="2" s="1"/>
  <c r="N71" i="2"/>
  <c r="O71" i="2" s="1"/>
  <c r="N72" i="2"/>
  <c r="O72" i="2" s="1"/>
  <c r="N73" i="2"/>
  <c r="O73" i="2" s="1"/>
  <c r="N74" i="2"/>
  <c r="O74" i="2" s="1"/>
  <c r="N75" i="2"/>
  <c r="O75" i="2" s="1"/>
  <c r="N76" i="2"/>
  <c r="O76" i="2" s="1"/>
  <c r="N77" i="2"/>
  <c r="O77" i="2" s="1"/>
  <c r="N78" i="2"/>
  <c r="O78" i="2" s="1"/>
  <c r="N79" i="2"/>
  <c r="O79" i="2" s="1"/>
  <c r="N80" i="2"/>
  <c r="O80" i="2" s="1"/>
  <c r="N81" i="2"/>
  <c r="O81" i="2" s="1"/>
  <c r="N82" i="2"/>
  <c r="O82" i="2" s="1"/>
  <c r="N83" i="2"/>
  <c r="O83" i="2" s="1"/>
  <c r="N84" i="2"/>
  <c r="O84" i="2" s="1"/>
  <c r="N85" i="2"/>
  <c r="O85" i="2" s="1"/>
  <c r="N86" i="2"/>
  <c r="O86" i="2" s="1"/>
  <c r="N87" i="2"/>
  <c r="O87" i="2" s="1"/>
  <c r="N88" i="2"/>
  <c r="O88" i="2" s="1"/>
  <c r="N89" i="2"/>
  <c r="O89" i="2" s="1"/>
  <c r="N90" i="2"/>
  <c r="O90" i="2" s="1"/>
  <c r="N91" i="2"/>
  <c r="O91" i="2" s="1"/>
  <c r="N92" i="2"/>
  <c r="O92" i="2" s="1"/>
  <c r="N93" i="2"/>
  <c r="O93" i="2" s="1"/>
  <c r="N94" i="2"/>
  <c r="O94" i="2" s="1"/>
  <c r="N95" i="2"/>
  <c r="O95" i="2" s="1"/>
  <c r="N96" i="2"/>
  <c r="O96" i="2" s="1"/>
  <c r="N97" i="2"/>
  <c r="O97" i="2" s="1"/>
  <c r="N98" i="2"/>
  <c r="O98" i="2" s="1"/>
  <c r="N99" i="2"/>
  <c r="O99" i="2" s="1"/>
  <c r="N100" i="2"/>
  <c r="O100" i="2" s="1"/>
  <c r="N101" i="2"/>
  <c r="O101" i="2" s="1"/>
  <c r="N102" i="2"/>
  <c r="O102" i="2" s="1"/>
  <c r="N103" i="2"/>
  <c r="O103" i="2" s="1"/>
  <c r="N104" i="2"/>
  <c r="O104" i="2" s="1"/>
  <c r="N105" i="2"/>
  <c r="O105" i="2" s="1"/>
  <c r="N106" i="2"/>
  <c r="O106" i="2" s="1"/>
  <c r="N107" i="2"/>
  <c r="O107" i="2" s="1"/>
  <c r="N108" i="2"/>
  <c r="O108" i="2" s="1"/>
  <c r="N109" i="2"/>
  <c r="O109" i="2" s="1"/>
  <c r="N110" i="2"/>
  <c r="O110" i="2" s="1"/>
  <c r="N111" i="2"/>
  <c r="O111" i="2" s="1"/>
  <c r="N112" i="2"/>
  <c r="O112" i="2" s="1"/>
  <c r="N113" i="2"/>
  <c r="O113" i="2" s="1"/>
  <c r="N114" i="2"/>
  <c r="O114" i="2" s="1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O122" i="2" s="1"/>
  <c r="N123" i="2"/>
  <c r="O123" i="2" s="1"/>
  <c r="N124" i="2"/>
  <c r="O124" i="2" s="1"/>
  <c r="N125" i="2"/>
  <c r="O125" i="2" s="1"/>
  <c r="N126" i="2"/>
  <c r="O126" i="2" s="1"/>
  <c r="N127" i="2"/>
  <c r="O127" i="2" s="1"/>
  <c r="N128" i="2"/>
  <c r="O128" i="2" s="1"/>
  <c r="N129" i="2"/>
  <c r="O129" i="2" s="1"/>
  <c r="N130" i="2"/>
  <c r="O130" i="2" s="1"/>
  <c r="N131" i="2"/>
  <c r="O131" i="2" s="1"/>
  <c r="N132" i="2"/>
  <c r="O132" i="2" s="1"/>
  <c r="N133" i="2"/>
  <c r="O133" i="2" s="1"/>
  <c r="N134" i="2"/>
  <c r="O134" i="2" s="1"/>
  <c r="N135" i="2"/>
  <c r="O135" i="2" s="1"/>
  <c r="N136" i="2"/>
  <c r="O136" i="2" s="1"/>
  <c r="N137" i="2"/>
  <c r="O137" i="2" s="1"/>
  <c r="N138" i="2"/>
  <c r="O138" i="2" s="1"/>
  <c r="N139" i="2"/>
  <c r="O139" i="2" s="1"/>
  <c r="N140" i="2"/>
  <c r="O140" i="2" s="1"/>
  <c r="N141" i="2"/>
  <c r="O141" i="2" s="1"/>
  <c r="N142" i="2"/>
  <c r="O142" i="2" s="1"/>
  <c r="N143" i="2"/>
  <c r="O143" i="2" s="1"/>
  <c r="N144" i="2"/>
  <c r="O144" i="2" s="1"/>
  <c r="N145" i="2"/>
  <c r="O145" i="2" s="1"/>
  <c r="N146" i="2"/>
  <c r="O146" i="2" s="1"/>
  <c r="N147" i="2"/>
  <c r="O147" i="2" s="1"/>
  <c r="N148" i="2"/>
  <c r="O148" i="2" s="1"/>
  <c r="N149" i="2"/>
  <c r="O149" i="2" s="1"/>
  <c r="N150" i="2"/>
  <c r="O150" i="2" s="1"/>
  <c r="N151" i="2"/>
  <c r="O151" i="2" s="1"/>
  <c r="N152" i="2"/>
  <c r="O152" i="2" s="1"/>
  <c r="N153" i="2"/>
  <c r="O153" i="2" s="1"/>
  <c r="N154" i="2"/>
  <c r="O154" i="2" s="1"/>
  <c r="N155" i="2"/>
  <c r="O155" i="2" s="1"/>
  <c r="N156" i="2"/>
  <c r="O156" i="2" s="1"/>
  <c r="N157" i="2"/>
  <c r="O157" i="2" s="1"/>
  <c r="N158" i="2"/>
  <c r="O158" i="2" s="1"/>
  <c r="N159" i="2"/>
  <c r="O159" i="2" s="1"/>
  <c r="N160" i="2"/>
  <c r="O160" i="2" s="1"/>
  <c r="N161" i="2"/>
  <c r="O161" i="2" s="1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O173" i="2" s="1"/>
  <c r="N174" i="2"/>
  <c r="O174" i="2" s="1"/>
  <c r="N175" i="2"/>
  <c r="O175" i="2" s="1"/>
  <c r="N176" i="2"/>
  <c r="O176" i="2" s="1"/>
  <c r="N177" i="2"/>
  <c r="O177" i="2" s="1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O193" i="2" s="1"/>
  <c r="N194" i="2"/>
  <c r="O194" i="2" s="1"/>
  <c r="N195" i="2"/>
  <c r="O195" i="2" s="1"/>
  <c r="N196" i="2"/>
  <c r="O196" i="2" s="1"/>
  <c r="N197" i="2"/>
  <c r="O197" i="2" s="1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O205" i="2" s="1"/>
  <c r="N206" i="2"/>
  <c r="O206" i="2" s="1"/>
  <c r="N207" i="2"/>
  <c r="O207" i="2" s="1"/>
  <c r="N208" i="2"/>
  <c r="O208" i="2" s="1"/>
  <c r="N209" i="2"/>
  <c r="O209" i="2" s="1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O225" i="2" s="1"/>
  <c r="N226" i="2"/>
  <c r="O226" i="2" s="1"/>
  <c r="N227" i="2"/>
  <c r="O227" i="2" s="1"/>
  <c r="N228" i="2"/>
  <c r="O228" i="2" s="1"/>
  <c r="N229" i="2"/>
  <c r="O229" i="2" s="1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O241" i="2" s="1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O249" i="2" s="1"/>
  <c r="N250" i="2"/>
  <c r="O250" i="2" s="1"/>
  <c r="N251" i="2"/>
  <c r="O251" i="2" s="1"/>
  <c r="N252" i="2"/>
  <c r="O252" i="2" s="1"/>
  <c r="N253" i="2"/>
  <c r="O253" i="2" s="1"/>
  <c r="N254" i="2"/>
  <c r="O254" i="2" s="1"/>
  <c r="N255" i="2"/>
  <c r="O255" i="2" s="1"/>
  <c r="N256" i="2"/>
  <c r="O256" i="2" s="1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O265" i="2" s="1"/>
  <c r="N266" i="2"/>
  <c r="O266" i="2" s="1"/>
  <c r="N267" i="2"/>
  <c r="O267" i="2" s="1"/>
  <c r="N268" i="2"/>
  <c r="O268" i="2" s="1"/>
  <c r="N269" i="2"/>
  <c r="O269" i="2" s="1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O280" i="2" s="1"/>
  <c r="N281" i="2"/>
  <c r="O281" i="2" s="1"/>
  <c r="N282" i="2"/>
  <c r="O282" i="2" s="1"/>
  <c r="N283" i="2"/>
  <c r="O283" i="2" s="1"/>
  <c r="N284" i="2"/>
  <c r="O284" i="2" s="1"/>
  <c r="N285" i="2"/>
  <c r="O285" i="2" s="1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O297" i="2" s="1"/>
  <c r="N298" i="2"/>
  <c r="O298" i="2" s="1"/>
  <c r="N299" i="2"/>
  <c r="O299" i="2" s="1"/>
  <c r="N300" i="2"/>
  <c r="O300" i="2" s="1"/>
  <c r="N301" i="2"/>
  <c r="O301" i="2" s="1"/>
  <c r="N302" i="2"/>
  <c r="O302" i="2" s="1"/>
  <c r="N303" i="2"/>
  <c r="O303" i="2" s="1"/>
  <c r="N304" i="2"/>
  <c r="O304" i="2" s="1"/>
  <c r="N305" i="2"/>
  <c r="O305" i="2" s="1"/>
  <c r="N306" i="2"/>
  <c r="O306" i="2" s="1"/>
  <c r="N307" i="2"/>
  <c r="O307" i="2" s="1"/>
  <c r="N308" i="2"/>
  <c r="O308" i="2" s="1"/>
  <c r="N309" i="2"/>
  <c r="O309" i="2" s="1"/>
  <c r="N310" i="2"/>
  <c r="O310" i="2" s="1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O321" i="2" s="1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O329" i="2" s="1"/>
  <c r="N330" i="2"/>
  <c r="O330" i="2" s="1"/>
  <c r="N331" i="2"/>
  <c r="O331" i="2" s="1"/>
  <c r="N332" i="2"/>
  <c r="O332" i="2" s="1"/>
  <c r="N333" i="2"/>
  <c r="O333" i="2" s="1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O345" i="2" s="1"/>
  <c r="N346" i="2"/>
  <c r="O346" i="2" s="1"/>
  <c r="N347" i="2"/>
  <c r="O347" i="2" s="1"/>
  <c r="N348" i="2"/>
  <c r="O348" i="2" s="1"/>
  <c r="N349" i="2"/>
  <c r="O349" i="2" s="1"/>
  <c r="N350" i="2"/>
  <c r="O350" i="2" s="1"/>
  <c r="N351" i="2"/>
  <c r="O351" i="2" s="1"/>
  <c r="N352" i="2"/>
  <c r="O352" i="2" s="1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O360" i="2" s="1"/>
  <c r="N361" i="2"/>
  <c r="O361" i="2" s="1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O377" i="2" s="1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O385" i="2" s="1"/>
  <c r="N386" i="2"/>
  <c r="O386" i="2" s="1"/>
  <c r="N387" i="2"/>
  <c r="O387" i="2" s="1"/>
  <c r="N388" i="2"/>
  <c r="O388" i="2" s="1"/>
  <c r="N389" i="2"/>
  <c r="O389" i="2" s="1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O397" i="2" s="1"/>
  <c r="N2" i="2"/>
  <c r="O2" i="2" s="1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2" i="2"/>
  <c r="V3" i="2"/>
  <c r="W3" i="2" s="1"/>
  <c r="V4" i="2"/>
  <c r="W4" i="2" s="1"/>
  <c r="V5" i="2"/>
  <c r="W5" i="2" s="1"/>
  <c r="V6" i="2"/>
  <c r="W6" i="2" s="1"/>
  <c r="V7" i="2"/>
  <c r="W7" i="2" s="1"/>
  <c r="V8" i="2"/>
  <c r="W8" i="2" s="1"/>
  <c r="V9" i="2"/>
  <c r="W9" i="2" s="1"/>
  <c r="V10" i="2"/>
  <c r="W10" i="2" s="1"/>
  <c r="V11" i="2"/>
  <c r="W11" i="2" s="1"/>
  <c r="V12" i="2"/>
  <c r="W12" i="2" s="1"/>
  <c r="V13" i="2"/>
  <c r="W13" i="2" s="1"/>
  <c r="V14" i="2"/>
  <c r="W14" i="2" s="1"/>
  <c r="V15" i="2"/>
  <c r="W15" i="2" s="1"/>
  <c r="V16" i="2"/>
  <c r="W16" i="2" s="1"/>
  <c r="V17" i="2"/>
  <c r="W17" i="2" s="1"/>
  <c r="V18" i="2"/>
  <c r="V19" i="2"/>
  <c r="W19" i="2" s="1"/>
  <c r="V20" i="2"/>
  <c r="W20" i="2" s="1"/>
  <c r="V21" i="2"/>
  <c r="W21" i="2" s="1"/>
  <c r="V22" i="2"/>
  <c r="W22" i="2" s="1"/>
  <c r="V23" i="2"/>
  <c r="W23" i="2" s="1"/>
  <c r="V24" i="2"/>
  <c r="W24" i="2" s="1"/>
  <c r="V25" i="2"/>
  <c r="W25" i="2" s="1"/>
  <c r="V26" i="2"/>
  <c r="W26" i="2" s="1"/>
  <c r="V27" i="2"/>
  <c r="W27" i="2" s="1"/>
  <c r="V28" i="2"/>
  <c r="W28" i="2" s="1"/>
  <c r="V29" i="2"/>
  <c r="W29" i="2" s="1"/>
  <c r="V30" i="2"/>
  <c r="W30" i="2" s="1"/>
  <c r="V31" i="2"/>
  <c r="W31" i="2" s="1"/>
  <c r="V32" i="2"/>
  <c r="W32" i="2" s="1"/>
  <c r="V33" i="2"/>
  <c r="W33" i="2" s="1"/>
  <c r="V34" i="2"/>
  <c r="W34" i="2" s="1"/>
  <c r="V35" i="2"/>
  <c r="W35" i="2" s="1"/>
  <c r="V36" i="2"/>
  <c r="W36" i="2" s="1"/>
  <c r="V37" i="2"/>
  <c r="W37" i="2" s="1"/>
  <c r="V38" i="2"/>
  <c r="W38" i="2" s="1"/>
  <c r="V39" i="2"/>
  <c r="W39" i="2" s="1"/>
  <c r="V40" i="2"/>
  <c r="W40" i="2" s="1"/>
  <c r="V41" i="2"/>
  <c r="W41" i="2" s="1"/>
  <c r="V42" i="2"/>
  <c r="W42" i="2" s="1"/>
  <c r="V43" i="2"/>
  <c r="W43" i="2" s="1"/>
  <c r="V44" i="2"/>
  <c r="W44" i="2" s="1"/>
  <c r="V45" i="2"/>
  <c r="W45" i="2" s="1"/>
  <c r="V46" i="2"/>
  <c r="W46" i="2" s="1"/>
  <c r="V47" i="2"/>
  <c r="W47" i="2" s="1"/>
  <c r="V48" i="2"/>
  <c r="W48" i="2" s="1"/>
  <c r="V49" i="2"/>
  <c r="W49" i="2" s="1"/>
  <c r="V50" i="2"/>
  <c r="W50" i="2" s="1"/>
  <c r="V51" i="2"/>
  <c r="W51" i="2" s="1"/>
  <c r="V52" i="2"/>
  <c r="W52" i="2" s="1"/>
  <c r="V53" i="2"/>
  <c r="W53" i="2" s="1"/>
  <c r="V54" i="2"/>
  <c r="W54" i="2" s="1"/>
  <c r="V55" i="2"/>
  <c r="W55" i="2" s="1"/>
  <c r="V56" i="2"/>
  <c r="W56" i="2" s="1"/>
  <c r="V57" i="2"/>
  <c r="W57" i="2" s="1"/>
  <c r="V58" i="2"/>
  <c r="W58" i="2" s="1"/>
  <c r="V59" i="2"/>
  <c r="W59" i="2" s="1"/>
  <c r="V60" i="2"/>
  <c r="W60" i="2" s="1"/>
  <c r="V61" i="2"/>
  <c r="W61" i="2" s="1"/>
  <c r="V62" i="2"/>
  <c r="W62" i="2" s="1"/>
  <c r="V63" i="2"/>
  <c r="W63" i="2" s="1"/>
  <c r="V64" i="2"/>
  <c r="W64" i="2" s="1"/>
  <c r="V65" i="2"/>
  <c r="W65" i="2" s="1"/>
  <c r="V66" i="2"/>
  <c r="W66" i="2" s="1"/>
  <c r="V67" i="2"/>
  <c r="W67" i="2" s="1"/>
  <c r="V68" i="2"/>
  <c r="W68" i="2" s="1"/>
  <c r="V69" i="2"/>
  <c r="W69" i="2" s="1"/>
  <c r="V70" i="2"/>
  <c r="W70" i="2" s="1"/>
  <c r="V71" i="2"/>
  <c r="W71" i="2" s="1"/>
  <c r="V72" i="2"/>
  <c r="W72" i="2" s="1"/>
  <c r="V73" i="2"/>
  <c r="W73" i="2" s="1"/>
  <c r="V74" i="2"/>
  <c r="W74" i="2" s="1"/>
  <c r="V75" i="2"/>
  <c r="W75" i="2" s="1"/>
  <c r="V76" i="2"/>
  <c r="W76" i="2" s="1"/>
  <c r="V77" i="2"/>
  <c r="W77" i="2" s="1"/>
  <c r="V78" i="2"/>
  <c r="W78" i="2" s="1"/>
  <c r="V79" i="2"/>
  <c r="W79" i="2" s="1"/>
  <c r="V80" i="2"/>
  <c r="W80" i="2" s="1"/>
  <c r="V81" i="2"/>
  <c r="W81" i="2" s="1"/>
  <c r="V82" i="2"/>
  <c r="W82" i="2" s="1"/>
  <c r="V83" i="2"/>
  <c r="W83" i="2" s="1"/>
  <c r="V84" i="2"/>
  <c r="W84" i="2" s="1"/>
  <c r="V85" i="2"/>
  <c r="W85" i="2" s="1"/>
  <c r="V86" i="2"/>
  <c r="W86" i="2" s="1"/>
  <c r="V87" i="2"/>
  <c r="W87" i="2" s="1"/>
  <c r="V88" i="2"/>
  <c r="W88" i="2" s="1"/>
  <c r="V89" i="2"/>
  <c r="W89" i="2" s="1"/>
  <c r="V90" i="2"/>
  <c r="W90" i="2" s="1"/>
  <c r="V91" i="2"/>
  <c r="V92" i="2"/>
  <c r="W92" i="2" s="1"/>
  <c r="V93" i="2"/>
  <c r="W93" i="2" s="1"/>
  <c r="V94" i="2"/>
  <c r="W94" i="2" s="1"/>
  <c r="V95" i="2"/>
  <c r="W95" i="2" s="1"/>
  <c r="V96" i="2"/>
  <c r="W96" i="2" s="1"/>
  <c r="V97" i="2"/>
  <c r="W97" i="2" s="1"/>
  <c r="V98" i="2"/>
  <c r="W98" i="2" s="1"/>
  <c r="V99" i="2"/>
  <c r="W99" i="2" s="1"/>
  <c r="V100" i="2"/>
  <c r="W100" i="2" s="1"/>
  <c r="V101" i="2"/>
  <c r="W101" i="2" s="1"/>
  <c r="V102" i="2"/>
  <c r="W102" i="2" s="1"/>
  <c r="V103" i="2"/>
  <c r="W103" i="2" s="1"/>
  <c r="V104" i="2"/>
  <c r="W104" i="2" s="1"/>
  <c r="V105" i="2"/>
  <c r="W105" i="2" s="1"/>
  <c r="V106" i="2"/>
  <c r="W106" i="2" s="1"/>
  <c r="V107" i="2"/>
  <c r="W107" i="2" s="1"/>
  <c r="V108" i="2"/>
  <c r="W108" i="2" s="1"/>
  <c r="V109" i="2"/>
  <c r="W109" i="2" s="1"/>
  <c r="V110" i="2"/>
  <c r="W110" i="2" s="1"/>
  <c r="V111" i="2"/>
  <c r="W111" i="2" s="1"/>
  <c r="V112" i="2"/>
  <c r="W112" i="2" s="1"/>
  <c r="V113" i="2"/>
  <c r="W113" i="2" s="1"/>
  <c r="V114" i="2"/>
  <c r="W114" i="2" s="1"/>
  <c r="V115" i="2"/>
  <c r="W115" i="2" s="1"/>
  <c r="V116" i="2"/>
  <c r="W116" i="2" s="1"/>
  <c r="V117" i="2"/>
  <c r="W117" i="2" s="1"/>
  <c r="V118" i="2"/>
  <c r="W118" i="2" s="1"/>
  <c r="V119" i="2"/>
  <c r="W119" i="2" s="1"/>
  <c r="V120" i="2"/>
  <c r="W120" i="2" s="1"/>
  <c r="V121" i="2"/>
  <c r="W121" i="2" s="1"/>
  <c r="V122" i="2"/>
  <c r="W122" i="2" s="1"/>
  <c r="V123" i="2"/>
  <c r="W123" i="2" s="1"/>
  <c r="V124" i="2"/>
  <c r="W124" i="2" s="1"/>
  <c r="V125" i="2"/>
  <c r="W125" i="2" s="1"/>
  <c r="V126" i="2"/>
  <c r="W126" i="2" s="1"/>
  <c r="V127" i="2"/>
  <c r="W127" i="2" s="1"/>
  <c r="V128" i="2"/>
  <c r="W128" i="2" s="1"/>
  <c r="V129" i="2"/>
  <c r="W129" i="2" s="1"/>
  <c r="V130" i="2"/>
  <c r="W130" i="2" s="1"/>
  <c r="V131" i="2"/>
  <c r="W131" i="2" s="1"/>
  <c r="V132" i="2"/>
  <c r="W132" i="2" s="1"/>
  <c r="V133" i="2"/>
  <c r="W133" i="2" s="1"/>
  <c r="V134" i="2"/>
  <c r="W134" i="2" s="1"/>
  <c r="V135" i="2"/>
  <c r="W135" i="2" s="1"/>
  <c r="V136" i="2"/>
  <c r="W136" i="2" s="1"/>
  <c r="V137" i="2"/>
  <c r="W137" i="2" s="1"/>
  <c r="V138" i="2"/>
  <c r="W138" i="2" s="1"/>
  <c r="V139" i="2"/>
  <c r="W139" i="2" s="1"/>
  <c r="V140" i="2"/>
  <c r="W140" i="2" s="1"/>
  <c r="V141" i="2"/>
  <c r="W141" i="2" s="1"/>
  <c r="V142" i="2"/>
  <c r="W142" i="2" s="1"/>
  <c r="V143" i="2"/>
  <c r="W143" i="2" s="1"/>
  <c r="V144" i="2"/>
  <c r="W144" i="2" s="1"/>
  <c r="V145" i="2"/>
  <c r="W145" i="2" s="1"/>
  <c r="V146" i="2"/>
  <c r="W146" i="2" s="1"/>
  <c r="V147" i="2"/>
  <c r="W147" i="2" s="1"/>
  <c r="V148" i="2"/>
  <c r="W148" i="2" s="1"/>
  <c r="V149" i="2"/>
  <c r="W149" i="2" s="1"/>
  <c r="V150" i="2"/>
  <c r="W150" i="2" s="1"/>
  <c r="V151" i="2"/>
  <c r="W151" i="2" s="1"/>
  <c r="V152" i="2"/>
  <c r="W152" i="2" s="1"/>
  <c r="V153" i="2"/>
  <c r="W153" i="2" s="1"/>
  <c r="V154" i="2"/>
  <c r="W154" i="2" s="1"/>
  <c r="V155" i="2"/>
  <c r="W155" i="2" s="1"/>
  <c r="V156" i="2"/>
  <c r="W156" i="2" s="1"/>
  <c r="V157" i="2"/>
  <c r="W157" i="2" s="1"/>
  <c r="V158" i="2"/>
  <c r="W158" i="2" s="1"/>
  <c r="V159" i="2"/>
  <c r="W159" i="2" s="1"/>
  <c r="V160" i="2"/>
  <c r="W160" i="2" s="1"/>
  <c r="V161" i="2"/>
  <c r="W161" i="2" s="1"/>
  <c r="V162" i="2"/>
  <c r="W162" i="2" s="1"/>
  <c r="V163" i="2"/>
  <c r="W163" i="2" s="1"/>
  <c r="V164" i="2"/>
  <c r="W164" i="2" s="1"/>
  <c r="V165" i="2"/>
  <c r="W165" i="2" s="1"/>
  <c r="V166" i="2"/>
  <c r="W166" i="2" s="1"/>
  <c r="V167" i="2"/>
  <c r="W167" i="2" s="1"/>
  <c r="V168" i="2"/>
  <c r="W168" i="2" s="1"/>
  <c r="V169" i="2"/>
  <c r="W169" i="2" s="1"/>
  <c r="V170" i="2"/>
  <c r="W170" i="2" s="1"/>
  <c r="V171" i="2"/>
  <c r="W171" i="2" s="1"/>
  <c r="V172" i="2"/>
  <c r="W172" i="2" s="1"/>
  <c r="V173" i="2"/>
  <c r="W173" i="2" s="1"/>
  <c r="V174" i="2"/>
  <c r="W174" i="2" s="1"/>
  <c r="V175" i="2"/>
  <c r="W175" i="2" s="1"/>
  <c r="V176" i="2"/>
  <c r="W176" i="2" s="1"/>
  <c r="V177" i="2"/>
  <c r="W177" i="2" s="1"/>
  <c r="V178" i="2"/>
  <c r="W178" i="2" s="1"/>
  <c r="V179" i="2"/>
  <c r="W179" i="2" s="1"/>
  <c r="V180" i="2"/>
  <c r="W180" i="2" s="1"/>
  <c r="V181" i="2"/>
  <c r="W181" i="2" s="1"/>
  <c r="V182" i="2"/>
  <c r="W182" i="2" s="1"/>
  <c r="V183" i="2"/>
  <c r="W183" i="2" s="1"/>
  <c r="V184" i="2"/>
  <c r="W184" i="2" s="1"/>
  <c r="V185" i="2"/>
  <c r="W185" i="2" s="1"/>
  <c r="V186" i="2"/>
  <c r="W186" i="2" s="1"/>
  <c r="V187" i="2"/>
  <c r="W187" i="2" s="1"/>
  <c r="V188" i="2"/>
  <c r="W188" i="2" s="1"/>
  <c r="V189" i="2"/>
  <c r="W189" i="2" s="1"/>
  <c r="V190" i="2"/>
  <c r="W190" i="2" s="1"/>
  <c r="V191" i="2"/>
  <c r="W191" i="2" s="1"/>
  <c r="V192" i="2"/>
  <c r="W192" i="2" s="1"/>
  <c r="V193" i="2"/>
  <c r="W193" i="2" s="1"/>
  <c r="V194" i="2"/>
  <c r="W194" i="2" s="1"/>
  <c r="V195" i="2"/>
  <c r="W195" i="2" s="1"/>
  <c r="V196" i="2"/>
  <c r="W196" i="2" s="1"/>
  <c r="V197" i="2"/>
  <c r="W197" i="2" s="1"/>
  <c r="V198" i="2"/>
  <c r="W198" i="2" s="1"/>
  <c r="V199" i="2"/>
  <c r="W199" i="2" s="1"/>
  <c r="V200" i="2"/>
  <c r="W200" i="2" s="1"/>
  <c r="V201" i="2"/>
  <c r="W201" i="2" s="1"/>
  <c r="V202" i="2"/>
  <c r="W202" i="2" s="1"/>
  <c r="V203" i="2"/>
  <c r="W203" i="2" s="1"/>
  <c r="V204" i="2"/>
  <c r="W204" i="2" s="1"/>
  <c r="V205" i="2"/>
  <c r="W205" i="2" s="1"/>
  <c r="V206" i="2"/>
  <c r="W206" i="2" s="1"/>
  <c r="V207" i="2"/>
  <c r="W207" i="2" s="1"/>
  <c r="V208" i="2"/>
  <c r="W208" i="2" s="1"/>
  <c r="V209" i="2"/>
  <c r="W209" i="2" s="1"/>
  <c r="V210" i="2"/>
  <c r="W210" i="2" s="1"/>
  <c r="V211" i="2"/>
  <c r="W211" i="2" s="1"/>
  <c r="V212" i="2"/>
  <c r="W212" i="2" s="1"/>
  <c r="V213" i="2"/>
  <c r="W213" i="2" s="1"/>
  <c r="V214" i="2"/>
  <c r="W214" i="2" s="1"/>
  <c r="V215" i="2"/>
  <c r="W215" i="2" s="1"/>
  <c r="V216" i="2"/>
  <c r="W216" i="2" s="1"/>
  <c r="V217" i="2"/>
  <c r="W217" i="2" s="1"/>
  <c r="V218" i="2"/>
  <c r="W218" i="2" s="1"/>
  <c r="V219" i="2"/>
  <c r="W219" i="2" s="1"/>
  <c r="V220" i="2"/>
  <c r="W220" i="2" s="1"/>
  <c r="V221" i="2"/>
  <c r="W221" i="2" s="1"/>
  <c r="V222" i="2"/>
  <c r="W222" i="2" s="1"/>
  <c r="V223" i="2"/>
  <c r="W223" i="2" s="1"/>
  <c r="V224" i="2"/>
  <c r="W224" i="2" s="1"/>
  <c r="V225" i="2"/>
  <c r="W225" i="2" s="1"/>
  <c r="V226" i="2"/>
  <c r="W226" i="2" s="1"/>
  <c r="V227" i="2"/>
  <c r="W227" i="2" s="1"/>
  <c r="V228" i="2"/>
  <c r="W228" i="2" s="1"/>
  <c r="V229" i="2"/>
  <c r="W229" i="2" s="1"/>
  <c r="V230" i="2"/>
  <c r="W230" i="2" s="1"/>
  <c r="V231" i="2"/>
  <c r="W231" i="2" s="1"/>
  <c r="V232" i="2"/>
  <c r="W232" i="2" s="1"/>
  <c r="V233" i="2"/>
  <c r="W233" i="2" s="1"/>
  <c r="V234" i="2"/>
  <c r="W234" i="2" s="1"/>
  <c r="V235" i="2"/>
  <c r="W235" i="2" s="1"/>
  <c r="V236" i="2"/>
  <c r="W236" i="2" s="1"/>
  <c r="V237" i="2"/>
  <c r="W237" i="2" s="1"/>
  <c r="V238" i="2"/>
  <c r="W238" i="2" s="1"/>
  <c r="V239" i="2"/>
  <c r="W239" i="2" s="1"/>
  <c r="V240" i="2"/>
  <c r="W240" i="2" s="1"/>
  <c r="V241" i="2"/>
  <c r="W241" i="2" s="1"/>
  <c r="V242" i="2"/>
  <c r="W242" i="2" s="1"/>
  <c r="V243" i="2"/>
  <c r="W243" i="2" s="1"/>
  <c r="V244" i="2"/>
  <c r="W244" i="2" s="1"/>
  <c r="V245" i="2"/>
  <c r="W245" i="2" s="1"/>
  <c r="V246" i="2"/>
  <c r="W246" i="2" s="1"/>
  <c r="V247" i="2"/>
  <c r="W247" i="2" s="1"/>
  <c r="V248" i="2"/>
  <c r="W248" i="2" s="1"/>
  <c r="V249" i="2"/>
  <c r="W249" i="2" s="1"/>
  <c r="V250" i="2"/>
  <c r="W250" i="2" s="1"/>
  <c r="V251" i="2"/>
  <c r="W251" i="2" s="1"/>
  <c r="V252" i="2"/>
  <c r="W252" i="2" s="1"/>
  <c r="V253" i="2"/>
  <c r="W253" i="2" s="1"/>
  <c r="V254" i="2"/>
  <c r="W254" i="2" s="1"/>
  <c r="V255" i="2"/>
  <c r="W255" i="2" s="1"/>
  <c r="V256" i="2"/>
  <c r="W256" i="2" s="1"/>
  <c r="V257" i="2"/>
  <c r="W257" i="2" s="1"/>
  <c r="V258" i="2"/>
  <c r="W258" i="2" s="1"/>
  <c r="V259" i="2"/>
  <c r="W259" i="2" s="1"/>
  <c r="V260" i="2"/>
  <c r="W260" i="2" s="1"/>
  <c r="V261" i="2"/>
  <c r="W261" i="2" s="1"/>
  <c r="V262" i="2"/>
  <c r="W262" i="2" s="1"/>
  <c r="V263" i="2"/>
  <c r="W263" i="2" s="1"/>
  <c r="V264" i="2"/>
  <c r="W264" i="2" s="1"/>
  <c r="V265" i="2"/>
  <c r="W265" i="2" s="1"/>
  <c r="V266" i="2"/>
  <c r="W266" i="2" s="1"/>
  <c r="V267" i="2"/>
  <c r="W267" i="2" s="1"/>
  <c r="V268" i="2"/>
  <c r="W268" i="2" s="1"/>
  <c r="V269" i="2"/>
  <c r="W269" i="2" s="1"/>
  <c r="V270" i="2"/>
  <c r="W270" i="2" s="1"/>
  <c r="V271" i="2"/>
  <c r="W271" i="2" s="1"/>
  <c r="V272" i="2"/>
  <c r="W272" i="2" s="1"/>
  <c r="V273" i="2"/>
  <c r="W273" i="2" s="1"/>
  <c r="V274" i="2"/>
  <c r="W274" i="2" s="1"/>
  <c r="V275" i="2"/>
  <c r="W275" i="2" s="1"/>
  <c r="V276" i="2"/>
  <c r="W276" i="2" s="1"/>
  <c r="V277" i="2"/>
  <c r="W277" i="2" s="1"/>
  <c r="V278" i="2"/>
  <c r="W278" i="2" s="1"/>
  <c r="V279" i="2"/>
  <c r="W279" i="2" s="1"/>
  <c r="V280" i="2"/>
  <c r="W280" i="2" s="1"/>
  <c r="V281" i="2"/>
  <c r="W281" i="2" s="1"/>
  <c r="V282" i="2"/>
  <c r="W282" i="2" s="1"/>
  <c r="V283" i="2"/>
  <c r="V284" i="2"/>
  <c r="W284" i="2" s="1"/>
  <c r="V285" i="2"/>
  <c r="W285" i="2" s="1"/>
  <c r="V286" i="2"/>
  <c r="W286" i="2" s="1"/>
  <c r="V287" i="2"/>
  <c r="W287" i="2" s="1"/>
  <c r="V288" i="2"/>
  <c r="W288" i="2" s="1"/>
  <c r="V289" i="2"/>
  <c r="W289" i="2" s="1"/>
  <c r="V290" i="2"/>
  <c r="W290" i="2" s="1"/>
  <c r="V291" i="2"/>
  <c r="W291" i="2" s="1"/>
  <c r="V292" i="2"/>
  <c r="W292" i="2" s="1"/>
  <c r="V293" i="2"/>
  <c r="W293" i="2" s="1"/>
  <c r="V294" i="2"/>
  <c r="W294" i="2" s="1"/>
  <c r="V295" i="2"/>
  <c r="W295" i="2" s="1"/>
  <c r="V296" i="2"/>
  <c r="W296" i="2" s="1"/>
  <c r="V297" i="2"/>
  <c r="W297" i="2" s="1"/>
  <c r="V298" i="2"/>
  <c r="W298" i="2" s="1"/>
  <c r="V299" i="2"/>
  <c r="W299" i="2" s="1"/>
  <c r="V300" i="2"/>
  <c r="W300" i="2" s="1"/>
  <c r="V301" i="2"/>
  <c r="W301" i="2" s="1"/>
  <c r="V302" i="2"/>
  <c r="W302" i="2" s="1"/>
  <c r="V303" i="2"/>
  <c r="W303" i="2" s="1"/>
  <c r="V304" i="2"/>
  <c r="W304" i="2" s="1"/>
  <c r="V305" i="2"/>
  <c r="W305" i="2" s="1"/>
  <c r="V306" i="2"/>
  <c r="W306" i="2" s="1"/>
  <c r="V307" i="2"/>
  <c r="W307" i="2" s="1"/>
  <c r="V308" i="2"/>
  <c r="W308" i="2" s="1"/>
  <c r="V309" i="2"/>
  <c r="W309" i="2" s="1"/>
  <c r="V310" i="2"/>
  <c r="W310" i="2" s="1"/>
  <c r="V311" i="2"/>
  <c r="W311" i="2" s="1"/>
  <c r="V312" i="2"/>
  <c r="W312" i="2" s="1"/>
  <c r="V313" i="2"/>
  <c r="W313" i="2" s="1"/>
  <c r="V314" i="2"/>
  <c r="W314" i="2" s="1"/>
  <c r="V315" i="2"/>
  <c r="W315" i="2" s="1"/>
  <c r="V316" i="2"/>
  <c r="W316" i="2" s="1"/>
  <c r="V317" i="2"/>
  <c r="W317" i="2" s="1"/>
  <c r="V318" i="2"/>
  <c r="W318" i="2" s="1"/>
  <c r="V319" i="2"/>
  <c r="W319" i="2" s="1"/>
  <c r="V320" i="2"/>
  <c r="W320" i="2" s="1"/>
  <c r="V321" i="2"/>
  <c r="W321" i="2" s="1"/>
  <c r="V322" i="2"/>
  <c r="W322" i="2" s="1"/>
  <c r="V323" i="2"/>
  <c r="W323" i="2" s="1"/>
  <c r="V324" i="2"/>
  <c r="W324" i="2" s="1"/>
  <c r="V325" i="2"/>
  <c r="W325" i="2" s="1"/>
  <c r="V326" i="2"/>
  <c r="W326" i="2" s="1"/>
  <c r="V327" i="2"/>
  <c r="W327" i="2" s="1"/>
  <c r="V328" i="2"/>
  <c r="W328" i="2" s="1"/>
  <c r="V329" i="2"/>
  <c r="W329" i="2" s="1"/>
  <c r="V330" i="2"/>
  <c r="W330" i="2" s="1"/>
  <c r="V331" i="2"/>
  <c r="W331" i="2" s="1"/>
  <c r="V332" i="2"/>
  <c r="W332" i="2" s="1"/>
  <c r="V333" i="2"/>
  <c r="W333" i="2" s="1"/>
  <c r="V334" i="2"/>
  <c r="W334" i="2" s="1"/>
  <c r="V335" i="2"/>
  <c r="W335" i="2" s="1"/>
  <c r="V336" i="2"/>
  <c r="W336" i="2" s="1"/>
  <c r="V337" i="2"/>
  <c r="W337" i="2" s="1"/>
  <c r="V338" i="2"/>
  <c r="W338" i="2" s="1"/>
  <c r="V339" i="2"/>
  <c r="W339" i="2" s="1"/>
  <c r="V340" i="2"/>
  <c r="W340" i="2" s="1"/>
  <c r="V341" i="2"/>
  <c r="W341" i="2" s="1"/>
  <c r="V342" i="2"/>
  <c r="W342" i="2" s="1"/>
  <c r="V343" i="2"/>
  <c r="W343" i="2" s="1"/>
  <c r="V344" i="2"/>
  <c r="W344" i="2" s="1"/>
  <c r="V345" i="2"/>
  <c r="W345" i="2" s="1"/>
  <c r="V346" i="2"/>
  <c r="W346" i="2" s="1"/>
  <c r="V347" i="2"/>
  <c r="W347" i="2" s="1"/>
  <c r="V348" i="2"/>
  <c r="W348" i="2" s="1"/>
  <c r="V349" i="2"/>
  <c r="W349" i="2" s="1"/>
  <c r="V350" i="2"/>
  <c r="W350" i="2" s="1"/>
  <c r="V351" i="2"/>
  <c r="W351" i="2" s="1"/>
  <c r="V352" i="2"/>
  <c r="W352" i="2" s="1"/>
  <c r="V353" i="2"/>
  <c r="V354" i="2"/>
  <c r="W354" i="2" s="1"/>
  <c r="V355" i="2"/>
  <c r="W355" i="2" s="1"/>
  <c r="V356" i="2"/>
  <c r="W356" i="2" s="1"/>
  <c r="V357" i="2"/>
  <c r="W357" i="2" s="1"/>
  <c r="V358" i="2"/>
  <c r="W358" i="2" s="1"/>
  <c r="V359" i="2"/>
  <c r="W359" i="2" s="1"/>
  <c r="V360" i="2"/>
  <c r="W360" i="2" s="1"/>
  <c r="V361" i="2"/>
  <c r="W361" i="2" s="1"/>
  <c r="V362" i="2"/>
  <c r="W362" i="2" s="1"/>
  <c r="V363" i="2"/>
  <c r="W363" i="2" s="1"/>
  <c r="V364" i="2"/>
  <c r="W364" i="2" s="1"/>
  <c r="V365" i="2"/>
  <c r="V366" i="2"/>
  <c r="V367" i="2"/>
  <c r="W367" i="2" s="1"/>
  <c r="V368" i="2"/>
  <c r="W368" i="2" s="1"/>
  <c r="V369" i="2"/>
  <c r="W369" i="2" s="1"/>
  <c r="V370" i="2"/>
  <c r="W370" i="2" s="1"/>
  <c r="V371" i="2"/>
  <c r="W371" i="2" s="1"/>
  <c r="V372" i="2"/>
  <c r="W372" i="2" s="1"/>
  <c r="V373" i="2"/>
  <c r="W373" i="2" s="1"/>
  <c r="V374" i="2"/>
  <c r="W374" i="2" s="1"/>
  <c r="V375" i="2"/>
  <c r="W375" i="2" s="1"/>
  <c r="V376" i="2"/>
  <c r="W376" i="2" s="1"/>
  <c r="V377" i="2"/>
  <c r="W377" i="2" s="1"/>
  <c r="V378" i="2"/>
  <c r="W378" i="2" s="1"/>
  <c r="V379" i="2"/>
  <c r="V380" i="2"/>
  <c r="W380" i="2" s="1"/>
  <c r="V381" i="2"/>
  <c r="W381" i="2" s="1"/>
  <c r="V382" i="2"/>
  <c r="W382" i="2" s="1"/>
  <c r="V383" i="2"/>
  <c r="W383" i="2" s="1"/>
  <c r="V384" i="2"/>
  <c r="W384" i="2" s="1"/>
  <c r="V385" i="2"/>
  <c r="W385" i="2" s="1"/>
  <c r="V386" i="2"/>
  <c r="W386" i="2" s="1"/>
  <c r="V387" i="2"/>
  <c r="W387" i="2" s="1"/>
  <c r="V388" i="2"/>
  <c r="W388" i="2" s="1"/>
  <c r="V389" i="2"/>
  <c r="W389" i="2" s="1"/>
  <c r="V390" i="2"/>
  <c r="W390" i="2" s="1"/>
  <c r="V391" i="2"/>
  <c r="W391" i="2" s="1"/>
  <c r="V392" i="2"/>
  <c r="W392" i="2" s="1"/>
  <c r="V393" i="2"/>
  <c r="W393" i="2" s="1"/>
  <c r="V394" i="2"/>
  <c r="W394" i="2" s="1"/>
  <c r="V395" i="2"/>
  <c r="W395" i="2" s="1"/>
  <c r="V396" i="2"/>
  <c r="W396" i="2" s="1"/>
  <c r="V397" i="2"/>
  <c r="W397" i="2" s="1"/>
  <c r="V2" i="2"/>
  <c r="W2" i="2" s="1"/>
  <c r="T3" i="2"/>
  <c r="T4" i="2"/>
  <c r="T5" i="2"/>
  <c r="T6" i="2"/>
  <c r="T7" i="2"/>
  <c r="T8" i="2"/>
  <c r="T9" i="2"/>
  <c r="T10" i="2"/>
  <c r="T11" i="2"/>
  <c r="T12" i="2"/>
  <c r="T13" i="2"/>
  <c r="U13" i="2" s="1"/>
  <c r="T14" i="2"/>
  <c r="U14" i="2" s="1"/>
  <c r="T15" i="2"/>
  <c r="T16" i="2"/>
  <c r="T17" i="2"/>
  <c r="T18" i="2"/>
  <c r="U18" i="2" s="1"/>
  <c r="T19" i="2"/>
  <c r="T20" i="2"/>
  <c r="T21" i="2"/>
  <c r="T22" i="2"/>
  <c r="T23" i="2"/>
  <c r="T24" i="2"/>
  <c r="T25" i="2"/>
  <c r="U25" i="2" s="1"/>
  <c r="T26" i="2"/>
  <c r="U26" i="2" s="1"/>
  <c r="T27" i="2"/>
  <c r="T28" i="2"/>
  <c r="T29" i="2"/>
  <c r="T30" i="2"/>
  <c r="T31" i="2"/>
  <c r="T32" i="2"/>
  <c r="T33" i="2"/>
  <c r="T34" i="2"/>
  <c r="T35" i="2"/>
  <c r="T36" i="2"/>
  <c r="T37" i="2"/>
  <c r="U37" i="2" s="1"/>
  <c r="T38" i="2"/>
  <c r="T39" i="2"/>
  <c r="T40" i="2"/>
  <c r="T41" i="2"/>
  <c r="T42" i="2"/>
  <c r="T43" i="2"/>
  <c r="T44" i="2"/>
  <c r="T45" i="2"/>
  <c r="T46" i="2"/>
  <c r="T47" i="2"/>
  <c r="T48" i="2"/>
  <c r="T49" i="2"/>
  <c r="U49" i="2" s="1"/>
  <c r="T50" i="2"/>
  <c r="T51" i="2"/>
  <c r="T52" i="2"/>
  <c r="T53" i="2"/>
  <c r="T54" i="2"/>
  <c r="T55" i="2"/>
  <c r="T56" i="2"/>
  <c r="T57" i="2"/>
  <c r="T58" i="2"/>
  <c r="T59" i="2"/>
  <c r="T60" i="2"/>
  <c r="T61" i="2"/>
  <c r="U61" i="2" s="1"/>
  <c r="T62" i="2"/>
  <c r="T63" i="2"/>
  <c r="T64" i="2"/>
  <c r="T65" i="2"/>
  <c r="T66" i="2"/>
  <c r="U66" i="2" s="1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U91" i="2" s="1"/>
  <c r="T92" i="2"/>
  <c r="T93" i="2"/>
  <c r="T94" i="2"/>
  <c r="T95" i="2"/>
  <c r="T96" i="2"/>
  <c r="T97" i="2"/>
  <c r="U97" i="2" s="1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U114" i="2" s="1"/>
  <c r="T115" i="2"/>
  <c r="T116" i="2"/>
  <c r="T117" i="2"/>
  <c r="T118" i="2"/>
  <c r="T119" i="2"/>
  <c r="T120" i="2"/>
  <c r="T121" i="2"/>
  <c r="U121" i="2" s="1"/>
  <c r="T122" i="2"/>
  <c r="T123" i="2"/>
  <c r="T124" i="2"/>
  <c r="T125" i="2"/>
  <c r="T126" i="2"/>
  <c r="T127" i="2"/>
  <c r="U127" i="2" s="1"/>
  <c r="T128" i="2"/>
  <c r="T129" i="2"/>
  <c r="T130" i="2"/>
  <c r="T131" i="2"/>
  <c r="T132" i="2"/>
  <c r="T133" i="2"/>
  <c r="T134" i="2"/>
  <c r="T135" i="2"/>
  <c r="T136" i="2"/>
  <c r="T137" i="2"/>
  <c r="T138" i="2"/>
  <c r="T139" i="2"/>
  <c r="U139" i="2" s="1"/>
  <c r="T140" i="2"/>
  <c r="T141" i="2"/>
  <c r="T142" i="2"/>
  <c r="T143" i="2"/>
  <c r="T144" i="2"/>
  <c r="T145" i="2"/>
  <c r="U145" i="2" s="1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U162" i="2" s="1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U175" i="2" s="1"/>
  <c r="T176" i="2"/>
  <c r="T177" i="2"/>
  <c r="T178" i="2"/>
  <c r="T179" i="2"/>
  <c r="T180" i="2"/>
  <c r="T181" i="2"/>
  <c r="T182" i="2"/>
  <c r="U182" i="2" s="1"/>
  <c r="T183" i="2"/>
  <c r="T184" i="2"/>
  <c r="T185" i="2"/>
  <c r="T186" i="2"/>
  <c r="T187" i="2"/>
  <c r="U187" i="2" s="1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U206" i="2" s="1"/>
  <c r="T207" i="2"/>
  <c r="T208" i="2"/>
  <c r="T209" i="2"/>
  <c r="U209" i="2" s="1"/>
  <c r="T210" i="2"/>
  <c r="T211" i="2"/>
  <c r="T212" i="2"/>
  <c r="T213" i="2"/>
  <c r="T214" i="2"/>
  <c r="T215" i="2"/>
  <c r="T216" i="2"/>
  <c r="T217" i="2"/>
  <c r="T218" i="2"/>
  <c r="T219" i="2"/>
  <c r="T220" i="2"/>
  <c r="T221" i="2"/>
  <c r="U221" i="2" s="1"/>
  <c r="T222" i="2"/>
  <c r="U222" i="2" s="1"/>
  <c r="T223" i="2"/>
  <c r="U223" i="2" s="1"/>
  <c r="T224" i="2"/>
  <c r="T225" i="2"/>
  <c r="T226" i="2"/>
  <c r="T227" i="2"/>
  <c r="T228" i="2"/>
  <c r="T229" i="2"/>
  <c r="T230" i="2"/>
  <c r="U230" i="2" s="1"/>
  <c r="T231" i="2"/>
  <c r="T232" i="2"/>
  <c r="T233" i="2"/>
  <c r="T234" i="2"/>
  <c r="T235" i="2"/>
  <c r="U235" i="2" s="1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U254" i="2" s="1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U271" i="2" s="1"/>
  <c r="T272" i="2"/>
  <c r="T273" i="2"/>
  <c r="T274" i="2"/>
  <c r="T275" i="2"/>
  <c r="T276" i="2"/>
  <c r="T277" i="2"/>
  <c r="T278" i="2"/>
  <c r="U278" i="2" s="1"/>
  <c r="T279" i="2"/>
  <c r="T280" i="2"/>
  <c r="T281" i="2"/>
  <c r="U281" i="2" s="1"/>
  <c r="T282" i="2"/>
  <c r="T283" i="2"/>
  <c r="U283" i="2" s="1"/>
  <c r="T284" i="2"/>
  <c r="T285" i="2"/>
  <c r="T286" i="2"/>
  <c r="T287" i="2"/>
  <c r="T288" i="2"/>
  <c r="T289" i="2"/>
  <c r="T290" i="2"/>
  <c r="T291" i="2"/>
  <c r="T292" i="2"/>
  <c r="T293" i="2"/>
  <c r="U293" i="2" s="1"/>
  <c r="T294" i="2"/>
  <c r="U294" i="2" s="1"/>
  <c r="T295" i="2"/>
  <c r="T296" i="2"/>
  <c r="T297" i="2"/>
  <c r="T298" i="2"/>
  <c r="T299" i="2"/>
  <c r="T300" i="2"/>
  <c r="T301" i="2"/>
  <c r="T302" i="2"/>
  <c r="U302" i="2" s="1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U319" i="2" s="1"/>
  <c r="T320" i="2"/>
  <c r="T321" i="2"/>
  <c r="T322" i="2"/>
  <c r="T323" i="2"/>
  <c r="T324" i="2"/>
  <c r="T325" i="2"/>
  <c r="T326" i="2"/>
  <c r="T327" i="2"/>
  <c r="T328" i="2"/>
  <c r="T329" i="2"/>
  <c r="T330" i="2"/>
  <c r="T331" i="2"/>
  <c r="U331" i="2" s="1"/>
  <c r="T332" i="2"/>
  <c r="T333" i="2"/>
  <c r="T334" i="2"/>
  <c r="T335" i="2"/>
  <c r="T336" i="2"/>
  <c r="T337" i="2"/>
  <c r="U337" i="2" s="1"/>
  <c r="T338" i="2"/>
  <c r="U338" i="2" s="1"/>
  <c r="T339" i="2"/>
  <c r="T340" i="2"/>
  <c r="T341" i="2"/>
  <c r="T342" i="2"/>
  <c r="T343" i="2"/>
  <c r="T344" i="2"/>
  <c r="T345" i="2"/>
  <c r="T346" i="2"/>
  <c r="T347" i="2"/>
  <c r="T348" i="2"/>
  <c r="T349" i="2"/>
  <c r="T350" i="2"/>
  <c r="U350" i="2" s="1"/>
  <c r="T351" i="2"/>
  <c r="T352" i="2"/>
  <c r="T353" i="2"/>
  <c r="U353" i="2" s="1"/>
  <c r="T354" i="2"/>
  <c r="T355" i="2"/>
  <c r="T356" i="2"/>
  <c r="U356" i="2" s="1"/>
  <c r="T357" i="2"/>
  <c r="T358" i="2"/>
  <c r="T359" i="2"/>
  <c r="T360" i="2"/>
  <c r="T361" i="2"/>
  <c r="T362" i="2"/>
  <c r="U362" i="2" s="1"/>
  <c r="T363" i="2"/>
  <c r="T364" i="2"/>
  <c r="T365" i="2"/>
  <c r="U365" i="2" s="1"/>
  <c r="T366" i="2"/>
  <c r="U366" i="2" s="1"/>
  <c r="T367" i="2"/>
  <c r="U367" i="2" s="1"/>
  <c r="T368" i="2"/>
  <c r="U368" i="2" s="1"/>
  <c r="T369" i="2"/>
  <c r="T370" i="2"/>
  <c r="T371" i="2"/>
  <c r="T372" i="2"/>
  <c r="T373" i="2"/>
  <c r="T374" i="2"/>
  <c r="T375" i="2"/>
  <c r="T376" i="2"/>
  <c r="T377" i="2"/>
  <c r="T378" i="2"/>
  <c r="T379" i="2"/>
  <c r="U379" i="2" s="1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2" i="2"/>
  <c r="U2" i="2" s="1"/>
  <c r="R3" i="2"/>
  <c r="S3" i="2"/>
  <c r="R4" i="2"/>
  <c r="S4" i="2"/>
  <c r="R5" i="2"/>
  <c r="S5" i="2"/>
  <c r="R6" i="2"/>
  <c r="S6" i="2"/>
  <c r="R7" i="2"/>
  <c r="S7" i="2"/>
  <c r="R8" i="2"/>
  <c r="S8" i="2"/>
  <c r="R9" i="2"/>
  <c r="S9" i="2"/>
  <c r="R10" i="2"/>
  <c r="S10" i="2"/>
  <c r="R11" i="2"/>
  <c r="S11" i="2"/>
  <c r="R12" i="2"/>
  <c r="S12" i="2"/>
  <c r="R13" i="2"/>
  <c r="S13" i="2"/>
  <c r="R14" i="2"/>
  <c r="S14" i="2"/>
  <c r="R15" i="2"/>
  <c r="S15" i="2"/>
  <c r="R16" i="2"/>
  <c r="S16" i="2"/>
  <c r="R17" i="2"/>
  <c r="S17" i="2"/>
  <c r="R18" i="2"/>
  <c r="S18" i="2"/>
  <c r="R19" i="2"/>
  <c r="S19" i="2"/>
  <c r="R20" i="2"/>
  <c r="S20" i="2"/>
  <c r="R21" i="2"/>
  <c r="S21" i="2"/>
  <c r="R22" i="2"/>
  <c r="S22" i="2"/>
  <c r="R23" i="2"/>
  <c r="S23" i="2"/>
  <c r="R24" i="2"/>
  <c r="S24" i="2"/>
  <c r="R25" i="2"/>
  <c r="S25" i="2"/>
  <c r="R26" i="2"/>
  <c r="S26" i="2"/>
  <c r="R27" i="2"/>
  <c r="S27" i="2"/>
  <c r="R28" i="2"/>
  <c r="S28" i="2"/>
  <c r="R29" i="2"/>
  <c r="S29" i="2"/>
  <c r="R30" i="2"/>
  <c r="S30" i="2"/>
  <c r="R31" i="2"/>
  <c r="S31" i="2"/>
  <c r="R32" i="2"/>
  <c r="S32" i="2"/>
  <c r="R33" i="2"/>
  <c r="S33" i="2"/>
  <c r="R34" i="2"/>
  <c r="S34" i="2"/>
  <c r="R35" i="2"/>
  <c r="S35" i="2"/>
  <c r="R36" i="2"/>
  <c r="S36" i="2"/>
  <c r="R37" i="2"/>
  <c r="S37" i="2"/>
  <c r="R38" i="2"/>
  <c r="S38" i="2"/>
  <c r="R39" i="2"/>
  <c r="S39" i="2"/>
  <c r="R40" i="2"/>
  <c r="S40" i="2"/>
  <c r="R41" i="2"/>
  <c r="S41" i="2"/>
  <c r="R42" i="2"/>
  <c r="S42" i="2"/>
  <c r="R43" i="2"/>
  <c r="S43" i="2"/>
  <c r="R44" i="2"/>
  <c r="S44" i="2"/>
  <c r="R45" i="2"/>
  <c r="S45" i="2"/>
  <c r="R46" i="2"/>
  <c r="S46" i="2"/>
  <c r="R47" i="2"/>
  <c r="S47" i="2"/>
  <c r="R48" i="2"/>
  <c r="S48" i="2"/>
  <c r="R49" i="2"/>
  <c r="S49" i="2"/>
  <c r="R50" i="2"/>
  <c r="S50" i="2"/>
  <c r="R51" i="2"/>
  <c r="S51" i="2"/>
  <c r="R52" i="2"/>
  <c r="S52" i="2"/>
  <c r="R53" i="2"/>
  <c r="S53" i="2"/>
  <c r="R54" i="2"/>
  <c r="S54" i="2"/>
  <c r="R55" i="2"/>
  <c r="S55" i="2"/>
  <c r="R56" i="2"/>
  <c r="S56" i="2"/>
  <c r="R57" i="2"/>
  <c r="S57" i="2"/>
  <c r="R58" i="2"/>
  <c r="S58" i="2"/>
  <c r="R59" i="2"/>
  <c r="S59" i="2"/>
  <c r="R60" i="2"/>
  <c r="S60" i="2"/>
  <c r="R61" i="2"/>
  <c r="S61" i="2"/>
  <c r="R62" i="2"/>
  <c r="S62" i="2"/>
  <c r="R63" i="2"/>
  <c r="S63" i="2"/>
  <c r="R64" i="2"/>
  <c r="S64" i="2"/>
  <c r="R65" i="2"/>
  <c r="S65" i="2"/>
  <c r="R66" i="2"/>
  <c r="S66" i="2"/>
  <c r="R67" i="2"/>
  <c r="S67" i="2"/>
  <c r="R68" i="2"/>
  <c r="S68" i="2"/>
  <c r="R69" i="2"/>
  <c r="S69" i="2"/>
  <c r="R70" i="2"/>
  <c r="S70" i="2"/>
  <c r="R71" i="2"/>
  <c r="S71" i="2"/>
  <c r="R72" i="2"/>
  <c r="S72" i="2"/>
  <c r="R73" i="2"/>
  <c r="S73" i="2"/>
  <c r="R74" i="2"/>
  <c r="S74" i="2"/>
  <c r="R75" i="2"/>
  <c r="S75" i="2"/>
  <c r="R76" i="2"/>
  <c r="S76" i="2"/>
  <c r="R77" i="2"/>
  <c r="S77" i="2"/>
  <c r="R78" i="2"/>
  <c r="S78" i="2"/>
  <c r="R79" i="2"/>
  <c r="S79" i="2"/>
  <c r="R80" i="2"/>
  <c r="S80" i="2"/>
  <c r="R81" i="2"/>
  <c r="S81" i="2"/>
  <c r="R82" i="2"/>
  <c r="S82" i="2"/>
  <c r="R83" i="2"/>
  <c r="S83" i="2"/>
  <c r="R84" i="2"/>
  <c r="S84" i="2"/>
  <c r="R85" i="2"/>
  <c r="S85" i="2"/>
  <c r="R86" i="2"/>
  <c r="S86" i="2"/>
  <c r="R87" i="2"/>
  <c r="S87" i="2"/>
  <c r="R88" i="2"/>
  <c r="S88" i="2"/>
  <c r="R89" i="2"/>
  <c r="S89" i="2"/>
  <c r="R90" i="2"/>
  <c r="S90" i="2"/>
  <c r="R91" i="2"/>
  <c r="S91" i="2"/>
  <c r="R92" i="2"/>
  <c r="S92" i="2"/>
  <c r="R93" i="2"/>
  <c r="S93" i="2"/>
  <c r="R94" i="2"/>
  <c r="S94" i="2"/>
  <c r="R95" i="2"/>
  <c r="S95" i="2"/>
  <c r="R96" i="2"/>
  <c r="S96" i="2"/>
  <c r="R97" i="2"/>
  <c r="S97" i="2"/>
  <c r="R98" i="2"/>
  <c r="S98" i="2"/>
  <c r="R99" i="2"/>
  <c r="S99" i="2"/>
  <c r="R100" i="2"/>
  <c r="S100" i="2"/>
  <c r="R101" i="2"/>
  <c r="S101" i="2"/>
  <c r="R102" i="2"/>
  <c r="S102" i="2"/>
  <c r="R103" i="2"/>
  <c r="S103" i="2"/>
  <c r="R104" i="2"/>
  <c r="S104" i="2"/>
  <c r="R105" i="2"/>
  <c r="S105" i="2"/>
  <c r="R106" i="2"/>
  <c r="S106" i="2"/>
  <c r="R107" i="2"/>
  <c r="S107" i="2"/>
  <c r="R108" i="2"/>
  <c r="S108" i="2"/>
  <c r="R109" i="2"/>
  <c r="S109" i="2"/>
  <c r="R110" i="2"/>
  <c r="S110" i="2"/>
  <c r="R111" i="2"/>
  <c r="S111" i="2"/>
  <c r="R112" i="2"/>
  <c r="S112" i="2"/>
  <c r="R113" i="2"/>
  <c r="S113" i="2"/>
  <c r="R114" i="2"/>
  <c r="S114" i="2"/>
  <c r="R115" i="2"/>
  <c r="S115" i="2"/>
  <c r="R116" i="2"/>
  <c r="S116" i="2"/>
  <c r="R117" i="2"/>
  <c r="S117" i="2"/>
  <c r="R118" i="2"/>
  <c r="S118" i="2"/>
  <c r="R119" i="2"/>
  <c r="S119" i="2"/>
  <c r="R120" i="2"/>
  <c r="S120" i="2"/>
  <c r="R121" i="2"/>
  <c r="S121" i="2"/>
  <c r="R122" i="2"/>
  <c r="S122" i="2"/>
  <c r="R123" i="2"/>
  <c r="S123" i="2"/>
  <c r="R124" i="2"/>
  <c r="S124" i="2"/>
  <c r="R125" i="2"/>
  <c r="S125" i="2"/>
  <c r="R126" i="2"/>
  <c r="S126" i="2"/>
  <c r="R127" i="2"/>
  <c r="S127" i="2"/>
  <c r="R128" i="2"/>
  <c r="S128" i="2"/>
  <c r="R129" i="2"/>
  <c r="S129" i="2"/>
  <c r="R130" i="2"/>
  <c r="S130" i="2"/>
  <c r="R131" i="2"/>
  <c r="S131" i="2"/>
  <c r="R132" i="2"/>
  <c r="S132" i="2"/>
  <c r="R133" i="2"/>
  <c r="S133" i="2"/>
  <c r="R134" i="2"/>
  <c r="S134" i="2"/>
  <c r="R135" i="2"/>
  <c r="S135" i="2"/>
  <c r="R136" i="2"/>
  <c r="S136" i="2"/>
  <c r="R137" i="2"/>
  <c r="S137" i="2"/>
  <c r="R138" i="2"/>
  <c r="S138" i="2"/>
  <c r="R139" i="2"/>
  <c r="S139" i="2"/>
  <c r="R140" i="2"/>
  <c r="S140" i="2"/>
  <c r="R141" i="2"/>
  <c r="S141" i="2"/>
  <c r="R142" i="2"/>
  <c r="S142" i="2"/>
  <c r="R143" i="2"/>
  <c r="S143" i="2"/>
  <c r="R144" i="2"/>
  <c r="S144" i="2"/>
  <c r="R145" i="2"/>
  <c r="S145" i="2"/>
  <c r="R146" i="2"/>
  <c r="S146" i="2"/>
  <c r="R147" i="2"/>
  <c r="S147" i="2"/>
  <c r="R148" i="2"/>
  <c r="S148" i="2"/>
  <c r="R149" i="2"/>
  <c r="S149" i="2"/>
  <c r="R150" i="2"/>
  <c r="S150" i="2"/>
  <c r="R151" i="2"/>
  <c r="S151" i="2"/>
  <c r="R152" i="2"/>
  <c r="S152" i="2"/>
  <c r="R153" i="2"/>
  <c r="S153" i="2"/>
  <c r="R154" i="2"/>
  <c r="S154" i="2"/>
  <c r="R155" i="2"/>
  <c r="S155" i="2"/>
  <c r="R156" i="2"/>
  <c r="S156" i="2"/>
  <c r="R157" i="2"/>
  <c r="S157" i="2"/>
  <c r="R158" i="2"/>
  <c r="S158" i="2"/>
  <c r="R159" i="2"/>
  <c r="S159" i="2"/>
  <c r="R160" i="2"/>
  <c r="S160" i="2"/>
  <c r="R161" i="2"/>
  <c r="S161" i="2"/>
  <c r="R162" i="2"/>
  <c r="S162" i="2"/>
  <c r="R163" i="2"/>
  <c r="S163" i="2"/>
  <c r="R164" i="2"/>
  <c r="S164" i="2"/>
  <c r="R165" i="2"/>
  <c r="S165" i="2"/>
  <c r="R166" i="2"/>
  <c r="S166" i="2"/>
  <c r="R167" i="2"/>
  <c r="S167" i="2"/>
  <c r="R168" i="2"/>
  <c r="S168" i="2"/>
  <c r="R169" i="2"/>
  <c r="S169" i="2"/>
  <c r="R170" i="2"/>
  <c r="S170" i="2"/>
  <c r="R171" i="2"/>
  <c r="S171" i="2"/>
  <c r="R172" i="2"/>
  <c r="S172" i="2"/>
  <c r="R173" i="2"/>
  <c r="S173" i="2"/>
  <c r="R174" i="2"/>
  <c r="S174" i="2"/>
  <c r="R175" i="2"/>
  <c r="S175" i="2"/>
  <c r="R176" i="2"/>
  <c r="S176" i="2"/>
  <c r="R177" i="2"/>
  <c r="S177" i="2"/>
  <c r="R178" i="2"/>
  <c r="S178" i="2"/>
  <c r="R179" i="2"/>
  <c r="S179" i="2"/>
  <c r="R180" i="2"/>
  <c r="S180" i="2"/>
  <c r="R181" i="2"/>
  <c r="S181" i="2"/>
  <c r="R182" i="2"/>
  <c r="S182" i="2"/>
  <c r="R183" i="2"/>
  <c r="S183" i="2"/>
  <c r="R184" i="2"/>
  <c r="S184" i="2"/>
  <c r="R185" i="2"/>
  <c r="S185" i="2"/>
  <c r="R186" i="2"/>
  <c r="S186" i="2"/>
  <c r="R187" i="2"/>
  <c r="S187" i="2"/>
  <c r="R188" i="2"/>
  <c r="S188" i="2"/>
  <c r="R189" i="2"/>
  <c r="S189" i="2"/>
  <c r="R190" i="2"/>
  <c r="S190" i="2"/>
  <c r="R191" i="2"/>
  <c r="S191" i="2"/>
  <c r="R192" i="2"/>
  <c r="S192" i="2"/>
  <c r="R193" i="2"/>
  <c r="S193" i="2"/>
  <c r="R194" i="2"/>
  <c r="S194" i="2"/>
  <c r="R195" i="2"/>
  <c r="S195" i="2"/>
  <c r="R196" i="2"/>
  <c r="S196" i="2"/>
  <c r="R197" i="2"/>
  <c r="S197" i="2"/>
  <c r="R198" i="2"/>
  <c r="S198" i="2"/>
  <c r="R199" i="2"/>
  <c r="S199" i="2"/>
  <c r="R200" i="2"/>
  <c r="S200" i="2"/>
  <c r="R201" i="2"/>
  <c r="S201" i="2"/>
  <c r="R202" i="2"/>
  <c r="S202" i="2"/>
  <c r="R203" i="2"/>
  <c r="S203" i="2"/>
  <c r="R204" i="2"/>
  <c r="S204" i="2"/>
  <c r="R205" i="2"/>
  <c r="S205" i="2"/>
  <c r="R206" i="2"/>
  <c r="S206" i="2"/>
  <c r="R207" i="2"/>
  <c r="S207" i="2"/>
  <c r="R208" i="2"/>
  <c r="S208" i="2"/>
  <c r="R209" i="2"/>
  <c r="S209" i="2"/>
  <c r="R210" i="2"/>
  <c r="S210" i="2"/>
  <c r="R211" i="2"/>
  <c r="S211" i="2"/>
  <c r="R212" i="2"/>
  <c r="S212" i="2"/>
  <c r="R213" i="2"/>
  <c r="S213" i="2"/>
  <c r="R214" i="2"/>
  <c r="S214" i="2"/>
  <c r="R215" i="2"/>
  <c r="S215" i="2"/>
  <c r="R216" i="2"/>
  <c r="S216" i="2"/>
  <c r="R217" i="2"/>
  <c r="S217" i="2"/>
  <c r="R218" i="2"/>
  <c r="S218" i="2"/>
  <c r="R219" i="2"/>
  <c r="S219" i="2"/>
  <c r="R220" i="2"/>
  <c r="S220" i="2"/>
  <c r="R221" i="2"/>
  <c r="S221" i="2"/>
  <c r="R222" i="2"/>
  <c r="S222" i="2"/>
  <c r="R223" i="2"/>
  <c r="S223" i="2"/>
  <c r="R224" i="2"/>
  <c r="S224" i="2"/>
  <c r="R225" i="2"/>
  <c r="S225" i="2"/>
  <c r="R226" i="2"/>
  <c r="S226" i="2"/>
  <c r="R227" i="2"/>
  <c r="S227" i="2"/>
  <c r="R228" i="2"/>
  <c r="S228" i="2"/>
  <c r="R229" i="2"/>
  <c r="S229" i="2"/>
  <c r="R230" i="2"/>
  <c r="S230" i="2"/>
  <c r="R231" i="2"/>
  <c r="S231" i="2"/>
  <c r="R232" i="2"/>
  <c r="S232" i="2"/>
  <c r="R233" i="2"/>
  <c r="S233" i="2"/>
  <c r="R234" i="2"/>
  <c r="S234" i="2"/>
  <c r="R235" i="2"/>
  <c r="S235" i="2"/>
  <c r="R236" i="2"/>
  <c r="S236" i="2"/>
  <c r="R237" i="2"/>
  <c r="S237" i="2"/>
  <c r="R238" i="2"/>
  <c r="S238" i="2"/>
  <c r="R239" i="2"/>
  <c r="S239" i="2"/>
  <c r="R240" i="2"/>
  <c r="S240" i="2"/>
  <c r="R241" i="2"/>
  <c r="S241" i="2"/>
  <c r="R242" i="2"/>
  <c r="S242" i="2"/>
  <c r="R243" i="2"/>
  <c r="S243" i="2"/>
  <c r="R244" i="2"/>
  <c r="S244" i="2"/>
  <c r="R245" i="2"/>
  <c r="S245" i="2"/>
  <c r="R246" i="2"/>
  <c r="S246" i="2"/>
  <c r="R247" i="2"/>
  <c r="S247" i="2"/>
  <c r="R248" i="2"/>
  <c r="S248" i="2"/>
  <c r="R249" i="2"/>
  <c r="S249" i="2"/>
  <c r="R250" i="2"/>
  <c r="S250" i="2"/>
  <c r="R251" i="2"/>
  <c r="S251" i="2"/>
  <c r="R252" i="2"/>
  <c r="S252" i="2"/>
  <c r="R253" i="2"/>
  <c r="S253" i="2"/>
  <c r="R254" i="2"/>
  <c r="S254" i="2"/>
  <c r="R255" i="2"/>
  <c r="S255" i="2"/>
  <c r="R256" i="2"/>
  <c r="S256" i="2"/>
  <c r="R257" i="2"/>
  <c r="S257" i="2"/>
  <c r="R258" i="2"/>
  <c r="S258" i="2"/>
  <c r="R259" i="2"/>
  <c r="S259" i="2"/>
  <c r="R260" i="2"/>
  <c r="S260" i="2"/>
  <c r="R261" i="2"/>
  <c r="S261" i="2"/>
  <c r="R262" i="2"/>
  <c r="S262" i="2"/>
  <c r="R263" i="2"/>
  <c r="S263" i="2"/>
  <c r="R264" i="2"/>
  <c r="S264" i="2"/>
  <c r="R265" i="2"/>
  <c r="S265" i="2"/>
  <c r="R266" i="2"/>
  <c r="S266" i="2"/>
  <c r="R267" i="2"/>
  <c r="S267" i="2"/>
  <c r="R268" i="2"/>
  <c r="S268" i="2"/>
  <c r="R269" i="2"/>
  <c r="S269" i="2"/>
  <c r="R270" i="2"/>
  <c r="S270" i="2"/>
  <c r="R271" i="2"/>
  <c r="S271" i="2"/>
  <c r="R272" i="2"/>
  <c r="S272" i="2"/>
  <c r="R273" i="2"/>
  <c r="S273" i="2"/>
  <c r="R274" i="2"/>
  <c r="S274" i="2"/>
  <c r="R275" i="2"/>
  <c r="S275" i="2"/>
  <c r="R276" i="2"/>
  <c r="S276" i="2"/>
  <c r="R277" i="2"/>
  <c r="S277" i="2"/>
  <c r="R278" i="2"/>
  <c r="S278" i="2"/>
  <c r="R279" i="2"/>
  <c r="S279" i="2"/>
  <c r="R280" i="2"/>
  <c r="S280" i="2"/>
  <c r="R281" i="2"/>
  <c r="S281" i="2"/>
  <c r="R282" i="2"/>
  <c r="S282" i="2"/>
  <c r="R283" i="2"/>
  <c r="S283" i="2"/>
  <c r="R284" i="2"/>
  <c r="S284" i="2"/>
  <c r="R285" i="2"/>
  <c r="S285" i="2"/>
  <c r="R286" i="2"/>
  <c r="S286" i="2"/>
  <c r="R287" i="2"/>
  <c r="S287" i="2"/>
  <c r="R288" i="2"/>
  <c r="S288" i="2"/>
  <c r="R289" i="2"/>
  <c r="S289" i="2"/>
  <c r="R290" i="2"/>
  <c r="S290" i="2"/>
  <c r="R291" i="2"/>
  <c r="S291" i="2"/>
  <c r="R292" i="2"/>
  <c r="S292" i="2"/>
  <c r="R293" i="2"/>
  <c r="S293" i="2"/>
  <c r="R294" i="2"/>
  <c r="S294" i="2"/>
  <c r="R295" i="2"/>
  <c r="S295" i="2"/>
  <c r="R296" i="2"/>
  <c r="S296" i="2"/>
  <c r="R297" i="2"/>
  <c r="S297" i="2"/>
  <c r="R298" i="2"/>
  <c r="S298" i="2"/>
  <c r="R299" i="2"/>
  <c r="S299" i="2"/>
  <c r="R300" i="2"/>
  <c r="S300" i="2"/>
  <c r="R301" i="2"/>
  <c r="S301" i="2"/>
  <c r="R302" i="2"/>
  <c r="S302" i="2"/>
  <c r="R303" i="2"/>
  <c r="S303" i="2"/>
  <c r="R304" i="2"/>
  <c r="S304" i="2"/>
  <c r="R305" i="2"/>
  <c r="S305" i="2"/>
  <c r="R306" i="2"/>
  <c r="S306" i="2"/>
  <c r="R307" i="2"/>
  <c r="S307" i="2"/>
  <c r="R308" i="2"/>
  <c r="S308" i="2"/>
  <c r="R309" i="2"/>
  <c r="S309" i="2"/>
  <c r="R310" i="2"/>
  <c r="S310" i="2"/>
  <c r="R311" i="2"/>
  <c r="S311" i="2"/>
  <c r="R312" i="2"/>
  <c r="S312" i="2"/>
  <c r="R313" i="2"/>
  <c r="S313" i="2"/>
  <c r="R314" i="2"/>
  <c r="S314" i="2"/>
  <c r="R315" i="2"/>
  <c r="S315" i="2"/>
  <c r="R316" i="2"/>
  <c r="S316" i="2"/>
  <c r="R317" i="2"/>
  <c r="S317" i="2"/>
  <c r="R318" i="2"/>
  <c r="S318" i="2"/>
  <c r="R319" i="2"/>
  <c r="S319" i="2"/>
  <c r="R320" i="2"/>
  <c r="S320" i="2"/>
  <c r="R321" i="2"/>
  <c r="S321" i="2"/>
  <c r="R322" i="2"/>
  <c r="S322" i="2"/>
  <c r="R323" i="2"/>
  <c r="S323" i="2"/>
  <c r="R324" i="2"/>
  <c r="S324" i="2"/>
  <c r="R325" i="2"/>
  <c r="S325" i="2"/>
  <c r="R326" i="2"/>
  <c r="S326" i="2"/>
  <c r="R327" i="2"/>
  <c r="S327" i="2"/>
  <c r="R328" i="2"/>
  <c r="S328" i="2"/>
  <c r="R329" i="2"/>
  <c r="S329" i="2"/>
  <c r="R330" i="2"/>
  <c r="S330" i="2"/>
  <c r="R331" i="2"/>
  <c r="S331" i="2"/>
  <c r="R332" i="2"/>
  <c r="S332" i="2"/>
  <c r="R333" i="2"/>
  <c r="S333" i="2"/>
  <c r="R334" i="2"/>
  <c r="S334" i="2"/>
  <c r="R335" i="2"/>
  <c r="S335" i="2"/>
  <c r="R336" i="2"/>
  <c r="S336" i="2"/>
  <c r="R337" i="2"/>
  <c r="S337" i="2"/>
  <c r="R338" i="2"/>
  <c r="S338" i="2"/>
  <c r="R339" i="2"/>
  <c r="S339" i="2"/>
  <c r="R340" i="2"/>
  <c r="S340" i="2"/>
  <c r="R341" i="2"/>
  <c r="S341" i="2"/>
  <c r="R342" i="2"/>
  <c r="S342" i="2"/>
  <c r="R343" i="2"/>
  <c r="S343" i="2"/>
  <c r="R344" i="2"/>
  <c r="S344" i="2"/>
  <c r="R345" i="2"/>
  <c r="S345" i="2"/>
  <c r="R346" i="2"/>
  <c r="S346" i="2"/>
  <c r="R347" i="2"/>
  <c r="S347" i="2"/>
  <c r="R348" i="2"/>
  <c r="S348" i="2"/>
  <c r="R349" i="2"/>
  <c r="S349" i="2"/>
  <c r="R350" i="2"/>
  <c r="S350" i="2"/>
  <c r="R351" i="2"/>
  <c r="S351" i="2"/>
  <c r="R352" i="2"/>
  <c r="S352" i="2"/>
  <c r="R353" i="2"/>
  <c r="S353" i="2"/>
  <c r="R354" i="2"/>
  <c r="S354" i="2"/>
  <c r="R355" i="2"/>
  <c r="S355" i="2"/>
  <c r="R356" i="2"/>
  <c r="S356" i="2"/>
  <c r="R357" i="2"/>
  <c r="S357" i="2"/>
  <c r="R358" i="2"/>
  <c r="S358" i="2"/>
  <c r="R359" i="2"/>
  <c r="S359" i="2"/>
  <c r="R360" i="2"/>
  <c r="S360" i="2"/>
  <c r="R361" i="2"/>
  <c r="S361" i="2"/>
  <c r="R362" i="2"/>
  <c r="S362" i="2"/>
  <c r="R363" i="2"/>
  <c r="S363" i="2"/>
  <c r="R364" i="2"/>
  <c r="S364" i="2"/>
  <c r="R365" i="2"/>
  <c r="S365" i="2"/>
  <c r="R366" i="2"/>
  <c r="S366" i="2"/>
  <c r="R367" i="2"/>
  <c r="S367" i="2"/>
  <c r="R368" i="2"/>
  <c r="S368" i="2"/>
  <c r="R369" i="2"/>
  <c r="S369" i="2"/>
  <c r="R370" i="2"/>
  <c r="S370" i="2"/>
  <c r="R371" i="2"/>
  <c r="S371" i="2"/>
  <c r="R372" i="2"/>
  <c r="S372" i="2"/>
  <c r="R373" i="2"/>
  <c r="S373" i="2"/>
  <c r="R374" i="2"/>
  <c r="S374" i="2"/>
  <c r="R375" i="2"/>
  <c r="S375" i="2"/>
  <c r="R376" i="2"/>
  <c r="S376" i="2"/>
  <c r="R377" i="2"/>
  <c r="S377" i="2"/>
  <c r="R378" i="2"/>
  <c r="S378" i="2"/>
  <c r="R379" i="2"/>
  <c r="S379" i="2"/>
  <c r="R380" i="2"/>
  <c r="S380" i="2"/>
  <c r="R381" i="2"/>
  <c r="S381" i="2"/>
  <c r="R382" i="2"/>
  <c r="S382" i="2"/>
  <c r="R383" i="2"/>
  <c r="S383" i="2"/>
  <c r="R384" i="2"/>
  <c r="S384" i="2"/>
  <c r="R385" i="2"/>
  <c r="S385" i="2"/>
  <c r="R386" i="2"/>
  <c r="S386" i="2"/>
  <c r="R387" i="2"/>
  <c r="S387" i="2"/>
  <c r="R388" i="2"/>
  <c r="S388" i="2"/>
  <c r="R389" i="2"/>
  <c r="S389" i="2"/>
  <c r="R390" i="2"/>
  <c r="S390" i="2"/>
  <c r="R391" i="2"/>
  <c r="S391" i="2"/>
  <c r="R392" i="2"/>
  <c r="S392" i="2"/>
  <c r="R393" i="2"/>
  <c r="S393" i="2"/>
  <c r="R394" i="2"/>
  <c r="S394" i="2"/>
  <c r="R395" i="2"/>
  <c r="S395" i="2"/>
  <c r="R396" i="2"/>
  <c r="S396" i="2"/>
  <c r="R397" i="2"/>
  <c r="S397" i="2"/>
  <c r="S2" i="2"/>
  <c r="R2" i="2"/>
  <c r="P1" i="2"/>
  <c r="F1" i="2"/>
  <c r="G1" i="2"/>
  <c r="H1" i="2"/>
  <c r="I1" i="2"/>
  <c r="J1" i="2"/>
  <c r="K1" i="2"/>
  <c r="L1" i="2"/>
  <c r="M1" i="2"/>
  <c r="N1" i="2"/>
  <c r="O1" i="2"/>
  <c r="D1" i="2"/>
  <c r="E1" i="2"/>
  <c r="C1" i="2"/>
  <c r="B1" i="2"/>
  <c r="A1" i="2"/>
  <c r="F24" i="3" a="1"/>
  <c r="B12" i="2"/>
  <c r="F24" i="3" l="1"/>
  <c r="G2" i="2"/>
  <c r="M568" i="2"/>
  <c r="M463" i="2"/>
  <c r="M478" i="2"/>
  <c r="M596" i="2"/>
  <c r="M527" i="2"/>
  <c r="M419" i="2"/>
  <c r="U427" i="2"/>
  <c r="M498" i="2"/>
  <c r="M495" i="2"/>
  <c r="M609" i="2"/>
  <c r="M606" i="2"/>
  <c r="M597" i="2"/>
  <c r="M406" i="2"/>
  <c r="M403" i="2"/>
  <c r="M477" i="2"/>
  <c r="M625" i="2"/>
  <c r="M578" i="2"/>
  <c r="M497" i="2"/>
  <c r="U483" i="2"/>
  <c r="M574" i="2"/>
  <c r="M420" i="2"/>
  <c r="M399" i="2"/>
  <c r="M603" i="2"/>
  <c r="M640" i="2"/>
  <c r="M637" i="2"/>
  <c r="M631" i="2"/>
  <c r="U626" i="2"/>
  <c r="M437" i="2"/>
  <c r="M513" i="2"/>
  <c r="M535" i="2"/>
  <c r="U620" i="2"/>
  <c r="M633" i="2"/>
  <c r="M465" i="2"/>
  <c r="M459" i="2"/>
  <c r="M490" i="2"/>
  <c r="M500" i="2"/>
  <c r="M550" i="2"/>
  <c r="M531" i="2"/>
  <c r="M479" i="2"/>
  <c r="M455" i="2"/>
  <c r="M629" i="2"/>
  <c r="M619" i="2"/>
  <c r="M607" i="2"/>
  <c r="M604" i="2"/>
  <c r="M601" i="2"/>
  <c r="M639" i="2"/>
  <c r="M564" i="2"/>
  <c r="M605" i="2"/>
  <c r="M571" i="2"/>
  <c r="U588" i="2"/>
  <c r="M589" i="2"/>
  <c r="M576" i="2"/>
  <c r="M551" i="2"/>
  <c r="M548" i="2"/>
  <c r="M538" i="2"/>
  <c r="U517" i="2"/>
  <c r="M413" i="2"/>
  <c r="M404" i="2"/>
  <c r="M599" i="2"/>
  <c r="M567" i="2"/>
  <c r="M529" i="2"/>
  <c r="M439" i="2"/>
  <c r="M501" i="2"/>
  <c r="M432" i="2"/>
  <c r="U430" i="2"/>
  <c r="M425" i="2"/>
  <c r="M559" i="2"/>
  <c r="M470" i="2"/>
  <c r="U468" i="2"/>
  <c r="M617" i="2"/>
  <c r="U615" i="2"/>
  <c r="M592" i="2"/>
  <c r="U541" i="2"/>
  <c r="M467" i="2"/>
  <c r="M442" i="2"/>
  <c r="M583" i="2"/>
  <c r="M563" i="2"/>
  <c r="M544" i="2"/>
  <c r="M505" i="2"/>
  <c r="M471" i="2"/>
  <c r="M512" i="2"/>
  <c r="M615" i="2"/>
  <c r="M533" i="2"/>
  <c r="M587" i="2"/>
  <c r="M581" i="2"/>
  <c r="M541" i="2"/>
  <c r="M448" i="2"/>
  <c r="U625" i="2"/>
  <c r="M558" i="2"/>
  <c r="M545" i="2"/>
  <c r="M456" i="2"/>
  <c r="M438" i="2"/>
  <c r="M573" i="2"/>
  <c r="M598" i="2"/>
  <c r="M552" i="2"/>
  <c r="M511" i="2"/>
  <c r="M502" i="2"/>
  <c r="U471" i="2"/>
  <c r="M536" i="2"/>
  <c r="M621" i="2"/>
  <c r="M585" i="2"/>
  <c r="M572" i="2"/>
  <c r="M562" i="2"/>
  <c r="M532" i="2"/>
  <c r="U520" i="2"/>
  <c r="M499" i="2"/>
  <c r="M496" i="2"/>
  <c r="M447" i="2"/>
  <c r="U634" i="2"/>
  <c r="M610" i="2"/>
  <c r="M570" i="2"/>
  <c r="U564" i="2"/>
  <c r="U514" i="2"/>
  <c r="M506" i="2"/>
  <c r="M488" i="2"/>
  <c r="M444" i="2"/>
  <c r="M440" i="2"/>
  <c r="U434" i="2"/>
  <c r="M414" i="2"/>
  <c r="M407" i="2"/>
  <c r="M582" i="2"/>
  <c r="U635" i="2"/>
  <c r="M618" i="2"/>
  <c r="M594" i="2"/>
  <c r="U573" i="2"/>
  <c r="M560" i="2"/>
  <c r="M556" i="2"/>
  <c r="M534" i="2"/>
  <c r="M530" i="2"/>
  <c r="M507" i="2"/>
  <c r="M482" i="2"/>
  <c r="M475" i="2"/>
  <c r="M460" i="2"/>
  <c r="M449" i="2"/>
  <c r="M422" i="2"/>
  <c r="M415" i="2"/>
  <c r="M400" i="2"/>
  <c r="M627" i="2"/>
  <c r="M622" i="2"/>
  <c r="M608" i="2"/>
  <c r="M553" i="2"/>
  <c r="M523" i="2"/>
  <c r="M518" i="2"/>
  <c r="M504" i="2"/>
  <c r="U458" i="2"/>
  <c r="M433" i="2"/>
  <c r="M426" i="2"/>
  <c r="M472" i="2"/>
  <c r="M464" i="2"/>
  <c r="M412" i="2"/>
  <c r="M590" i="2"/>
  <c r="M561" i="2"/>
  <c r="M543" i="2"/>
  <c r="M539" i="2"/>
  <c r="M524" i="2"/>
  <c r="M514" i="2"/>
  <c r="U491" i="2"/>
  <c r="M483" i="2"/>
  <c r="M476" i="2"/>
  <c r="M468" i="2"/>
  <c r="U466" i="2"/>
  <c r="M446" i="2"/>
  <c r="M430" i="2"/>
  <c r="M416" i="2"/>
  <c r="M628" i="2"/>
  <c r="U621" i="2"/>
  <c r="M616" i="2"/>
  <c r="U597" i="2"/>
  <c r="M595" i="2"/>
  <c r="M565" i="2"/>
  <c r="U552" i="2"/>
  <c r="M547" i="2"/>
  <c r="U503" i="2"/>
  <c r="M494" i="2"/>
  <c r="M487" i="2"/>
  <c r="M469" i="2"/>
  <c r="M427" i="2"/>
  <c r="M405" i="2"/>
  <c r="M398" i="2"/>
  <c r="M613" i="2"/>
  <c r="M600" i="2"/>
  <c r="M591" i="2"/>
  <c r="U549" i="2"/>
  <c r="M525" i="2"/>
  <c r="U482" i="2"/>
  <c r="M443" i="2"/>
  <c r="M436" i="2"/>
  <c r="M424" i="2"/>
  <c r="U638" i="2"/>
  <c r="U637" i="2"/>
  <c r="M624" i="2"/>
  <c r="M623" i="2"/>
  <c r="U579" i="2"/>
  <c r="M549" i="2"/>
  <c r="M528" i="2"/>
  <c r="M519" i="2"/>
  <c r="U493" i="2"/>
  <c r="U488" i="2"/>
  <c r="M480" i="2"/>
  <c r="M473" i="2"/>
  <c r="M457" i="2"/>
  <c r="M453" i="2"/>
  <c r="M634" i="2"/>
  <c r="U606" i="2"/>
  <c r="U590" i="2"/>
  <c r="U569" i="2"/>
  <c r="U533" i="2"/>
  <c r="M521" i="2"/>
  <c r="U515" i="2"/>
  <c r="U510" i="2"/>
  <c r="M503" i="2"/>
  <c r="U500" i="2"/>
  <c r="U487" i="2"/>
  <c r="U477" i="2"/>
  <c r="M428" i="2"/>
  <c r="U410" i="2"/>
  <c r="U398" i="2"/>
  <c r="M636" i="2"/>
  <c r="M635" i="2"/>
  <c r="M626" i="2"/>
  <c r="M588" i="2"/>
  <c r="U581" i="2"/>
  <c r="M557" i="2"/>
  <c r="U547" i="2"/>
  <c r="U495" i="2"/>
  <c r="M492" i="2"/>
  <c r="M481" i="2"/>
  <c r="U461" i="2"/>
  <c r="U456" i="2"/>
  <c r="M454" i="2"/>
  <c r="M408" i="2"/>
  <c r="U633" i="2"/>
  <c r="U629" i="2"/>
  <c r="U613" i="2"/>
  <c r="M579" i="2"/>
  <c r="U576" i="2"/>
  <c r="U555" i="2"/>
  <c r="U537" i="2"/>
  <c r="U535" i="2"/>
  <c r="M402" i="2"/>
  <c r="U619" i="2"/>
  <c r="M602" i="2"/>
  <c r="U586" i="2"/>
  <c r="M584" i="2"/>
  <c r="M580" i="2"/>
  <c r="M515" i="2"/>
  <c r="M509" i="2"/>
  <c r="U507" i="2"/>
  <c r="U484" i="2"/>
  <c r="U467" i="2"/>
  <c r="M450" i="2"/>
  <c r="M445" i="2"/>
  <c r="M434" i="2"/>
  <c r="M423" i="2"/>
  <c r="M410" i="2"/>
  <c r="M612" i="2"/>
  <c r="U609" i="2"/>
  <c r="U577" i="2"/>
  <c r="M575" i="2"/>
  <c r="M516" i="2"/>
  <c r="M411" i="2"/>
  <c r="M452" i="2"/>
  <c r="M520" i="2"/>
  <c r="M484" i="2"/>
  <c r="M462" i="2"/>
  <c r="U449" i="2"/>
  <c r="U414" i="2"/>
  <c r="U448" i="2"/>
  <c r="U403" i="2"/>
  <c r="U502" i="2"/>
  <c r="U572" i="2"/>
  <c r="U554" i="2"/>
  <c r="U630" i="2"/>
  <c r="U534" i="2"/>
  <c r="U455" i="2"/>
  <c r="U631" i="2"/>
  <c r="U622" i="2"/>
  <c r="U603" i="2"/>
  <c r="M540" i="2"/>
  <c r="M508" i="2"/>
  <c r="U499" i="2"/>
  <c r="U492" i="2"/>
  <c r="M441" i="2"/>
  <c r="U424" i="2"/>
  <c r="U594" i="2"/>
  <c r="U607" i="2"/>
  <c r="U595" i="2"/>
  <c r="U432" i="2"/>
  <c r="U608" i="2"/>
  <c r="U504" i="2"/>
  <c r="U498" i="2"/>
  <c r="U617" i="2"/>
  <c r="U604" i="2"/>
  <c r="U598" i="2"/>
  <c r="U591" i="2"/>
  <c r="U583" i="2"/>
  <c r="U446" i="2"/>
  <c r="U419" i="2"/>
  <c r="U599" i="2"/>
  <c r="U593" i="2"/>
  <c r="U584" i="2"/>
  <c r="U521" i="2"/>
  <c r="W533" i="2"/>
  <c r="U524" i="2"/>
  <c r="M577" i="2"/>
  <c r="U445" i="2"/>
  <c r="U632" i="2"/>
  <c r="U618" i="2"/>
  <c r="U612" i="2"/>
  <c r="U605" i="2"/>
  <c r="U565" i="2"/>
  <c r="U538" i="2"/>
  <c r="M510" i="2"/>
  <c r="U501" i="2"/>
  <c r="M485" i="2"/>
  <c r="M461" i="2"/>
  <c r="U457" i="2"/>
  <c r="U423" i="2"/>
  <c r="M418" i="2"/>
  <c r="M431" i="2"/>
  <c r="M611" i="2"/>
  <c r="M586" i="2"/>
  <c r="M566" i="2"/>
  <c r="U553" i="2"/>
  <c r="M546" i="2"/>
  <c r="U511" i="2"/>
  <c r="M491" i="2"/>
  <c r="U489" i="2"/>
  <c r="U480" i="2"/>
  <c r="M474" i="2"/>
  <c r="M614" i="2"/>
  <c r="M493" i="2"/>
  <c r="M466" i="2"/>
  <c r="M435" i="2"/>
  <c r="M421" i="2"/>
  <c r="W637" i="2"/>
  <c r="U602" i="2"/>
  <c r="U582" i="2"/>
  <c r="U571" i="2"/>
  <c r="U566" i="2"/>
  <c r="U558" i="2"/>
  <c r="M554" i="2"/>
  <c r="U526" i="2"/>
  <c r="U506" i="2"/>
  <c r="U574" i="2"/>
  <c r="W412" i="2"/>
  <c r="U596" i="2"/>
  <c r="M555" i="2"/>
  <c r="U522" i="2"/>
  <c r="U420" i="2"/>
  <c r="U585" i="2"/>
  <c r="U544" i="2"/>
  <c r="U623" i="2"/>
  <c r="M638" i="2"/>
  <c r="M630" i="2"/>
  <c r="U401" i="2"/>
  <c r="U628" i="2"/>
  <c r="U532" i="2"/>
  <c r="U447" i="2"/>
  <c r="U421" i="2"/>
  <c r="U570" i="2"/>
  <c r="U485" i="2"/>
  <c r="U556" i="2"/>
  <c r="W449" i="2"/>
  <c r="U587" i="2"/>
  <c r="U478" i="2"/>
  <c r="U422" i="2"/>
  <c r="M517" i="2"/>
  <c r="U513" i="2"/>
  <c r="U508" i="2"/>
  <c r="U527" i="2"/>
  <c r="U472" i="2"/>
  <c r="U616" i="2"/>
  <c r="W625" i="2"/>
  <c r="M620" i="2"/>
  <c r="U610" i="2"/>
  <c r="M593" i="2"/>
  <c r="M569" i="2"/>
  <c r="M537" i="2"/>
  <c r="U433" i="2"/>
  <c r="M632" i="2"/>
  <c r="U559" i="2"/>
  <c r="U518" i="2"/>
  <c r="M486" i="2"/>
  <c r="U589" i="2"/>
  <c r="U575" i="2"/>
  <c r="U568" i="2"/>
  <c r="U539" i="2"/>
  <c r="U509" i="2"/>
  <c r="U469" i="2"/>
  <c r="M409" i="2"/>
  <c r="M542" i="2"/>
  <c r="M522" i="2"/>
  <c r="U429" i="2"/>
  <c r="U411" i="2"/>
  <c r="U545" i="2"/>
  <c r="M526" i="2"/>
  <c r="U516" i="2"/>
  <c r="U454" i="2"/>
  <c r="U417" i="2"/>
  <c r="U543" i="2"/>
  <c r="U451" i="2"/>
  <c r="U438" i="2"/>
  <c r="U431" i="2"/>
  <c r="U578" i="2"/>
  <c r="U562" i="2"/>
  <c r="U546" i="2"/>
  <c r="U530" i="2"/>
  <c r="U512" i="2"/>
  <c r="M489" i="2"/>
  <c r="U486" i="2"/>
  <c r="U479" i="2"/>
  <c r="U464" i="2"/>
  <c r="U453" i="2"/>
  <c r="W461" i="2"/>
  <c r="U425" i="2"/>
  <c r="U505" i="2"/>
  <c r="U402" i="2"/>
  <c r="U439" i="2"/>
  <c r="M451" i="2"/>
  <c r="U405" i="2"/>
  <c r="U404" i="2"/>
  <c r="U481" i="2"/>
  <c r="U465" i="2"/>
  <c r="M458" i="2"/>
  <c r="U409" i="2"/>
  <c r="M429" i="2"/>
  <c r="M417" i="2"/>
  <c r="M401" i="2"/>
  <c r="W366" i="2"/>
  <c r="W18" i="2"/>
  <c r="U290" i="2"/>
  <c r="U158" i="2"/>
  <c r="U62" i="2"/>
  <c r="W353" i="2"/>
  <c r="U397" i="2"/>
  <c r="U277" i="2"/>
  <c r="U205" i="2"/>
  <c r="U181" i="2"/>
  <c r="U157" i="2"/>
  <c r="U73" i="2"/>
  <c r="U72" i="2"/>
  <c r="U36" i="2"/>
  <c r="U12" i="2"/>
  <c r="U266" i="2"/>
  <c r="W365" i="2"/>
  <c r="U361" i="2"/>
  <c r="U229" i="2"/>
  <c r="U300" i="2"/>
  <c r="U84" i="2"/>
  <c r="U314" i="2"/>
  <c r="U242" i="2"/>
  <c r="U194" i="2"/>
  <c r="U170" i="2"/>
  <c r="U134" i="2"/>
  <c r="U110" i="2"/>
  <c r="U98" i="2"/>
  <c r="U74" i="2"/>
  <c r="U38" i="2"/>
  <c r="U349" i="2"/>
  <c r="U133" i="2"/>
  <c r="U85" i="2"/>
  <c r="U216" i="2"/>
  <c r="U386" i="2"/>
  <c r="U146" i="2"/>
  <c r="U289" i="2"/>
  <c r="U217" i="2"/>
  <c r="U396" i="2"/>
  <c r="U360" i="2"/>
  <c r="U348" i="2"/>
  <c r="U312" i="2"/>
  <c r="U264" i="2"/>
  <c r="U96" i="2"/>
  <c r="U24" i="2"/>
  <c r="U122" i="2"/>
  <c r="U50" i="2"/>
  <c r="U385" i="2"/>
  <c r="U253" i="2"/>
  <c r="U252" i="2"/>
  <c r="U228" i="2"/>
  <c r="U192" i="2"/>
  <c r="U156" i="2"/>
  <c r="U108" i="2"/>
  <c r="U48" i="2"/>
  <c r="U374" i="2"/>
  <c r="U218" i="2"/>
  <c r="U373" i="2"/>
  <c r="U313" i="2"/>
  <c r="U301" i="2"/>
  <c r="U265" i="2"/>
  <c r="U241" i="2"/>
  <c r="U193" i="2"/>
  <c r="U169" i="2"/>
  <c r="U109" i="2"/>
  <c r="U204" i="2"/>
  <c r="U168" i="2"/>
  <c r="U120" i="2"/>
  <c r="U60" i="2"/>
  <c r="W379" i="2"/>
  <c r="W283" i="2"/>
  <c r="W91" i="2"/>
  <c r="U320" i="2"/>
  <c r="U308" i="2"/>
  <c r="U272" i="2"/>
  <c r="U260" i="2"/>
  <c r="U224" i="2"/>
  <c r="U212" i="2"/>
  <c r="U176" i="2"/>
  <c r="U164" i="2"/>
  <c r="U128" i="2"/>
  <c r="U116" i="2"/>
  <c r="U80" i="2"/>
  <c r="U68" i="2"/>
  <c r="U32" i="2"/>
  <c r="U20" i="2"/>
  <c r="U79" i="2"/>
  <c r="U43" i="2"/>
  <c r="U31" i="2"/>
  <c r="M187" i="2"/>
  <c r="M272" i="2"/>
  <c r="M248" i="2"/>
  <c r="M126" i="2"/>
  <c r="M390" i="2"/>
  <c r="M150" i="2"/>
  <c r="M42" i="2"/>
  <c r="M392" i="2"/>
  <c r="M188" i="2"/>
  <c r="M116" i="2"/>
  <c r="M32" i="2"/>
  <c r="M394" i="2"/>
  <c r="M380" i="2"/>
  <c r="M368" i="2"/>
  <c r="M356" i="2"/>
  <c r="M344" i="2"/>
  <c r="M332" i="2"/>
  <c r="M320" i="2"/>
  <c r="M308" i="2"/>
  <c r="M296" i="2"/>
  <c r="M284" i="2"/>
  <c r="M260" i="2"/>
  <c r="M236" i="2"/>
  <c r="M224" i="2"/>
  <c r="M212" i="2"/>
  <c r="M200" i="2"/>
  <c r="M176" i="2"/>
  <c r="M164" i="2"/>
  <c r="M152" i="2"/>
  <c r="M140" i="2"/>
  <c r="M128" i="2"/>
  <c r="M104" i="2"/>
  <c r="M92" i="2"/>
  <c r="M80" i="2"/>
  <c r="M68" i="2"/>
  <c r="M56" i="2"/>
  <c r="M44" i="2"/>
  <c r="M20" i="2"/>
  <c r="M8" i="2"/>
  <c r="M223" i="2"/>
  <c r="M378" i="2"/>
  <c r="M366" i="2"/>
  <c r="M354" i="2"/>
  <c r="M342" i="2"/>
  <c r="M330" i="2"/>
  <c r="M318" i="2"/>
  <c r="M306" i="2"/>
  <c r="M294" i="2"/>
  <c r="M282" i="2"/>
  <c r="M270" i="2"/>
  <c r="M258" i="2"/>
  <c r="M246" i="2"/>
  <c r="M234" i="2"/>
  <c r="M222" i="2"/>
  <c r="M210" i="2"/>
  <c r="M198" i="2"/>
  <c r="M186" i="2"/>
  <c r="M174" i="2"/>
  <c r="M162" i="2"/>
  <c r="M138" i="2"/>
  <c r="M114" i="2"/>
  <c r="M102" i="2"/>
  <c r="M90" i="2"/>
  <c r="M78" i="2"/>
  <c r="M66" i="2"/>
  <c r="M54" i="2"/>
  <c r="M119" i="2"/>
  <c r="M117" i="2"/>
  <c r="M331" i="2"/>
  <c r="M235" i="2"/>
  <c r="M91" i="2"/>
  <c r="M30" i="2"/>
  <c r="M18" i="2"/>
  <c r="M6" i="2"/>
  <c r="M304" i="2"/>
  <c r="M292" i="2"/>
  <c r="M256" i="2"/>
  <c r="M389" i="2"/>
  <c r="M317" i="2"/>
  <c r="M293" i="2"/>
  <c r="M281" i="2"/>
  <c r="M269" i="2"/>
  <c r="M257" i="2"/>
  <c r="M205" i="2"/>
  <c r="M289" i="2"/>
  <c r="M217" i="2"/>
  <c r="M278" i="2"/>
  <c r="M391" i="2"/>
  <c r="M367" i="2"/>
  <c r="M307" i="2"/>
  <c r="M283" i="2"/>
  <c r="M211" i="2"/>
  <c r="M103" i="2"/>
  <c r="M43" i="2"/>
  <c r="M302" i="2"/>
  <c r="M218" i="2"/>
  <c r="M206" i="2"/>
  <c r="M182" i="2"/>
  <c r="M98" i="2"/>
  <c r="M145" i="2"/>
  <c r="M362" i="2"/>
  <c r="M266" i="2"/>
  <c r="M325" i="2"/>
  <c r="M301" i="2"/>
  <c r="M265" i="2"/>
  <c r="M97" i="2"/>
  <c r="M73" i="2"/>
  <c r="M61" i="2"/>
  <c r="M37" i="2"/>
  <c r="M360" i="2"/>
  <c r="M35" i="2"/>
  <c r="M58" i="2"/>
  <c r="M369" i="2"/>
  <c r="M297" i="2"/>
  <c r="M225" i="2"/>
  <c r="M105" i="2"/>
  <c r="M21" i="2"/>
  <c r="M244" i="2"/>
  <c r="M28" i="2"/>
  <c r="M375" i="2"/>
  <c r="M339" i="2"/>
  <c r="M291" i="2"/>
  <c r="M267" i="2"/>
  <c r="M183" i="2"/>
  <c r="M123" i="2"/>
  <c r="M27" i="2"/>
  <c r="M386" i="2"/>
  <c r="M350" i="2"/>
  <c r="M326" i="2"/>
  <c r="M254" i="2"/>
  <c r="M242" i="2"/>
  <c r="M158" i="2"/>
  <c r="M146" i="2"/>
  <c r="M134" i="2"/>
  <c r="M122" i="2"/>
  <c r="M74" i="2"/>
  <c r="M62" i="2"/>
  <c r="M50" i="2"/>
  <c r="M38" i="2"/>
  <c r="M14" i="2"/>
  <c r="M385" i="2"/>
  <c r="M361" i="2"/>
  <c r="M181" i="2"/>
  <c r="M157" i="2"/>
  <c r="M163" i="2"/>
  <c r="M397" i="2"/>
  <c r="M373" i="2"/>
  <c r="M349" i="2"/>
  <c r="M337" i="2"/>
  <c r="M313" i="2"/>
  <c r="M277" i="2"/>
  <c r="M241" i="2"/>
  <c r="M121" i="2"/>
  <c r="M13" i="2"/>
  <c r="M396" i="2"/>
  <c r="M336" i="2"/>
  <c r="M312" i="2"/>
  <c r="M300" i="2"/>
  <c r="M288" i="2"/>
  <c r="M276" i="2"/>
  <c r="M264" i="2"/>
  <c r="M204" i="2"/>
  <c r="M156" i="2"/>
  <c r="M108" i="2"/>
  <c r="M96" i="2"/>
  <c r="M247" i="2"/>
  <c r="M79" i="2"/>
  <c r="M395" i="2"/>
  <c r="M131" i="2"/>
  <c r="M23" i="2"/>
  <c r="M139" i="2"/>
  <c r="M19" i="2"/>
  <c r="M370" i="2"/>
  <c r="M202" i="2"/>
  <c r="M22" i="2"/>
  <c r="M393" i="2"/>
  <c r="M381" i="2"/>
  <c r="M357" i="2"/>
  <c r="M345" i="2"/>
  <c r="M333" i="2"/>
  <c r="M321" i="2"/>
  <c r="M309" i="2"/>
  <c r="M285" i="2"/>
  <c r="M273" i="2"/>
  <c r="M261" i="2"/>
  <c r="M249" i="2"/>
  <c r="M237" i="2"/>
  <c r="M213" i="2"/>
  <c r="M201" i="2"/>
  <c r="M189" i="2"/>
  <c r="M177" i="2"/>
  <c r="M165" i="2"/>
  <c r="M153" i="2"/>
  <c r="M141" i="2"/>
  <c r="M129" i="2"/>
  <c r="M93" i="2"/>
  <c r="M81" i="2"/>
  <c r="M69" i="2"/>
  <c r="M57" i="2"/>
  <c r="M45" i="2"/>
  <c r="M33" i="2"/>
  <c r="M9" i="2"/>
  <c r="M379" i="2"/>
  <c r="M355" i="2"/>
  <c r="M343" i="2"/>
  <c r="M319" i="2"/>
  <c r="M295" i="2"/>
  <c r="M271" i="2"/>
  <c r="M259" i="2"/>
  <c r="M199" i="2"/>
  <c r="M175" i="2"/>
  <c r="M151" i="2"/>
  <c r="M127" i="2"/>
  <c r="M115" i="2"/>
  <c r="M67" i="2"/>
  <c r="M55" i="2"/>
  <c r="M31" i="2"/>
  <c r="M7" i="2"/>
  <c r="M374" i="2"/>
  <c r="M338" i="2"/>
  <c r="M314" i="2"/>
  <c r="M290" i="2"/>
  <c r="M230" i="2"/>
  <c r="M194" i="2"/>
  <c r="M170" i="2"/>
  <c r="M110" i="2"/>
  <c r="M86" i="2"/>
  <c r="M253" i="2"/>
  <c r="M229" i="2"/>
  <c r="M193" i="2"/>
  <c r="M169" i="2"/>
  <c r="M133" i="2"/>
  <c r="M109" i="2"/>
  <c r="M85" i="2"/>
  <c r="M49" i="2"/>
  <c r="M25" i="2"/>
  <c r="M384" i="2"/>
  <c r="M372" i="2"/>
  <c r="M348" i="2"/>
  <c r="M324" i="2"/>
  <c r="M252" i="2"/>
  <c r="M240" i="2"/>
  <c r="M228" i="2"/>
  <c r="M216" i="2"/>
  <c r="M192" i="2"/>
  <c r="M180" i="2"/>
  <c r="M168" i="2"/>
  <c r="M144" i="2"/>
  <c r="M132" i="2"/>
  <c r="M120" i="2"/>
  <c r="M84" i="2"/>
  <c r="M72" i="2"/>
  <c r="M60" i="2"/>
  <c r="M48" i="2"/>
  <c r="M36" i="2"/>
  <c r="M24" i="2"/>
  <c r="M12" i="2"/>
  <c r="M335" i="2"/>
  <c r="M287" i="2"/>
  <c r="M227" i="2"/>
  <c r="M191" i="2"/>
  <c r="M95" i="2"/>
  <c r="M382" i="2"/>
  <c r="M310" i="2"/>
  <c r="M250" i="2"/>
  <c r="M190" i="2"/>
  <c r="M130" i="2"/>
  <c r="M377" i="2"/>
  <c r="M365" i="2"/>
  <c r="M353" i="2"/>
  <c r="M341" i="2"/>
  <c r="M329" i="2"/>
  <c r="M305" i="2"/>
  <c r="M245" i="2"/>
  <c r="M233" i="2"/>
  <c r="M221" i="2"/>
  <c r="M209" i="2"/>
  <c r="M197" i="2"/>
  <c r="M185" i="2"/>
  <c r="M173" i="2"/>
  <c r="M161" i="2"/>
  <c r="M149" i="2"/>
  <c r="M137" i="2"/>
  <c r="M125" i="2"/>
  <c r="M113" i="2"/>
  <c r="M101" i="2"/>
  <c r="M89" i="2"/>
  <c r="M77" i="2"/>
  <c r="M65" i="2"/>
  <c r="M53" i="2"/>
  <c r="M41" i="2"/>
  <c r="M29" i="2"/>
  <c r="M17" i="2"/>
  <c r="M5" i="2"/>
  <c r="M347" i="2"/>
  <c r="M275" i="2"/>
  <c r="M215" i="2"/>
  <c r="M167" i="2"/>
  <c r="M107" i="2"/>
  <c r="M59" i="2"/>
  <c r="M11" i="2"/>
  <c r="M346" i="2"/>
  <c r="M286" i="2"/>
  <c r="M226" i="2"/>
  <c r="M154" i="2"/>
  <c r="M106" i="2"/>
  <c r="M388" i="2"/>
  <c r="M376" i="2"/>
  <c r="M364" i="2"/>
  <c r="M352" i="2"/>
  <c r="M340" i="2"/>
  <c r="M328" i="2"/>
  <c r="M316" i="2"/>
  <c r="M280" i="2"/>
  <c r="M268" i="2"/>
  <c r="M232" i="2"/>
  <c r="M220" i="2"/>
  <c r="M208" i="2"/>
  <c r="M196" i="2"/>
  <c r="M184" i="2"/>
  <c r="M172" i="2"/>
  <c r="M160" i="2"/>
  <c r="M148" i="2"/>
  <c r="M136" i="2"/>
  <c r="M124" i="2"/>
  <c r="M112" i="2"/>
  <c r="M100" i="2"/>
  <c r="M88" i="2"/>
  <c r="M76" i="2"/>
  <c r="M64" i="2"/>
  <c r="M52" i="2"/>
  <c r="M40" i="2"/>
  <c r="M16" i="2"/>
  <c r="M4" i="2"/>
  <c r="M323" i="2"/>
  <c r="M263" i="2"/>
  <c r="M155" i="2"/>
  <c r="M358" i="2"/>
  <c r="M298" i="2"/>
  <c r="M238" i="2"/>
  <c r="M178" i="2"/>
  <c r="M82" i="2"/>
  <c r="M34" i="2"/>
  <c r="M387" i="2"/>
  <c r="M363" i="2"/>
  <c r="M351" i="2"/>
  <c r="M327" i="2"/>
  <c r="M315" i="2"/>
  <c r="M303" i="2"/>
  <c r="M279" i="2"/>
  <c r="M255" i="2"/>
  <c r="M243" i="2"/>
  <c r="M231" i="2"/>
  <c r="M219" i="2"/>
  <c r="M207" i="2"/>
  <c r="M195" i="2"/>
  <c r="M171" i="2"/>
  <c r="M159" i="2"/>
  <c r="M147" i="2"/>
  <c r="M135" i="2"/>
  <c r="M111" i="2"/>
  <c r="M99" i="2"/>
  <c r="M87" i="2"/>
  <c r="M75" i="2"/>
  <c r="M63" i="2"/>
  <c r="M51" i="2"/>
  <c r="M39" i="2"/>
  <c r="M15" i="2"/>
  <c r="M3" i="2"/>
  <c r="M383" i="2"/>
  <c r="M371" i="2"/>
  <c r="M311" i="2"/>
  <c r="M251" i="2"/>
  <c r="M203" i="2"/>
  <c r="M83" i="2"/>
  <c r="M334" i="2"/>
  <c r="M262" i="2"/>
  <c r="M214" i="2"/>
  <c r="M166" i="2"/>
  <c r="M118" i="2"/>
  <c r="M70" i="2"/>
  <c r="M10" i="2"/>
  <c r="M359" i="2"/>
  <c r="M299" i="2"/>
  <c r="M239" i="2"/>
  <c r="M179" i="2"/>
  <c r="M143" i="2"/>
  <c r="M71" i="2"/>
  <c r="M47" i="2"/>
  <c r="M322" i="2"/>
  <c r="M274" i="2"/>
  <c r="M142" i="2"/>
  <c r="M94" i="2"/>
  <c r="M46" i="2"/>
  <c r="M2" i="2"/>
  <c r="U258" i="2"/>
  <c r="U150" i="2"/>
  <c r="U354" i="2"/>
  <c r="U342" i="2"/>
  <c r="U330" i="2"/>
  <c r="U318" i="2"/>
  <c r="U306" i="2"/>
  <c r="U282" i="2"/>
  <c r="U270" i="2"/>
  <c r="U246" i="2"/>
  <c r="U234" i="2"/>
  <c r="U210" i="2"/>
  <c r="U198" i="2"/>
  <c r="U186" i="2"/>
  <c r="U174" i="2"/>
  <c r="U102" i="2"/>
  <c r="U78" i="2"/>
  <c r="U54" i="2"/>
  <c r="U42" i="2"/>
  <c r="U30" i="2"/>
  <c r="U6" i="2"/>
  <c r="U389" i="2"/>
  <c r="U329" i="2"/>
  <c r="U305" i="2"/>
  <c r="U257" i="2"/>
  <c r="U233" i="2"/>
  <c r="U185" i="2"/>
  <c r="U161" i="2"/>
  <c r="U137" i="2"/>
  <c r="U101" i="2"/>
  <c r="U77" i="2"/>
  <c r="U53" i="2"/>
  <c r="U29" i="2"/>
  <c r="U376" i="2"/>
  <c r="U390" i="2"/>
  <c r="U378" i="2"/>
  <c r="U138" i="2"/>
  <c r="U126" i="2"/>
  <c r="U90" i="2"/>
  <c r="U377" i="2"/>
  <c r="U341" i="2"/>
  <c r="U317" i="2"/>
  <c r="U269" i="2"/>
  <c r="U245" i="2"/>
  <c r="U197" i="2"/>
  <c r="U173" i="2"/>
  <c r="U149" i="2"/>
  <c r="U125" i="2"/>
  <c r="U113" i="2"/>
  <c r="U89" i="2"/>
  <c r="U65" i="2"/>
  <c r="U41" i="2"/>
  <c r="U17" i="2"/>
  <c r="U5" i="2"/>
  <c r="U388" i="2"/>
  <c r="U124" i="2"/>
  <c r="U364" i="2"/>
  <c r="U352" i="2"/>
  <c r="U340" i="2"/>
  <c r="U328" i="2"/>
  <c r="U316" i="2"/>
  <c r="U304" i="2"/>
  <c r="U292" i="2"/>
  <c r="U280" i="2"/>
  <c r="U268" i="2"/>
  <c r="U256" i="2"/>
  <c r="U244" i="2"/>
  <c r="U232" i="2"/>
  <c r="U220" i="2"/>
  <c r="U208" i="2"/>
  <c r="U196" i="2"/>
  <c r="U184" i="2"/>
  <c r="U172" i="2"/>
  <c r="U160" i="2"/>
  <c r="U148" i="2"/>
  <c r="U136" i="2"/>
  <c r="U112" i="2"/>
  <c r="U100" i="2"/>
  <c r="U88" i="2"/>
  <c r="U76" i="2"/>
  <c r="U64" i="2"/>
  <c r="U52" i="2"/>
  <c r="U40" i="2"/>
  <c r="U28" i="2"/>
  <c r="U16" i="2"/>
  <c r="U4" i="2"/>
  <c r="U387" i="2"/>
  <c r="U375" i="2"/>
  <c r="U363" i="2"/>
  <c r="U351" i="2"/>
  <c r="U339" i="2"/>
  <c r="U327" i="2"/>
  <c r="U315" i="2"/>
  <c r="U303" i="2"/>
  <c r="U279" i="2"/>
  <c r="U267" i="2"/>
  <c r="U255" i="2"/>
  <c r="U243" i="2"/>
  <c r="U219" i="2"/>
  <c r="U207" i="2"/>
  <c r="U183" i="2"/>
  <c r="U147" i="2"/>
  <c r="U123" i="2"/>
  <c r="U99" i="2"/>
  <c r="U51" i="2"/>
  <c r="U3" i="2"/>
  <c r="U291" i="2"/>
  <c r="U231" i="2"/>
  <c r="U195" i="2"/>
  <c r="U171" i="2"/>
  <c r="U159" i="2"/>
  <c r="U135" i="2"/>
  <c r="U111" i="2"/>
  <c r="U87" i="2"/>
  <c r="U75" i="2"/>
  <c r="U63" i="2"/>
  <c r="U39" i="2"/>
  <c r="U27" i="2"/>
  <c r="U15" i="2"/>
  <c r="U86" i="2"/>
  <c r="U179" i="2"/>
  <c r="U144" i="2"/>
  <c r="U35" i="2"/>
  <c r="U143" i="2"/>
  <c r="U326" i="2"/>
  <c r="U325" i="2"/>
  <c r="U287" i="2"/>
  <c r="U180" i="2"/>
  <c r="U381" i="2"/>
  <c r="U345" i="2"/>
  <c r="U297" i="2"/>
  <c r="U285" i="2"/>
  <c r="U261" i="2"/>
  <c r="U225" i="2"/>
  <c r="U189" i="2"/>
  <c r="U177" i="2"/>
  <c r="U141" i="2"/>
  <c r="U117" i="2"/>
  <c r="U81" i="2"/>
  <c r="U21" i="2"/>
  <c r="U236" i="2"/>
  <c r="U307" i="2"/>
  <c r="U295" i="2"/>
  <c r="U259" i="2"/>
  <c r="U163" i="2"/>
  <c r="U115" i="2"/>
  <c r="U103" i="2"/>
  <c r="U67" i="2"/>
  <c r="U7" i="2"/>
  <c r="U393" i="2"/>
  <c r="U333" i="2"/>
  <c r="U237" i="2"/>
  <c r="U129" i="2"/>
  <c r="U380" i="2"/>
  <c r="U284" i="2"/>
  <c r="U248" i="2"/>
  <c r="U200" i="2"/>
  <c r="U152" i="2"/>
  <c r="U104" i="2"/>
  <c r="U343" i="2"/>
  <c r="U19" i="2"/>
  <c r="U369" i="2"/>
  <c r="U321" i="2"/>
  <c r="U273" i="2"/>
  <c r="U213" i="2"/>
  <c r="U165" i="2"/>
  <c r="U105" i="2"/>
  <c r="U33" i="2"/>
  <c r="U392" i="2"/>
  <c r="U332" i="2"/>
  <c r="U188" i="2"/>
  <c r="U92" i="2"/>
  <c r="U44" i="2"/>
  <c r="U391" i="2"/>
  <c r="U355" i="2"/>
  <c r="U247" i="2"/>
  <c r="U211" i="2"/>
  <c r="U55" i="2"/>
  <c r="U384" i="2"/>
  <c r="U372" i="2"/>
  <c r="U336" i="2"/>
  <c r="U324" i="2"/>
  <c r="U276" i="2"/>
  <c r="U240" i="2"/>
  <c r="U288" i="2"/>
  <c r="U357" i="2"/>
  <c r="U309" i="2"/>
  <c r="U249" i="2"/>
  <c r="U201" i="2"/>
  <c r="U153" i="2"/>
  <c r="U93" i="2"/>
  <c r="U69" i="2"/>
  <c r="U57" i="2"/>
  <c r="U45" i="2"/>
  <c r="U9" i="2"/>
  <c r="U344" i="2"/>
  <c r="U296" i="2"/>
  <c r="U140" i="2"/>
  <c r="U56" i="2"/>
  <c r="U8" i="2"/>
  <c r="U199" i="2"/>
  <c r="U151" i="2"/>
  <c r="U132" i="2"/>
  <c r="U395" i="2"/>
  <c r="U383" i="2"/>
  <c r="U371" i="2"/>
  <c r="U359" i="2"/>
  <c r="U347" i="2"/>
  <c r="U335" i="2"/>
  <c r="U311" i="2"/>
  <c r="U299" i="2"/>
  <c r="U275" i="2"/>
  <c r="U263" i="2"/>
  <c r="U251" i="2"/>
  <c r="U239" i="2"/>
  <c r="U227" i="2"/>
  <c r="U215" i="2"/>
  <c r="U203" i="2"/>
  <c r="U191" i="2"/>
  <c r="U167" i="2"/>
  <c r="U155" i="2"/>
  <c r="U131" i="2"/>
  <c r="U119" i="2"/>
  <c r="U107" i="2"/>
  <c r="U95" i="2"/>
  <c r="U83" i="2"/>
  <c r="U71" i="2"/>
  <c r="U59" i="2"/>
  <c r="U47" i="2"/>
  <c r="U23" i="2"/>
  <c r="U11" i="2"/>
  <c r="U323" i="2"/>
  <c r="U394" i="2"/>
  <c r="U382" i="2"/>
  <c r="U370" i="2"/>
  <c r="U358" i="2"/>
  <c r="U346" i="2"/>
  <c r="U334" i="2"/>
  <c r="U310" i="2"/>
  <c r="U298" i="2"/>
  <c r="U286" i="2"/>
  <c r="U274" i="2"/>
  <c r="U262" i="2"/>
  <c r="U250" i="2"/>
  <c r="U238" i="2"/>
  <c r="U226" i="2"/>
  <c r="U214" i="2"/>
  <c r="U202" i="2"/>
  <c r="U190" i="2"/>
  <c r="U178" i="2"/>
  <c r="U166" i="2"/>
  <c r="U154" i="2"/>
  <c r="U142" i="2"/>
  <c r="U130" i="2"/>
  <c r="U118" i="2"/>
  <c r="U106" i="2"/>
  <c r="U94" i="2"/>
  <c r="U82" i="2"/>
  <c r="U70" i="2"/>
  <c r="U58" i="2"/>
  <c r="U46" i="2"/>
  <c r="U34" i="2"/>
  <c r="U22" i="2"/>
  <c r="U10" i="2"/>
  <c r="U322" i="2"/>
  <c r="H2" i="2" l="1"/>
  <c r="N627" i="3" a="1"/>
  <c r="A513" i="3" a="1"/>
  <c r="M94" i="3" a="1"/>
  <c r="K321" i="3" a="1"/>
  <c r="P13" i="3" a="1"/>
  <c r="D250" i="2"/>
  <c r="G191" i="3" a="1"/>
  <c r="D18" i="2"/>
  <c r="H510" i="3" a="1"/>
  <c r="N95" i="3" a="1"/>
  <c r="N618" i="3" a="1"/>
  <c r="N47" i="3" a="1"/>
  <c r="A556" i="3" a="1"/>
  <c r="P504" i="3" a="1"/>
  <c r="P111" i="3" a="1"/>
  <c r="I237" i="3" a="1"/>
  <c r="O355" i="3" a="1"/>
  <c r="L266" i="3" a="1"/>
  <c r="N240" i="3" a="1"/>
  <c r="G461" i="3" a="1"/>
  <c r="E4" i="2" a="1"/>
  <c r="I92" i="3" a="1"/>
  <c r="K606" i="3" a="1"/>
  <c r="A574" i="3" a="1"/>
  <c r="D50" i="2"/>
  <c r="P97" i="3" a="1"/>
  <c r="K505" i="3" a="1"/>
  <c r="K513" i="3" a="1"/>
  <c r="B24" i="2"/>
  <c r="F613" i="3" a="1"/>
  <c r="M384" i="3" a="1"/>
  <c r="D507" i="2"/>
  <c r="G603" i="3" a="1"/>
  <c r="H156" i="3" a="1"/>
  <c r="P453" i="3" a="1"/>
  <c r="E489" i="2" a="1"/>
  <c r="C69" i="2"/>
  <c r="D632" i="2"/>
  <c r="K162" i="3" a="1"/>
  <c r="L560" i="3" a="1"/>
  <c r="I319" i="3" a="1"/>
  <c r="P465" i="3" a="1"/>
  <c r="N311" i="3" a="1"/>
  <c r="C41" i="2"/>
  <c r="K236" i="3" a="1"/>
  <c r="F617" i="3" a="1"/>
  <c r="F423" i="3" a="1"/>
  <c r="L279" i="3" a="1"/>
  <c r="I408" i="3" a="1"/>
  <c r="A303" i="3" a="1"/>
  <c r="F397" i="3" a="1"/>
  <c r="E463" i="2" a="1"/>
  <c r="P494" i="3" a="1"/>
  <c r="H253" i="3" a="1"/>
  <c r="C214" i="2"/>
  <c r="E632" i="2" a="1"/>
  <c r="N140" i="3" a="1"/>
  <c r="C221" i="2"/>
  <c r="O587" i="3" a="1"/>
  <c r="L79" i="3" a="1"/>
  <c r="L361" i="3" a="1"/>
  <c r="N455" i="3" a="1"/>
  <c r="F368" i="3" a="1"/>
  <c r="O134" i="3" a="1"/>
  <c r="G571" i="3" a="1"/>
  <c r="E580" i="2" a="1"/>
  <c r="O618" i="3" a="1"/>
  <c r="P414" i="3" a="1"/>
  <c r="D484" i="2"/>
  <c r="F15" i="3" a="1"/>
  <c r="G562" i="3" a="1"/>
  <c r="F593" i="3" a="1"/>
  <c r="K351" i="3" a="1"/>
  <c r="G455" i="3" a="1"/>
  <c r="H125" i="3" a="1"/>
  <c r="E472" i="2" a="1"/>
  <c r="B600" i="2"/>
  <c r="M149" i="3" a="1"/>
  <c r="F356" i="3" a="1"/>
  <c r="A343" i="3" a="1"/>
  <c r="G187" i="3" a="1"/>
  <c r="C313" i="2"/>
  <c r="I28" i="3" a="1"/>
  <c r="N353" i="3" a="1"/>
  <c r="O432" i="3" a="1"/>
  <c r="B570" i="2"/>
  <c r="P236" i="3" a="1"/>
  <c r="O453" i="3" a="1"/>
  <c r="G224" i="3" a="1"/>
  <c r="L505" i="3" a="1"/>
  <c r="C543" i="2"/>
  <c r="M51" i="3" a="1"/>
  <c r="N20" i="3" a="1"/>
  <c r="L296" i="3" a="1"/>
  <c r="G134" i="3" a="1"/>
  <c r="F232" i="3" a="1"/>
  <c r="A82" i="3" a="1"/>
  <c r="D45" i="2"/>
  <c r="K360" i="3" a="1"/>
  <c r="B461" i="2"/>
  <c r="F512" i="3" a="1"/>
  <c r="N65" i="3" a="1"/>
  <c r="O602" i="3" a="1"/>
  <c r="C203" i="2"/>
  <c r="I217" i="3" a="1"/>
  <c r="H11" i="3" a="1"/>
  <c r="H430" i="3" a="1"/>
  <c r="K491" i="3" a="1"/>
  <c r="C143" i="2"/>
  <c r="C114" i="2"/>
  <c r="N493" i="3" a="1"/>
  <c r="D529" i="2"/>
  <c r="K373" i="3" a="1"/>
  <c r="C526" i="2"/>
  <c r="F212" i="3" a="1"/>
  <c r="M454" i="3" a="1"/>
  <c r="D466" i="2"/>
  <c r="F132" i="3" a="1"/>
  <c r="I363" i="3" a="1"/>
  <c r="M187" i="3" a="1"/>
  <c r="H236" i="3" a="1"/>
  <c r="F149" i="3" a="1"/>
  <c r="E356" i="2" a="1"/>
  <c r="B227" i="2"/>
  <c r="P356" i="3" a="1"/>
  <c r="I255" i="3" a="1"/>
  <c r="N138" i="3" a="1"/>
  <c r="G610" i="3" a="1"/>
  <c r="N608" i="3" a="1"/>
  <c r="K454" i="3" a="1"/>
  <c r="F491" i="3" a="1"/>
  <c r="O507" i="3" a="1"/>
  <c r="A548" i="3" a="1"/>
  <c r="C51" i="2"/>
  <c r="C420" i="2"/>
  <c r="O357" i="3" a="1"/>
  <c r="N219" i="3" a="1"/>
  <c r="A361" i="3" a="1"/>
  <c r="N135" i="3" a="1"/>
  <c r="I137" i="3" a="1"/>
  <c r="M477" i="3" a="1"/>
  <c r="O590" i="3" a="1"/>
  <c r="M216" i="3" a="1"/>
  <c r="E308" i="2" a="1"/>
  <c r="D125" i="2"/>
  <c r="N433" i="3" a="1"/>
  <c r="L557" i="3" a="1"/>
  <c r="B289" i="2"/>
  <c r="B210" i="2"/>
  <c r="P80" i="3" a="1"/>
  <c r="G633" i="3" a="1"/>
  <c r="H622" i="3" a="1"/>
  <c r="P525" i="3" a="1"/>
  <c r="P437" i="3" a="1"/>
  <c r="G239" i="3" a="1"/>
  <c r="E459" i="2" a="1"/>
  <c r="A549" i="3" a="1"/>
  <c r="C293" i="2"/>
  <c r="E576" i="2" a="1"/>
  <c r="I521" i="3" a="1"/>
  <c r="I162" i="3" a="1"/>
  <c r="A119" i="3" a="1"/>
  <c r="E206" i="2" a="1"/>
  <c r="I67" i="3" a="1"/>
  <c r="L416" i="3" a="1"/>
  <c r="H151" i="3" a="1"/>
  <c r="O401" i="3" a="1"/>
  <c r="M595" i="3" a="1"/>
  <c r="I528" i="3" a="1"/>
  <c r="N296" i="3" a="1"/>
  <c r="G195" i="3" a="1"/>
  <c r="B101" i="2"/>
  <c r="O539" i="3" a="1"/>
  <c r="G46" i="3" a="1"/>
  <c r="I596" i="3" a="1"/>
  <c r="L584" i="3" a="1"/>
  <c r="P472" i="3" a="1"/>
  <c r="F40" i="3" a="1"/>
  <c r="P256" i="3" a="1"/>
  <c r="M167" i="3" a="1"/>
  <c r="O554" i="3" a="1"/>
  <c r="G262" i="3" a="1"/>
  <c r="I175" i="3" a="1"/>
  <c r="N235" i="3" a="1"/>
  <c r="P279" i="3" a="1"/>
  <c r="E555" i="2" a="1"/>
  <c r="G566" i="3" a="1"/>
  <c r="N359" i="3" a="1"/>
  <c r="D430" i="2"/>
  <c r="D531" i="2"/>
  <c r="E297" i="2" a="1"/>
  <c r="M366" i="3" a="1"/>
  <c r="O522" i="3" a="1"/>
  <c r="N573" i="3" a="1"/>
  <c r="E613" i="2" a="1"/>
  <c r="D48" i="2"/>
  <c r="B187" i="2"/>
  <c r="G479" i="3" a="1"/>
  <c r="E392" i="2" a="1"/>
  <c r="L89" i="3" a="1"/>
  <c r="A523" i="3" a="1"/>
  <c r="F189" i="3" a="1"/>
  <c r="H141" i="3" a="1"/>
  <c r="H348" i="3" a="1"/>
  <c r="O630" i="3" a="1"/>
  <c r="G287" i="3" a="1"/>
  <c r="B40" i="2"/>
  <c r="D257" i="2"/>
  <c r="D610" i="2"/>
  <c r="F20" i="3" a="1"/>
  <c r="C167" i="2"/>
  <c r="H369" i="3" a="1"/>
  <c r="G183" i="3" a="1"/>
  <c r="D535" i="2"/>
  <c r="L433" i="3" a="1"/>
  <c r="F439" i="3" a="1"/>
  <c r="O469" i="3" a="1"/>
  <c r="O393" i="3" a="1"/>
  <c r="I163" i="3" a="1"/>
  <c r="M268" i="3" a="1"/>
  <c r="E346" i="2" a="1"/>
  <c r="N408" i="3" a="1"/>
  <c r="B169" i="2"/>
  <c r="P370" i="3" a="1"/>
  <c r="M563" i="3" a="1"/>
  <c r="G79" i="3" a="1"/>
  <c r="A517" i="3" a="1"/>
  <c r="I469" i="3" a="1"/>
  <c r="E280" i="2" a="1"/>
  <c r="G382" i="3" a="1"/>
  <c r="D293" i="2"/>
  <c r="L497" i="3" a="1"/>
  <c r="I436" i="3" a="1"/>
  <c r="D399" i="2"/>
  <c r="N182" i="3" a="1"/>
  <c r="C145" i="2"/>
  <c r="H346" i="3" a="1"/>
  <c r="P544" i="3" a="1"/>
  <c r="B97" i="2"/>
  <c r="P592" i="3" a="1"/>
  <c r="D425" i="2"/>
  <c r="G496" i="3" a="1"/>
  <c r="L396" i="3" a="1"/>
  <c r="D572" i="2"/>
  <c r="P379" i="3" a="1"/>
  <c r="B298" i="2"/>
  <c r="F411" i="3" a="1"/>
  <c r="E82" i="2" a="1"/>
  <c r="H216" i="3" a="1"/>
  <c r="L9" i="3" a="1"/>
  <c r="I132" i="3" a="1"/>
  <c r="G415" i="3" a="1"/>
  <c r="I121" i="3" a="1"/>
  <c r="A459" i="3" a="1"/>
  <c r="H120" i="3" a="1"/>
  <c r="C493" i="2"/>
  <c r="I27" i="3" a="1"/>
  <c r="K377" i="3" a="1"/>
  <c r="D488" i="2"/>
  <c r="L617" i="3" a="1"/>
  <c r="N346" i="3" a="1"/>
  <c r="M109" i="3" a="1"/>
  <c r="I74" i="3" a="1"/>
  <c r="K457" i="3" a="1"/>
  <c r="M246" i="3" a="1"/>
  <c r="P373" i="3" a="1"/>
  <c r="L631" i="3" a="1"/>
  <c r="C287" i="2"/>
  <c r="A541" i="3" a="1"/>
  <c r="A415" i="3" a="1"/>
  <c r="K207" i="3" a="1"/>
  <c r="K334" i="3" a="1"/>
  <c r="E588" i="2" a="1"/>
  <c r="C586" i="2"/>
  <c r="E9" i="2" a="1"/>
  <c r="P63" i="3" a="1"/>
  <c r="A557" i="3" a="1"/>
  <c r="F148" i="3" a="1"/>
  <c r="A257" i="3" a="1"/>
  <c r="F635" i="3" a="1"/>
  <c r="G348" i="3" a="1"/>
  <c r="K479" i="3" a="1"/>
  <c r="O11" i="3" a="1"/>
  <c r="B201" i="2"/>
  <c r="M424" i="3" a="1"/>
  <c r="B390" i="2"/>
  <c r="E15" i="2" a="1"/>
  <c r="N170" i="3" a="1"/>
  <c r="K478" i="3" a="1"/>
  <c r="I341" i="3" a="1"/>
  <c r="C68" i="2"/>
  <c r="P327" i="3" a="1"/>
  <c r="D401" i="2"/>
  <c r="K349" i="3" a="1"/>
  <c r="D442" i="2"/>
  <c r="F330" i="3" a="1"/>
  <c r="N639" i="3" a="1"/>
  <c r="I526" i="3" a="1"/>
  <c r="G431" i="3" a="1"/>
  <c r="M515" i="3" a="1"/>
  <c r="P252" i="3" a="1"/>
  <c r="E254" i="2" a="1"/>
  <c r="P245" i="3" a="1"/>
  <c r="E282" i="2" a="1"/>
  <c r="N434" i="3" a="1"/>
  <c r="H212" i="3" a="1"/>
  <c r="D580" i="2"/>
  <c r="I173" i="3" a="1"/>
  <c r="E341" i="2" a="1"/>
  <c r="E444" i="2" a="1"/>
  <c r="G276" i="3" a="1"/>
  <c r="C363" i="2"/>
  <c r="N583" i="3" a="1"/>
  <c r="G460" i="3" a="1"/>
  <c r="A54" i="3" a="1"/>
  <c r="K193" i="3" a="1"/>
  <c r="P83" i="3" a="1"/>
  <c r="M156" i="3" a="1"/>
  <c r="B493" i="2"/>
  <c r="C427" i="2"/>
  <c r="O294" i="3" a="1"/>
  <c r="H545" i="3" a="1"/>
  <c r="L354" i="3" a="1"/>
  <c r="A464" i="3" a="1"/>
  <c r="D231" i="2"/>
  <c r="O49" i="3" a="1"/>
  <c r="M42" i="3" a="1"/>
  <c r="H75" i="3" a="1"/>
  <c r="N14" i="3" a="1"/>
  <c r="N411" i="3" a="1"/>
  <c r="A48" i="3" a="1"/>
  <c r="L629" i="3" a="1"/>
  <c r="E266" i="2" a="1"/>
  <c r="F342" i="3" a="1"/>
  <c r="A125" i="3" a="1"/>
  <c r="O146" i="3" a="1"/>
  <c r="H359" i="3" a="1"/>
  <c r="B587" i="2"/>
  <c r="L253" i="3" a="1"/>
  <c r="G413" i="3" a="1"/>
  <c r="H265" i="3" a="1"/>
  <c r="D66" i="2"/>
  <c r="D350" i="2"/>
  <c r="G149" i="3" a="1"/>
  <c r="I398" i="3" a="1"/>
  <c r="F142" i="3" a="1"/>
  <c r="H363" i="3" a="1"/>
  <c r="I101" i="3" a="1"/>
  <c r="I365" i="3" a="1"/>
  <c r="O323" i="3" a="1"/>
  <c r="B530" i="2"/>
  <c r="P384" i="3" a="1"/>
  <c r="N197" i="3" a="1"/>
  <c r="C565" i="2"/>
  <c r="K68" i="3" a="1"/>
  <c r="G136" i="3" a="1"/>
  <c r="E265" i="2" a="1"/>
  <c r="D597" i="2"/>
  <c r="F354" i="3" a="1"/>
  <c r="C54" i="2"/>
  <c r="O491" i="3" a="1"/>
  <c r="L240" i="3" a="1"/>
  <c r="H144" i="3" a="1"/>
  <c r="N518" i="3" a="1"/>
  <c r="O578" i="3" a="1"/>
  <c r="K282" i="3" a="1"/>
  <c r="F345" i="3" a="1"/>
  <c r="B432" i="2"/>
  <c r="G71" i="3" a="1"/>
  <c r="G129" i="3" a="1"/>
  <c r="L130" i="3" a="1"/>
  <c r="A534" i="3" a="1"/>
  <c r="L97" i="3" a="1"/>
  <c r="I301" i="3" a="1"/>
  <c r="I612" i="3" a="1"/>
  <c r="H357" i="3" a="1"/>
  <c r="I565" i="3" a="1"/>
  <c r="I234" i="3" a="1"/>
  <c r="P615" i="3" a="1"/>
  <c r="E633" i="2" a="1"/>
  <c r="M57" i="3" a="1"/>
  <c r="I322" i="3" a="1"/>
  <c r="K206" i="3" a="1"/>
  <c r="F340" i="3" a="1"/>
  <c r="D333" i="2"/>
  <c r="O286" i="3" a="1"/>
  <c r="M488" i="3" a="1"/>
  <c r="F637" i="3" a="1"/>
  <c r="F273" i="3" a="1"/>
  <c r="H34" i="3" a="1"/>
  <c r="A155" i="3" a="1"/>
  <c r="I3" i="3" a="1"/>
  <c r="D203" i="2"/>
  <c r="B477" i="2"/>
  <c r="C443" i="2"/>
  <c r="K609" i="3" a="1"/>
  <c r="P267" i="3" a="1"/>
  <c r="A426" i="3" a="1"/>
  <c r="L536" i="3" a="1"/>
  <c r="B86" i="2"/>
  <c r="O249" i="3" a="1"/>
  <c r="F157" i="3" a="1"/>
  <c r="P374" i="3" a="1"/>
  <c r="G629" i="3" a="1"/>
  <c r="E565" i="2" a="1"/>
  <c r="G73" i="3" a="1"/>
  <c r="M261" i="3" a="1"/>
  <c r="E594" i="2" a="1"/>
  <c r="E88" i="2" a="1"/>
  <c r="O428" i="3" a="1"/>
  <c r="E385" i="2" a="1"/>
  <c r="M481" i="3" a="1"/>
  <c r="F265" i="3" a="1"/>
  <c r="I576" i="3" a="1"/>
  <c r="M601" i="3" a="1"/>
  <c r="K211" i="3" a="1"/>
  <c r="P452" i="3" a="1"/>
  <c r="K226" i="3" a="1"/>
  <c r="L154" i="3" a="1"/>
  <c r="O81" i="3" a="1"/>
  <c r="E397" i="2" a="1"/>
  <c r="H78" i="3" a="1"/>
  <c r="F561" i="3" a="1"/>
  <c r="G390" i="3" a="1"/>
  <c r="K102" i="3" a="1"/>
  <c r="A634" i="3" a="1"/>
  <c r="I420" i="3" a="1"/>
  <c r="F146" i="3" a="1"/>
  <c r="G252" i="3" a="1"/>
  <c r="G394" i="3" a="1"/>
  <c r="A615" i="3" a="1"/>
  <c r="H486" i="3" a="1"/>
  <c r="F328" i="3" a="1"/>
  <c r="I192" i="3" a="1"/>
  <c r="C53" i="2"/>
  <c r="O512" i="3" a="1"/>
  <c r="E598" i="2" a="1"/>
  <c r="B183" i="2"/>
  <c r="B402" i="2"/>
  <c r="G599" i="3" a="1"/>
  <c r="C493" i="3" a="1"/>
  <c r="O36" i="3" a="1"/>
  <c r="A452" i="3" a="1"/>
  <c r="C433" i="2"/>
  <c r="I114" i="3" a="1"/>
  <c r="H401" i="3" a="1"/>
  <c r="I551" i="3" a="1"/>
  <c r="H274" i="3" a="1"/>
  <c r="C577" i="2"/>
  <c r="B124" i="2"/>
  <c r="B431" i="2"/>
  <c r="L445" i="3" a="1"/>
  <c r="E117" i="2" a="1"/>
  <c r="P627" i="3" a="1"/>
  <c r="G197" i="3" a="1"/>
  <c r="C144" i="2"/>
  <c r="C438" i="2"/>
  <c r="M19" i="3" a="1"/>
  <c r="B109" i="2"/>
  <c r="H215" i="3" a="1"/>
  <c r="E514" i="2" a="1"/>
  <c r="F621" i="3" a="1"/>
  <c r="F557" i="3" a="1"/>
  <c r="L357" i="3" a="1"/>
  <c r="D46" i="2"/>
  <c r="M375" i="3" a="1"/>
  <c r="F462" i="3" a="1"/>
  <c r="L484" i="3" a="1"/>
  <c r="D478" i="2"/>
  <c r="H203" i="3" a="1"/>
  <c r="N105" i="3" a="1"/>
  <c r="I502" i="3" a="1"/>
  <c r="D628" i="2"/>
  <c r="D339" i="2"/>
  <c r="F269" i="3" a="1"/>
  <c r="B382" i="2"/>
  <c r="N217" i="3" a="1"/>
  <c r="P81" i="3" a="1"/>
  <c r="B202" i="2"/>
  <c r="C421" i="2"/>
  <c r="H451" i="3" a="1"/>
  <c r="N547" i="3" a="1"/>
  <c r="A259" i="3" a="1"/>
  <c r="D259" i="2"/>
  <c r="M360" i="3" a="1"/>
  <c r="I283" i="3" a="1"/>
  <c r="D310" i="2"/>
  <c r="H531" i="3" a="1"/>
  <c r="E387" i="2" a="1"/>
  <c r="N574" i="3" a="1"/>
  <c r="C271" i="2"/>
  <c r="K374" i="3" a="1"/>
  <c r="G182" i="3" a="1"/>
  <c r="G196" i="3" a="1"/>
  <c r="N405" i="3" a="1"/>
  <c r="C249" i="2"/>
  <c r="N422" i="3" a="1"/>
  <c r="O76" i="3" a="1"/>
  <c r="L345" i="3" a="1"/>
  <c r="F21" i="3" a="1"/>
  <c r="H258" i="3" a="1"/>
  <c r="I107" i="3" a="1"/>
  <c r="E194" i="2" a="1"/>
  <c r="C461" i="2"/>
  <c r="E327" i="2" a="1"/>
  <c r="N242" i="3" a="1"/>
  <c r="K125" i="3" a="1"/>
  <c r="O387" i="3" a="1"/>
  <c r="G159" i="3" a="1"/>
  <c r="F136" i="3" a="1"/>
  <c r="G523" i="3" a="1"/>
  <c r="L362" i="3" a="1"/>
  <c r="N529" i="3" a="1"/>
  <c r="A225" i="3" a="1"/>
  <c r="A480" i="3" a="1"/>
  <c r="O190" i="3" a="1"/>
  <c r="I46" i="3" a="1"/>
  <c r="H167" i="3" a="1"/>
  <c r="O122" i="3" a="1"/>
  <c r="D537" i="2"/>
  <c r="F396" i="3" a="1"/>
  <c r="K382" i="3" a="1"/>
  <c r="E83" i="2" a="1"/>
  <c r="I516" i="3" a="1"/>
  <c r="K427" i="3" a="1"/>
  <c r="F537" i="3" a="1"/>
  <c r="B474" i="2"/>
  <c r="M542" i="3" a="1"/>
  <c r="N609" i="3" a="1"/>
  <c r="H623" i="3" a="1"/>
  <c r="E501" i="2" a="1"/>
  <c r="B364" i="2"/>
  <c r="D182" i="2"/>
  <c r="P192" i="3" a="1"/>
  <c r="E528" i="2" a="1"/>
  <c r="A614" i="3" a="1"/>
  <c r="L452" i="3" a="1"/>
  <c r="I403" i="3" a="1"/>
  <c r="L442" i="3" a="1"/>
  <c r="C105" i="2"/>
  <c r="M221" i="3" a="1"/>
  <c r="O164" i="3" a="1"/>
  <c r="A239" i="3" a="1"/>
  <c r="K450" i="3" a="1"/>
  <c r="B597" i="2"/>
  <c r="O435" i="3" a="1"/>
  <c r="L630" i="3" a="1"/>
  <c r="K363" i="3" a="1"/>
  <c r="B454" i="2"/>
  <c r="O130" i="3" a="1"/>
  <c r="F37" i="3" a="1"/>
  <c r="L250" i="3" a="1"/>
  <c r="D89" i="2"/>
  <c r="G335" i="3" a="1"/>
  <c r="B453" i="2"/>
  <c r="I630" i="3" a="1"/>
  <c r="E383" i="2" a="1"/>
  <c r="H377" i="3" a="1"/>
  <c r="L487" i="3" a="1"/>
  <c r="O116" i="3" a="1"/>
  <c r="K266" i="3" a="1"/>
  <c r="I527" i="3" a="1"/>
  <c r="N452" i="3" a="1"/>
  <c r="E32" i="2" a="1"/>
  <c r="B293" i="2"/>
  <c r="I99" i="3" a="1"/>
  <c r="H27" i="3" a="1"/>
  <c r="K146" i="3" a="1"/>
  <c r="P200" i="3" a="1"/>
  <c r="E184" i="2" a="1"/>
  <c r="E299" i="2" a="1"/>
  <c r="O612" i="3" a="1"/>
  <c r="O474" i="3" a="1"/>
  <c r="P27" i="3" a="1"/>
  <c r="E279" i="2" a="1"/>
  <c r="E97" i="2" a="1"/>
  <c r="H195" i="3" a="1"/>
  <c r="A635" i="3" a="1"/>
  <c r="L509" i="3" a="1"/>
  <c r="I238" i="3" a="1"/>
  <c r="C398" i="2"/>
  <c r="I116" i="3" a="1"/>
  <c r="F280" i="3" a="1"/>
  <c r="O257" i="3" a="1"/>
  <c r="N596" i="3" a="1"/>
  <c r="G557" i="3" a="1"/>
  <c r="N377" i="3" a="1"/>
  <c r="P430" i="3" a="1"/>
  <c r="B461" i="3" a="1"/>
  <c r="E396" i="2" a="1"/>
  <c r="M58" i="3" a="1"/>
  <c r="M569" i="3" a="1"/>
  <c r="B580" i="2"/>
  <c r="G435" i="3" a="1"/>
  <c r="F556" i="3" a="1"/>
  <c r="G540" i="3" a="1"/>
  <c r="P377" i="3" a="1"/>
  <c r="K284" i="3" a="1"/>
  <c r="K263" i="3" a="1"/>
  <c r="I523" i="3" a="1"/>
  <c r="B536" i="2"/>
  <c r="O603" i="3" a="1"/>
  <c r="L475" i="3" a="1"/>
  <c r="E300" i="2" a="1"/>
  <c r="L297" i="3" a="1"/>
  <c r="I131" i="3" a="1"/>
  <c r="L596" i="3" a="1"/>
  <c r="H62" i="3" a="1"/>
  <c r="E144" i="2" a="1"/>
  <c r="B320" i="2"/>
  <c r="A596" i="3" a="1"/>
  <c r="O568" i="3" a="1"/>
  <c r="I489" i="3" a="1"/>
  <c r="L84" i="3" a="1"/>
  <c r="F457" i="3" a="1"/>
  <c r="K85" i="3" a="1"/>
  <c r="G173" i="3" a="1"/>
  <c r="A339" i="3" a="1"/>
  <c r="B462" i="2"/>
  <c r="I350" i="3" a="1"/>
  <c r="H374" i="3" a="1"/>
  <c r="E249" i="2" a="1"/>
  <c r="K595" i="3" a="1"/>
  <c r="C77" i="2"/>
  <c r="K590" i="3" a="1"/>
  <c r="B328" i="2"/>
  <c r="I467" i="3" a="1"/>
  <c r="D114" i="2"/>
  <c r="A590" i="3" a="1"/>
  <c r="K309" i="3" a="1"/>
  <c r="N275" i="3" a="1"/>
  <c r="C527" i="2"/>
  <c r="E379" i="2" a="1"/>
  <c r="D210" i="2"/>
  <c r="F329" i="3" a="1"/>
  <c r="D409" i="2"/>
  <c r="A40" i="3" a="1"/>
  <c r="B510" i="2"/>
  <c r="N26" i="3" a="1"/>
  <c r="G547" i="3" a="1"/>
  <c r="O496" i="3" a="1"/>
  <c r="E304" i="2" a="1"/>
  <c r="B161" i="2"/>
  <c r="H608" i="3" a="1"/>
  <c r="E63" i="2" a="1"/>
  <c r="E191" i="2" a="1"/>
  <c r="G400" i="3" a="1"/>
  <c r="K45" i="3" a="1"/>
  <c r="I385" i="3" a="1"/>
  <c r="P424" i="3" a="1"/>
  <c r="H21" i="3" a="1"/>
  <c r="G627" i="3" a="1"/>
  <c r="P100" i="3" a="1"/>
  <c r="F7" i="3" a="1"/>
  <c r="H211" i="3" a="1"/>
  <c r="N342" i="3" a="1"/>
  <c r="G420" i="3" a="1"/>
  <c r="C72" i="2"/>
  <c r="A521" i="3" a="1"/>
  <c r="P282" i="3" a="1"/>
  <c r="P624" i="3" a="1"/>
  <c r="N520" i="3" a="1"/>
  <c r="M240" i="3" a="1"/>
  <c r="O198" i="3" a="1"/>
  <c r="P611" i="3" a="1"/>
  <c r="O320" i="3" a="1"/>
  <c r="K585" i="3" a="1"/>
  <c r="O312" i="3" a="1"/>
  <c r="A36" i="3" a="1"/>
  <c r="F391" i="3" a="1"/>
  <c r="A528" i="3" a="1"/>
  <c r="O53" i="3" a="1"/>
  <c r="A242" i="3" a="1"/>
  <c r="G513" i="3" a="1"/>
  <c r="C517" i="2"/>
  <c r="C632" i="2"/>
  <c r="A279" i="3" a="1"/>
  <c r="O636" i="3" a="1"/>
  <c r="I364" i="3" a="1"/>
  <c r="H338" i="3" a="1"/>
  <c r="A529" i="3" a="1"/>
  <c r="B266" i="2"/>
  <c r="F30" i="3" a="1"/>
  <c r="F275" i="3" a="1"/>
  <c r="D93" i="2"/>
  <c r="E368" i="2" a="1"/>
  <c r="M34" i="3" a="1"/>
  <c r="A527" i="3" a="1"/>
  <c r="E113" i="2" a="1"/>
  <c r="E271" i="2" a="1"/>
  <c r="N448" i="3" a="1"/>
  <c r="H582" i="3" a="1"/>
  <c r="B475" i="2"/>
  <c r="C113" i="2"/>
  <c r="F229" i="3" a="1"/>
  <c r="E342" i="2" a="1"/>
  <c r="L101" i="3" a="1"/>
  <c r="M383" i="3" a="1"/>
  <c r="P468" i="3" a="1"/>
  <c r="I77" i="3" a="1"/>
  <c r="B184" i="2"/>
  <c r="G180" i="3" a="1"/>
  <c r="B606" i="2"/>
  <c r="G362" i="3" a="1"/>
  <c r="G101" i="3" a="1"/>
  <c r="O525" i="3" a="1"/>
  <c r="C417" i="2"/>
  <c r="M483" i="3" a="1"/>
  <c r="O375" i="3" a="1"/>
  <c r="L188" i="3" a="1"/>
  <c r="K519" i="3" a="1"/>
  <c r="L429" i="3" a="1"/>
  <c r="E162" i="2" a="1"/>
  <c r="C624" i="2"/>
  <c r="B105" i="2"/>
  <c r="I141" i="3" a="1"/>
  <c r="D345" i="2"/>
  <c r="N187" i="3" a="1"/>
  <c r="N400" i="3" a="1"/>
  <c r="P631" i="3" a="1"/>
  <c r="A93" i="3" a="1"/>
  <c r="K553" i="3" a="1"/>
  <c r="L245" i="3" a="1"/>
  <c r="G640" i="3" a="1"/>
  <c r="P103" i="3" a="1"/>
  <c r="O480" i="3" a="1"/>
  <c r="D75" i="2"/>
  <c r="L521" i="3" a="1"/>
  <c r="N341" i="3" a="1"/>
  <c r="I14" i="3" a="1"/>
  <c r="I537" i="3" a="1"/>
  <c r="D141" i="2"/>
  <c r="I360" i="3" a="1"/>
  <c r="I620" i="3" a="1"/>
  <c r="C576" i="2"/>
  <c r="D294" i="2"/>
  <c r="D133" i="2"/>
  <c r="B636" i="2"/>
  <c r="G622" i="3" a="1"/>
  <c r="E471" i="2" a="1"/>
  <c r="P211" i="3" a="1"/>
  <c r="C7" i="2"/>
  <c r="P230" i="3" a="1"/>
  <c r="L284" i="3" a="1"/>
  <c r="C102" i="2"/>
  <c r="E520" i="2" a="1"/>
  <c r="G139" i="3" a="1"/>
  <c r="D623" i="2"/>
  <c r="L160" i="3" a="1"/>
  <c r="A148" i="3" a="1"/>
  <c r="B370" i="2"/>
  <c r="M502" i="3" a="1"/>
  <c r="F316" i="3" a="1"/>
  <c r="P292" i="3" a="1"/>
  <c r="L414" i="3" a="1"/>
  <c r="E591" i="2" a="1"/>
  <c r="P54" i="3" a="1"/>
  <c r="E372" i="2" a="1"/>
  <c r="H23" i="3" a="1"/>
  <c r="G30" i="3" a="1"/>
  <c r="O243" i="3" a="1"/>
  <c r="G487" i="3" a="1"/>
  <c r="M517" i="3" a="1"/>
  <c r="H314" i="3" a="1"/>
  <c r="O476" i="3" a="1"/>
  <c r="D304" i="2"/>
  <c r="A136" i="3" a="1"/>
  <c r="P107" i="3" a="1"/>
  <c r="K326" i="3" a="1"/>
  <c r="C601" i="2"/>
  <c r="M470" i="3" a="1"/>
  <c r="I165" i="3" a="1"/>
  <c r="M579" i="3" a="1"/>
  <c r="O542" i="3" a="1"/>
  <c r="H205" i="3" a="1"/>
  <c r="H417" i="3" a="1"/>
  <c r="A396" i="3" a="1"/>
  <c r="A413" i="3" a="1"/>
  <c r="N521" i="3" a="1"/>
  <c r="G521" i="3" a="1"/>
  <c r="M598" i="3" a="1"/>
  <c r="L117" i="3" a="1"/>
  <c r="C462" i="2"/>
  <c r="G85" i="3" a="1"/>
  <c r="G297" i="3" a="1"/>
  <c r="N339" i="3" a="1"/>
  <c r="H387" i="3" a="1"/>
  <c r="A168" i="3" a="1"/>
  <c r="N287" i="3" a="1"/>
  <c r="G4" i="3" a="1"/>
  <c r="B194" i="2"/>
  <c r="N438" i="3" a="1"/>
  <c r="L500" i="3" a="1"/>
  <c r="P438" i="3" a="1"/>
  <c r="K338" i="3" a="1"/>
  <c r="P101" i="3" a="1"/>
  <c r="L627" i="3" a="1"/>
  <c r="O100" i="3" a="1"/>
  <c r="G583" i="3" a="1"/>
  <c r="K76" i="3" a="1"/>
  <c r="M276" i="3" a="1"/>
  <c r="B301" i="2"/>
  <c r="O550" i="3" a="1"/>
  <c r="I37" i="3" a="1"/>
  <c r="D322" i="2"/>
  <c r="F284" i="3" a="1"/>
  <c r="N374" i="3" a="1"/>
  <c r="F404" i="3" a="1"/>
  <c r="L597" i="3" a="1"/>
  <c r="A270" i="3" a="1"/>
  <c r="P150" i="3" a="1"/>
  <c r="D195" i="2"/>
  <c r="I22" i="3" a="1"/>
  <c r="M198" i="3" a="1"/>
  <c r="F454" i="3" a="1"/>
  <c r="K394" i="3" a="1"/>
  <c r="O64" i="3" a="1"/>
  <c r="M588" i="3" a="1"/>
  <c r="D28" i="2"/>
  <c r="D454" i="2"/>
  <c r="L260" i="3" a="1"/>
  <c r="P343" i="3" a="1"/>
  <c r="F407" i="3" a="1"/>
  <c r="H587" i="3" a="1"/>
  <c r="K54" i="3" a="1"/>
  <c r="F210" i="3" a="1"/>
  <c r="E89" i="2" a="1"/>
  <c r="P270" i="3" a="1"/>
  <c r="F598" i="3" a="1"/>
  <c r="K294" i="3" a="1"/>
  <c r="N31" i="3" a="1"/>
  <c r="B59" i="2"/>
  <c r="B574" i="2"/>
  <c r="B559" i="2"/>
  <c r="C424" i="2"/>
  <c r="L211" i="3" a="1"/>
  <c r="E399" i="2" a="1"/>
  <c r="L91" i="3" a="1"/>
  <c r="B91" i="2"/>
  <c r="M324" i="3" a="1"/>
  <c r="M9" i="3" a="1"/>
  <c r="P341" i="3" a="1"/>
  <c r="E232" i="2" a="1"/>
  <c r="H246" i="3" a="1"/>
  <c r="H439" i="3" a="1"/>
  <c r="A208" i="3" a="1"/>
  <c r="M224" i="3" a="1"/>
  <c r="H620" i="3" a="1"/>
  <c r="M251" i="3" a="1"/>
  <c r="M272" i="3" a="1"/>
  <c r="L593" i="3" a="1"/>
  <c r="N211" i="3" a="1"/>
  <c r="G76" i="3" a="1"/>
  <c r="L62" i="3" a="1"/>
  <c r="K508" i="3" a="1"/>
  <c r="C504" i="2"/>
  <c r="H72" i="3" a="1"/>
  <c r="E5" i="2" a="1"/>
  <c r="N166" i="3" a="1"/>
  <c r="L359" i="3" a="1"/>
  <c r="N456" i="3" a="1"/>
  <c r="D380" i="2"/>
  <c r="G506" i="3" a="1"/>
  <c r="O131" i="3" a="1"/>
  <c r="K614" i="3" a="1"/>
  <c r="A436" i="3" a="1"/>
  <c r="F608" i="3" a="1"/>
  <c r="D636" i="2"/>
  <c r="P94" i="3" a="1"/>
  <c r="H186" i="3" a="1"/>
  <c r="N8" i="3" a="1"/>
  <c r="L175" i="3" a="1"/>
  <c r="I632" i="3" a="1"/>
  <c r="L269" i="3" a="1"/>
  <c r="E314" i="2" a="1"/>
  <c r="I335" i="3" a="1"/>
  <c r="O318" i="3" a="1"/>
  <c r="G186" i="3" a="1"/>
  <c r="B403" i="2"/>
  <c r="E419" i="2" a="1"/>
  <c r="N489" i="3" a="1"/>
  <c r="L111" i="3" a="1"/>
  <c r="G561" i="3" a="1"/>
  <c r="N560" i="3" a="1"/>
  <c r="P266" i="3" a="1"/>
  <c r="O462" i="3" a="1"/>
  <c r="E92" i="2" a="1"/>
  <c r="A134" i="3" a="1"/>
  <c r="B84" i="2"/>
  <c r="P125" i="3" a="1"/>
  <c r="L94" i="3" a="1"/>
  <c r="M69" i="3" a="1"/>
  <c r="D66" i="3" a="1"/>
  <c r="O441" i="3" a="1"/>
  <c r="O121" i="3" a="1"/>
  <c r="I338" i="3" a="1"/>
  <c r="P204" i="3" a="1"/>
  <c r="C567" i="2"/>
  <c r="G598" i="3" a="1"/>
  <c r="K53" i="3" a="1"/>
  <c r="G165" i="3" a="1"/>
  <c r="K100" i="3" a="1"/>
  <c r="E605" i="2" a="1"/>
  <c r="C201" i="2"/>
  <c r="H390" i="3" a="1"/>
  <c r="A414" i="3" a="1"/>
  <c r="A91" i="3" a="1"/>
  <c r="A461" i="3" a="1"/>
  <c r="F242" i="3" a="1"/>
  <c r="F468" i="3" a="1"/>
  <c r="E440" i="2" a="1"/>
  <c r="C358" i="2"/>
  <c r="I579" i="3" a="1"/>
  <c r="D204" i="2"/>
  <c r="I444" i="3" a="1"/>
  <c r="F602" i="3" a="1"/>
  <c r="L400" i="3" a="1"/>
  <c r="H270" i="3" a="1"/>
  <c r="P265" i="3" a="1"/>
  <c r="C273" i="2"/>
  <c r="A329" i="3" a="1"/>
  <c r="B573" i="2"/>
  <c r="G66" i="3" a="1"/>
  <c r="N390" i="3" a="1"/>
  <c r="P34" i="3" a="1"/>
  <c r="G484" i="3" a="1"/>
  <c r="G41" i="3" a="1"/>
  <c r="M435" i="3" a="1"/>
  <c r="P534" i="3" a="1"/>
  <c r="B612" i="2"/>
  <c r="F460" i="3" a="1"/>
  <c r="C370" i="2"/>
  <c r="E258" i="2" a="1"/>
  <c r="K552" i="3" a="1"/>
  <c r="G132" i="3" a="1"/>
  <c r="K324" i="3" a="1"/>
  <c r="I64" i="3" a="1"/>
  <c r="B211" i="2"/>
  <c r="E574" i="2" a="1"/>
  <c r="N23" i="3" a="1"/>
  <c r="P262" i="3" a="1"/>
  <c r="B549" i="2"/>
  <c r="L17" i="3" a="1"/>
  <c r="E630" i="2" a="1"/>
  <c r="K154" i="3" a="1"/>
  <c r="H491" i="3" a="1"/>
  <c r="G398" i="3" a="1"/>
  <c r="D30" i="2"/>
  <c r="O633" i="3" a="1"/>
  <c r="C606" i="2"/>
  <c r="K357" i="3" a="1"/>
  <c r="M203" i="3" a="1"/>
  <c r="N38" i="3" a="1"/>
  <c r="E110" i="2" a="1"/>
  <c r="K395" i="3" a="1"/>
  <c r="L283" i="3" a="1"/>
  <c r="N108" i="3" a="1"/>
  <c r="D412" i="2"/>
  <c r="P154" i="3" a="1"/>
  <c r="I294" i="3" a="1"/>
  <c r="N100" i="3" a="1"/>
  <c r="L435" i="3" a="1"/>
  <c r="B355" i="2"/>
  <c r="N283" i="3" a="1"/>
  <c r="H117" i="3" a="1"/>
  <c r="E111" i="2" a="1"/>
  <c r="B139" i="2"/>
  <c r="M507" i="3" a="1"/>
  <c r="E438" i="2" a="1"/>
  <c r="F332" i="3" a="1"/>
  <c r="P2" i="3" a="1"/>
  <c r="M535" i="3" a="1"/>
  <c r="B547" i="2"/>
  <c r="F291" i="3" a="1"/>
  <c r="D132" i="2"/>
  <c r="D561" i="2"/>
  <c r="I86" i="3" a="1"/>
  <c r="G210" i="3" a="1"/>
  <c r="F66" i="3" a="1"/>
  <c r="G508" i="3" a="1"/>
  <c r="L233" i="3" a="1"/>
  <c r="K456" i="3" a="1"/>
  <c r="C564" i="2"/>
  <c r="B569" i="2"/>
  <c r="A20" i="3" a="1"/>
  <c r="P402" i="3" a="1"/>
  <c r="H127" i="3" a="1"/>
  <c r="G83" i="3" a="1"/>
  <c r="K496" i="3" a="1"/>
  <c r="D285" i="2"/>
  <c r="O463" i="3" a="1"/>
  <c r="K623" i="3" a="1"/>
  <c r="E484" i="2" a="1"/>
  <c r="P118" i="3" a="1"/>
  <c r="I212" i="3" a="1"/>
  <c r="F250" i="3" a="1"/>
  <c r="H440" i="3" a="1"/>
  <c r="N437" i="3" a="1"/>
  <c r="K180" i="3" a="1"/>
  <c r="P259" i="3" a="1"/>
  <c r="P614" i="3" a="1"/>
  <c r="L384" i="3" a="1"/>
  <c r="C328" i="2"/>
  <c r="C80" i="2"/>
  <c r="O157" i="3" a="1"/>
  <c r="M332" i="3" a="1"/>
  <c r="N319" i="3" a="1"/>
  <c r="G20" i="3" a="1"/>
  <c r="A127" i="3" a="1"/>
  <c r="L408" i="3" a="1"/>
  <c r="K35" i="3" a="1"/>
  <c r="I626" i="3" a="1"/>
  <c r="M233" i="3" a="1"/>
  <c r="M461" i="3" a="1"/>
  <c r="O414" i="3" a="1"/>
  <c r="L446" i="3" a="1"/>
  <c r="P495" i="3" a="1"/>
  <c r="B626" i="2"/>
  <c r="P231" i="3" a="1"/>
  <c r="C478" i="2"/>
  <c r="C219" i="2"/>
  <c r="K204" i="3" a="1"/>
  <c r="K588" i="3" a="1"/>
  <c r="C467" i="2"/>
  <c r="O303" i="3" a="1"/>
  <c r="P369" i="3" a="1"/>
  <c r="B73" i="2"/>
  <c r="F27" i="3" a="1"/>
  <c r="F427" i="3" a="1"/>
  <c r="C89" i="2"/>
  <c r="A124" i="3" a="1"/>
  <c r="G458" i="3" a="1"/>
  <c r="P88" i="3" a="1"/>
  <c r="L340" i="3" a="1"/>
  <c r="B334" i="2"/>
  <c r="L534" i="3" a="1"/>
  <c r="B220" i="2"/>
  <c r="A409" i="3" a="1"/>
  <c r="B321" i="2"/>
  <c r="E434" i="2" a="1"/>
  <c r="L462" i="3" a="1"/>
  <c r="H171" i="3" a="1"/>
  <c r="E76" i="2" a="1"/>
  <c r="M395" i="3" a="1"/>
  <c r="A502" i="3" a="1"/>
  <c r="A104" i="3" a="1"/>
  <c r="C566" i="2"/>
  <c r="E124" i="2" a="1"/>
  <c r="F22" i="3" a="1"/>
  <c r="E165" i="2" a="1"/>
  <c r="N512" i="3" a="1"/>
  <c r="K446" i="3" a="1"/>
  <c r="F479" i="3" a="1"/>
  <c r="A395" i="3" a="1"/>
  <c r="G62" i="3" a="1"/>
  <c r="L7" i="3" a="1"/>
  <c r="E267" i="2" a="1"/>
  <c r="O56" i="3" a="1"/>
  <c r="I109" i="3" a="1"/>
  <c r="A518" i="3" a="1"/>
  <c r="G321" i="3" a="1"/>
  <c r="L41" i="3" a="1"/>
  <c r="B566" i="2"/>
  <c r="K250" i="3" a="1"/>
  <c r="E638" i="2" a="1"/>
  <c r="P634" i="3" a="1"/>
  <c r="L24" i="3" a="1"/>
  <c r="B219" i="2"/>
  <c r="P46" i="3" a="1"/>
  <c r="O273" i="3" a="1"/>
  <c r="A146" i="3" a="1"/>
  <c r="G150" i="3" a="1"/>
  <c r="B529" i="2"/>
  <c r="N58" i="3" a="1"/>
  <c r="E545" i="2" a="1"/>
  <c r="I439" i="3" a="1"/>
  <c r="I189" i="3" a="1"/>
  <c r="I47" i="3" a="1"/>
  <c r="B102" i="2"/>
  <c r="M577" i="3" a="1"/>
  <c r="F579" i="3" a="1"/>
  <c r="H189" i="3" a="1"/>
  <c r="O207" i="3" a="1"/>
  <c r="D309" i="2"/>
  <c r="N352" i="3" a="1"/>
  <c r="L526" i="3" a="1"/>
  <c r="P393" i="3" a="1"/>
  <c r="I339" i="3" a="1"/>
  <c r="I447" i="3" a="1"/>
  <c r="G441" i="3" a="1"/>
  <c r="B471" i="2"/>
  <c r="N66" i="3" a="1"/>
  <c r="N101" i="3" a="1"/>
  <c r="H6" i="3" a="1"/>
  <c r="K287" i="3" a="1"/>
  <c r="A229" i="3" a="1"/>
  <c r="B3" i="2"/>
  <c r="D74" i="2"/>
  <c r="G597" i="3" a="1"/>
  <c r="H464" i="3" a="1"/>
  <c r="A639" i="3" a="1"/>
  <c r="O24" i="3" a="1"/>
  <c r="N358" i="3" a="1"/>
  <c r="G504" i="3" a="1"/>
  <c r="O293" i="3" a="1"/>
  <c r="M438" i="3" a="1"/>
  <c r="A312" i="3" a="1"/>
  <c r="L88" i="3" a="1"/>
  <c r="P419" i="3" a="1"/>
  <c r="F224" i="3" a="1"/>
  <c r="E424" i="2" a="1"/>
  <c r="I151" i="3" a="1"/>
  <c r="N508" i="3" a="1"/>
  <c r="N404" i="3" a="1"/>
  <c r="O457" i="3" a="1"/>
  <c r="P609" i="3" a="1"/>
  <c r="O21" i="3" a="1"/>
  <c r="M175" i="3" a="1"/>
  <c r="O519" i="3" a="1"/>
  <c r="P213" i="3" a="1"/>
  <c r="G240" i="3" a="1"/>
  <c r="L510" i="3" a="1"/>
  <c r="H36" i="3" a="1"/>
  <c r="G624" i="3" a="1"/>
  <c r="E24" i="2" a="1"/>
  <c r="E101" i="2" a="1"/>
  <c r="H568" i="3" a="1"/>
  <c r="M452" i="3" a="1"/>
  <c r="A390" i="3" a="1"/>
  <c r="L58" i="3" a="1"/>
  <c r="K201" i="3" a="1"/>
  <c r="M117" i="3" a="1"/>
  <c r="I182" i="3" a="1"/>
  <c r="P14" i="3" a="1"/>
  <c r="C511" i="2"/>
  <c r="D132" i="3" a="1"/>
  <c r="C113" i="3" a="1"/>
  <c r="K344" i="3" a="1"/>
  <c r="H300" i="3" a="1"/>
  <c r="F578" i="3" a="1"/>
  <c r="L566" i="3" a="1"/>
  <c r="H441" i="3" a="1"/>
  <c r="E393" i="2" a="1"/>
  <c r="I31" i="3" a="1"/>
  <c r="D468" i="2"/>
  <c r="B182" i="2"/>
  <c r="A111" i="3" a="1"/>
  <c r="I115" i="3" a="1"/>
  <c r="G593" i="3" a="1"/>
  <c r="N549" i="3" a="1"/>
  <c r="A564" i="3" a="1"/>
  <c r="G277" i="3" a="1"/>
  <c r="L93" i="3" a="1"/>
  <c r="I582" i="3" a="1"/>
  <c r="C276" i="2"/>
  <c r="N577" i="3" a="1"/>
  <c r="F433" i="3" a="1"/>
  <c r="P416" i="3" a="1"/>
  <c r="P562" i="3" a="1"/>
  <c r="G147" i="3" a="1"/>
  <c r="N127" i="3" a="1"/>
  <c r="A511" i="3" a="1"/>
  <c r="D417" i="2"/>
  <c r="A624" i="3" a="1"/>
  <c r="D379" i="2"/>
  <c r="D503" i="2"/>
  <c r="E616" i="2" a="1"/>
  <c r="I236" i="3" a="1"/>
  <c r="H540" i="3" a="1"/>
  <c r="N265" i="3" a="1"/>
  <c r="A285" i="3" a="1"/>
  <c r="N64" i="3" a="1"/>
  <c r="E543" i="2" a="1"/>
  <c r="P189" i="3" a="1"/>
  <c r="E202" i="2" a="1"/>
  <c r="D482" i="2"/>
  <c r="M558" i="3" a="1"/>
  <c r="D246" i="2"/>
  <c r="P314" i="3" a="1"/>
  <c r="M630" i="3" a="1"/>
  <c r="O228" i="3" a="1"/>
  <c r="B285" i="2"/>
  <c r="H175" i="3" a="1"/>
  <c r="I402" i="3" a="1"/>
  <c r="L114" i="3" a="1"/>
  <c r="G376" i="3" a="1"/>
  <c r="H193" i="3" a="1"/>
  <c r="B559" i="3" a="1"/>
  <c r="D211" i="2"/>
  <c r="K46" i="3" a="1"/>
  <c r="P193" i="3" a="1"/>
  <c r="B76" i="2"/>
  <c r="A293" i="3" a="1"/>
  <c r="L333" i="3" a="1"/>
  <c r="O346" i="3" a="1"/>
  <c r="C218" i="2"/>
  <c r="N519" i="3" a="1"/>
  <c r="G456" i="3" a="1"/>
  <c r="B305" i="2"/>
  <c r="L493" i="3" a="1"/>
  <c r="L474" i="3" a="1"/>
  <c r="P382" i="3" a="1"/>
  <c r="B531" i="2"/>
  <c r="M570" i="3" a="1"/>
  <c r="E391" i="2" a="1"/>
  <c r="O473" i="3" a="1"/>
  <c r="P461" i="3" a="1"/>
  <c r="I50" i="3" a="1"/>
  <c r="C179" i="2"/>
  <c r="N462" i="3" a="1"/>
  <c r="O301" i="3" a="1"/>
  <c r="P52" i="3" a="1"/>
  <c r="L520" i="3" a="1"/>
  <c r="C513" i="2"/>
  <c r="A58" i="3" a="1"/>
  <c r="F176" i="3" a="1"/>
  <c r="K174" i="3" a="1"/>
  <c r="K164" i="3" a="1"/>
  <c r="L511" i="3" a="1"/>
  <c r="E437" i="2" a="1"/>
  <c r="E66" i="2" a="1"/>
  <c r="P600" i="3" a="1"/>
  <c r="F369" i="3" a="1"/>
  <c r="M157" i="3" a="1"/>
  <c r="F347" i="3" a="1"/>
  <c r="G244" i="3" a="1"/>
  <c r="I254" i="3" a="1"/>
  <c r="E305" i="2" a="1"/>
  <c r="H192" i="3" a="1"/>
  <c r="P37" i="3" a="1"/>
  <c r="C244" i="2"/>
  <c r="G113" i="3" a="1"/>
  <c r="K378" i="3" a="1"/>
  <c r="O150" i="3" a="1"/>
  <c r="D330" i="2"/>
  <c r="B175" i="2"/>
  <c r="M546" i="3" a="1"/>
  <c r="H474" i="3" a="1"/>
  <c r="K637" i="3" a="1"/>
  <c r="K238" i="3" a="1"/>
  <c r="P543" i="3" a="1"/>
  <c r="A126" i="3" a="1"/>
  <c r="N249" i="3" a="1"/>
  <c r="H105" i="3" a="1"/>
  <c r="C419" i="2"/>
  <c r="K413" i="3" a="1"/>
  <c r="G298" i="3" a="1"/>
  <c r="C260" i="2"/>
  <c r="K203" i="3" a="1"/>
  <c r="D31" i="2"/>
  <c r="L249" i="3" a="1"/>
  <c r="P498" i="3" a="1"/>
  <c r="B631" i="2"/>
  <c r="L544" i="3" a="1"/>
  <c r="C3" i="2"/>
  <c r="N315" i="3" a="1"/>
  <c r="E573" i="2" a="1"/>
  <c r="D574" i="2"/>
  <c r="P473" i="3" a="1"/>
  <c r="O278" i="3" a="1"/>
  <c r="O371" i="3" a="1"/>
  <c r="F483" i="3" a="1"/>
  <c r="G347" i="3" a="1"/>
  <c r="D429" i="2"/>
  <c r="E172" i="2" a="1"/>
  <c r="P593" i="3" a="1"/>
  <c r="K587" i="3" a="1"/>
  <c r="N564" i="3" a="1"/>
  <c r="P589" i="3" a="1"/>
  <c r="N222" i="3" a="1"/>
  <c r="F517" i="3" a="1"/>
  <c r="K101" i="3" a="1"/>
  <c r="N97" i="3" a="1"/>
  <c r="K212" i="3" a="1"/>
  <c r="M330" i="3" a="1"/>
  <c r="H24" i="3" a="1"/>
  <c r="K396" i="3" a="1"/>
  <c r="F381" i="3" a="1"/>
  <c r="K419" i="3" a="1"/>
  <c r="D17" i="2"/>
  <c r="E593" i="2" a="1"/>
  <c r="O373" i="3" a="1"/>
  <c r="M506" i="3" a="1"/>
  <c r="O504" i="3" a="1"/>
  <c r="N203" i="3" a="1"/>
  <c r="H68" i="3" a="1"/>
  <c r="I10" i="3" a="1"/>
  <c r="A320" i="3" a="1"/>
  <c r="D2" i="2"/>
  <c r="O485" i="3" a="1"/>
  <c r="K60" i="3" a="1"/>
  <c r="P261" i="3" a="1"/>
  <c r="O18" i="3" a="1"/>
  <c r="D633" i="2"/>
  <c r="G350" i="3" a="1"/>
  <c r="P144" i="3" a="1"/>
  <c r="B123" i="2"/>
  <c r="N129" i="3" a="1"/>
  <c r="I530" i="3" a="1"/>
  <c r="A453" i="3" a="1"/>
  <c r="H267" i="3" a="1"/>
  <c r="H67" i="3" a="1"/>
  <c r="P136" i="3" a="1"/>
  <c r="P552" i="3" a="1"/>
  <c r="L565" i="3" a="1"/>
  <c r="C8" i="2"/>
  <c r="E430" i="2" a="1"/>
  <c r="E524" i="2" a="1"/>
  <c r="M256" i="3" a="1"/>
  <c r="O234" i="3" a="1"/>
  <c r="H461" i="3" a="1"/>
  <c r="D343" i="2"/>
  <c r="B357" i="2"/>
  <c r="L512" i="3" a="1"/>
  <c r="H617" i="3" a="1"/>
  <c r="N37" i="3" a="1"/>
  <c r="B279" i="2"/>
  <c r="E575" i="2" a="1"/>
  <c r="G296" i="3" a="1"/>
  <c r="N29" i="3" a="1"/>
  <c r="K589" i="3" a="1"/>
  <c r="G395" i="3" a="1"/>
  <c r="B160" i="2"/>
  <c r="K297" i="3" a="1"/>
  <c r="H484" i="3" a="1"/>
  <c r="O253" i="3" a="1"/>
  <c r="L517" i="3" a="1"/>
  <c r="G201" i="3" a="1"/>
  <c r="E238" i="2" a="1"/>
  <c r="M585" i="3" a="1"/>
  <c r="K337" i="3" a="1"/>
  <c r="K481" i="3" a="1"/>
  <c r="H524" i="3" a="1"/>
  <c r="F412" i="3" a="1"/>
  <c r="O410" i="3" a="1"/>
  <c r="G542" i="3" a="1"/>
  <c r="F54" i="3" a="1"/>
  <c r="G172" i="3" a="1"/>
  <c r="I592" i="3" a="1"/>
  <c r="G211" i="3" a="1"/>
  <c r="D76" i="2"/>
  <c r="G164" i="3" a="1"/>
  <c r="H447" i="3" a="1"/>
  <c r="O517" i="3" a="1"/>
  <c r="M106" i="3" a="1"/>
  <c r="N28" i="3" a="1"/>
  <c r="N34" i="3" a="1"/>
  <c r="L587" i="3" a="1"/>
  <c r="B15" i="2"/>
  <c r="B490" i="2"/>
  <c r="D378" i="2"/>
  <c r="K430" i="3" a="1"/>
  <c r="B396" i="2"/>
  <c r="M578" i="3" a="1"/>
  <c r="F174" i="3" a="1"/>
  <c r="D10" i="2"/>
  <c r="F452" i="3" a="1"/>
  <c r="D612" i="2"/>
  <c r="D625" i="2"/>
  <c r="G313" i="3" a="1"/>
  <c r="A374" i="3" a="1"/>
  <c r="B508" i="2"/>
  <c r="P222" i="3" a="1"/>
  <c r="K635" i="3" a="1"/>
  <c r="C296" i="2"/>
  <c r="I563" i="3" a="1"/>
  <c r="A88" i="3" a="1"/>
  <c r="G503" i="3" a="1"/>
  <c r="I392" i="3" a="1"/>
  <c r="K175" i="3" a="1"/>
  <c r="E612" i="2" a="1"/>
  <c r="E461" i="2" a="1"/>
  <c r="D620" i="2"/>
  <c r="L87" i="3" a="1"/>
  <c r="O263" i="3" a="1"/>
  <c r="P293" i="3" a="1"/>
  <c r="I149" i="3" a="1"/>
  <c r="F503" i="3" a="1"/>
  <c r="F143" i="3" a="1"/>
  <c r="C95" i="2"/>
  <c r="L65" i="3" a="1"/>
  <c r="M274" i="3" a="1"/>
  <c r="K33" i="3" a="1"/>
  <c r="L77" i="3" a="1"/>
  <c r="E491" i="2" a="1"/>
  <c r="K227" i="3" a="1"/>
  <c r="E530" i="2" a="1"/>
  <c r="K91" i="3" a="1"/>
  <c r="E532" i="2" a="1"/>
  <c r="K533" i="3" a="1"/>
  <c r="N51" i="3" a="1"/>
  <c r="O75" i="3" a="1"/>
  <c r="N327" i="3" a="1"/>
  <c r="K28" i="3" a="1"/>
  <c r="I250" i="3" a="1"/>
  <c r="A3" i="3" a="1"/>
  <c r="K376" i="3" a="1"/>
  <c r="D276" i="2"/>
  <c r="H309" i="3" a="1"/>
  <c r="I154" i="3" a="1"/>
  <c r="D221" i="2"/>
  <c r="P350" i="3" a="1"/>
  <c r="G127" i="3" a="1"/>
  <c r="N299" i="3" a="1"/>
  <c r="G564" i="3" a="1"/>
  <c r="O585" i="3" a="1"/>
  <c r="K469" i="3" a="1"/>
  <c r="C365" i="2"/>
  <c r="O477" i="3" a="1"/>
  <c r="D52" i="2"/>
  <c r="D356" i="2"/>
  <c r="B154" i="2"/>
  <c r="K367" i="3" a="1"/>
  <c r="G219" i="3" a="1"/>
  <c r="F607" i="3" a="1"/>
  <c r="B243" i="2"/>
  <c r="H607" i="3" a="1"/>
  <c r="K291" i="3" a="1"/>
  <c r="M206" i="3" a="1"/>
  <c r="K127" i="3" a="1"/>
  <c r="K501" i="3" a="1"/>
  <c r="G385" i="3" a="1"/>
  <c r="M431" i="3" a="1"/>
  <c r="G522" i="3" a="1"/>
  <c r="F361" i="3" a="1"/>
  <c r="M580" i="3" a="1"/>
  <c r="H107" i="3" a="1"/>
  <c r="N356" i="3" a="1"/>
  <c r="G550" i="3" a="1"/>
  <c r="F34" i="3" a="1"/>
  <c r="M7" i="3" a="1"/>
  <c r="E369" i="2" a="1"/>
  <c r="A505" i="3" a="1"/>
  <c r="P367" i="3" a="1"/>
  <c r="H423" i="3" a="1"/>
  <c r="O502" i="3" a="1"/>
  <c r="B288" i="2"/>
  <c r="K451" i="3" a="1"/>
  <c r="B331" i="2"/>
  <c r="F99" i="3" a="1"/>
  <c r="A241" i="3" a="1"/>
  <c r="M83" i="3" a="1"/>
  <c r="B322" i="2"/>
  <c r="C546" i="2"/>
  <c r="A391" i="3" a="1"/>
  <c r="A522" i="3" a="1"/>
  <c r="A336" i="3" a="1"/>
  <c r="N110" i="3" a="1"/>
  <c r="F296" i="3" a="1"/>
  <c r="P456" i="3" a="1"/>
  <c r="H184" i="3" a="1"/>
  <c r="E452" i="2" a="1"/>
  <c r="E538" i="2" a="1"/>
  <c r="M5" i="3" a="1"/>
  <c r="K108" i="3" a="1"/>
  <c r="E125" i="2" a="1"/>
  <c r="C202" i="2"/>
  <c r="E425" i="2" a="1"/>
  <c r="F141" i="3" a="1"/>
  <c r="I590" i="3" a="1"/>
  <c r="G291" i="3" a="1"/>
  <c r="F488" i="3" a="1"/>
  <c r="K242" i="3" a="1"/>
  <c r="A253" i="3" a="1"/>
  <c r="N257" i="3" a="1"/>
  <c r="M439" i="3" a="1"/>
  <c r="C101" i="2"/>
  <c r="G292" i="3" a="1"/>
  <c r="F33" i="3" a="1"/>
  <c r="E163" i="2" a="1"/>
  <c r="I426" i="3" a="1"/>
  <c r="A515" i="3" a="1"/>
  <c r="N348" i="3" a="1"/>
  <c r="C557" i="2"/>
  <c r="B149" i="2"/>
  <c r="L172" i="3" a="1"/>
  <c r="B4" i="2"/>
  <c r="F192" i="3" a="1"/>
  <c r="B494" i="2"/>
  <c r="N576" i="3" a="1"/>
  <c r="M209" i="3" a="1"/>
  <c r="P251" i="3" a="1"/>
  <c r="H284" i="3" a="1"/>
  <c r="N469" i="3" a="1"/>
  <c r="E78" i="2" a="1"/>
  <c r="C228" i="2"/>
  <c r="G368" i="3" a="1"/>
  <c r="G528" i="3" a="1"/>
  <c r="G230" i="3" a="1"/>
  <c r="H640" i="3" a="1"/>
  <c r="I144" i="3" a="1"/>
  <c r="K218" i="3" a="1"/>
  <c r="E262" i="2" a="1"/>
  <c r="G123" i="3" a="1"/>
  <c r="B387" i="2"/>
  <c r="I200" i="3" a="1"/>
  <c r="E413" i="2" a="1"/>
  <c r="P31" i="3" a="1"/>
  <c r="C547" i="2"/>
  <c r="A456" i="3" a="1"/>
  <c r="C325" i="2"/>
  <c r="K586" i="3" a="1"/>
  <c r="E435" i="2" a="1"/>
  <c r="B366" i="2"/>
  <c r="B366" i="3" s="1" a="1"/>
  <c r="M496" i="3" a="1"/>
  <c r="C18" i="2"/>
  <c r="E226" i="2" a="1"/>
  <c r="C282" i="2"/>
  <c r="N496" i="3" a="1"/>
  <c r="K520" i="3" a="1"/>
  <c r="N192" i="3" a="1"/>
  <c r="M12" i="3" a="1"/>
  <c r="E366" i="2" a="1"/>
  <c r="E477" i="2" a="1"/>
  <c r="B464" i="2"/>
  <c r="H13" i="3" a="1"/>
  <c r="I140" i="3" a="1"/>
  <c r="C534" i="2"/>
  <c r="P296" i="3" a="1"/>
  <c r="C434" i="2"/>
  <c r="I246" i="3" a="1"/>
  <c r="H139" i="3" a="1"/>
  <c r="O55" i="3" a="1"/>
  <c r="B424" i="2"/>
  <c r="F101" i="3" a="1"/>
  <c r="L151" i="3" a="1"/>
  <c r="I147" i="3" a="1"/>
  <c r="L481" i="3" a="1"/>
  <c r="M490" i="3" a="1"/>
  <c r="M137" i="3" a="1"/>
  <c r="G148" i="3" a="1"/>
  <c r="A42" i="3" a="1"/>
  <c r="M430" i="3" a="1"/>
  <c r="D403" i="2"/>
  <c r="C125" i="2"/>
  <c r="F130" i="3" a="1"/>
  <c r="H315" i="3" a="1"/>
  <c r="L533" i="3" a="1"/>
  <c r="G241" i="3" a="1"/>
  <c r="O68" i="3" a="1"/>
  <c r="H394" i="3" a="1"/>
  <c r="E509" i="2" a="1"/>
  <c r="F203" i="3" a="1"/>
  <c r="E295" i="2" a="1"/>
  <c r="B448" i="2"/>
  <c r="N636" i="3" a="1"/>
  <c r="B57" i="2"/>
  <c r="P280" i="3" a="1"/>
  <c r="N500" i="3" a="1"/>
  <c r="D374" i="2"/>
  <c r="C338" i="2"/>
  <c r="L107" i="3" a="1"/>
  <c r="D179" i="2"/>
  <c r="D509" i="2"/>
  <c r="B16" i="2"/>
  <c r="G33" i="3" a="1"/>
  <c r="D319" i="2"/>
  <c r="H293" i="3" a="1"/>
  <c r="G510" i="3" a="1"/>
  <c r="F530" i="3" a="1"/>
  <c r="D351" i="2"/>
  <c r="O588" i="3" a="1"/>
  <c r="P290" i="3" a="1"/>
  <c r="E141" i="2" a="1"/>
  <c r="F308" i="3" a="1"/>
  <c r="P82" i="3" a="1"/>
  <c r="H443" i="3" a="1"/>
  <c r="N421" i="3" a="1"/>
  <c r="I150" i="3" a="1"/>
  <c r="G543" i="3" a="1"/>
  <c r="K243" i="3" a="1"/>
  <c r="N637" i="3" a="1"/>
  <c r="I604" i="3" a="1"/>
  <c r="D525" i="2"/>
  <c r="I214" i="3" a="1"/>
  <c r="L304" i="3" a="1"/>
  <c r="L611" i="3" a="1"/>
  <c r="G263" i="3" a="1"/>
  <c r="P113" i="3" a="1"/>
  <c r="M392" i="3" a="1"/>
  <c r="L459" i="3" a="1"/>
  <c r="E600" i="2" a="1"/>
  <c r="C460" i="2"/>
  <c r="E259" i="2" a="1"/>
  <c r="C181" i="2"/>
  <c r="I278" i="3" a="1"/>
  <c r="N295" i="3" a="1"/>
  <c r="L330" i="3" a="1"/>
  <c r="B252" i="2"/>
  <c r="L47" i="3" a="1"/>
  <c r="A626" i="3" a="1"/>
  <c r="F477" i="3" a="1"/>
  <c r="E234" i="2" a="1"/>
  <c r="G176" i="3" a="1"/>
  <c r="B314" i="2"/>
  <c r="P91" i="3" a="1"/>
  <c r="B550" i="2"/>
  <c r="G422" i="3" a="1"/>
  <c r="E568" i="2" a="1"/>
  <c r="D302" i="2"/>
  <c r="F140" i="3" a="1"/>
  <c r="F490" i="3" a="1"/>
  <c r="M234" i="3" a="1"/>
  <c r="A89" i="3" a="1"/>
  <c r="C551" i="2"/>
  <c r="A321" i="3" a="1"/>
  <c r="F319" i="3" a="1"/>
  <c r="F475" i="3" a="1"/>
  <c r="I378" i="3" a="1"/>
  <c r="L132" i="3" a="1"/>
  <c r="P469" i="3" a="1"/>
  <c r="E516" i="2" a="1"/>
  <c r="C112" i="2"/>
  <c r="M275" i="3" a="1"/>
  <c r="K98" i="3" a="1"/>
  <c r="G494" i="3" a="1"/>
  <c r="D387" i="2"/>
  <c r="C164" i="2"/>
  <c r="F201" i="3" a="1"/>
  <c r="N464" i="3" a="1"/>
  <c r="A506" i="3" a="1"/>
  <c r="L27" i="3" a="1"/>
  <c r="G374" i="3" a="1"/>
  <c r="K364" i="3" a="1"/>
  <c r="G131" i="3" a="1"/>
  <c r="I315" i="3" a="1"/>
  <c r="D164" i="2"/>
  <c r="L605" i="3" a="1"/>
  <c r="G145" i="3" a="1"/>
  <c r="A296" i="3" a="1"/>
  <c r="B221" i="2"/>
  <c r="G120" i="3" a="1"/>
  <c r="N606" i="3" a="1"/>
  <c r="A420" i="3" a="1"/>
  <c r="K352" i="3" a="1"/>
  <c r="K84" i="3" a="1"/>
  <c r="F450" i="3" a="1"/>
  <c r="P208" i="3" a="1"/>
  <c r="E190" i="2" a="1"/>
  <c r="A584" i="3" a="1"/>
  <c r="K438" i="3" a="1"/>
  <c r="C226" i="2"/>
  <c r="G26" i="3" a="1"/>
  <c r="E629" i="2" a="1"/>
  <c r="C120" i="2"/>
  <c r="O544" i="3" a="1"/>
  <c r="M531" i="3" a="1"/>
  <c r="I2" i="3" a="1"/>
  <c r="O492" i="3" a="1"/>
  <c r="I598" i="3" a="1"/>
  <c r="D535" i="3" a="1"/>
  <c r="L150" i="3" a="1"/>
  <c r="P65" i="3" a="1"/>
  <c r="C542" i="2"/>
  <c r="G432" i="3" a="1"/>
  <c r="D173" i="2"/>
  <c r="G407" i="3" a="1"/>
  <c r="P482" i="3" a="1"/>
  <c r="G97" i="3" a="1"/>
  <c r="A380" i="3" a="1"/>
  <c r="B640" i="2"/>
  <c r="D520" i="2"/>
  <c r="B450" i="2"/>
  <c r="H183" i="3" a="1"/>
  <c r="L39" i="3" a="1"/>
  <c r="H106" i="3" a="1"/>
  <c r="L110" i="3" a="1"/>
  <c r="H414" i="3" a="1"/>
  <c r="O104" i="3" a="1"/>
  <c r="E108" i="2" a="1"/>
  <c r="B380" i="2"/>
  <c r="F333" i="3" a="1"/>
  <c r="G208" i="3" a="1"/>
  <c r="B592" i="2"/>
  <c r="F357" i="3" a="1"/>
  <c r="N407" i="3" a="1"/>
  <c r="A277" i="3" a="1"/>
  <c r="E539" i="2" a="1"/>
  <c r="G255" i="3" a="1"/>
  <c r="L82" i="3" a="1"/>
  <c r="B405" i="2"/>
  <c r="I42" i="3" a="1"/>
  <c r="E310" i="2" a="1"/>
  <c r="P360" i="3" a="1"/>
  <c r="O216" i="3" a="1"/>
  <c r="K228" i="3" a="1"/>
  <c r="E487" i="2" a="1"/>
  <c r="M228" i="3" a="1"/>
  <c r="C534" i="3" a="1"/>
  <c r="C137" i="2"/>
  <c r="G475" i="3" a="1"/>
  <c r="A256" i="3" a="1"/>
  <c r="F39" i="3" a="1"/>
  <c r="M586" i="3" a="1"/>
  <c r="A338" i="3" a="1"/>
  <c r="L425" i="3" a="1"/>
  <c r="I621" i="3" a="1"/>
  <c r="B624" i="2"/>
  <c r="E590" i="2" a="1"/>
  <c r="K188" i="3" a="1"/>
  <c r="I80" i="3" a="1"/>
  <c r="K9" i="3" a="1"/>
  <c r="E53" i="2" a="1"/>
  <c r="N161" i="3" a="1"/>
  <c r="O145" i="3" a="1"/>
  <c r="C154" i="2"/>
  <c r="H222" i="3" a="1"/>
  <c r="P331" i="3" a="1"/>
  <c r="M410" i="3" a="1"/>
  <c r="H593" i="3" a="1"/>
  <c r="D172" i="2"/>
  <c r="N540" i="3" a="1"/>
  <c r="G247" i="3" a="1"/>
  <c r="P281" i="3" a="1"/>
  <c r="A628" i="3" a="1"/>
  <c r="B363" i="2"/>
  <c r="B363" i="3" s="1" a="1"/>
  <c r="P604" i="3" a="1"/>
  <c r="L538" i="3" a="1"/>
  <c r="H376" i="3" a="1"/>
  <c r="K240" i="3" a="1"/>
  <c r="D114" i="3" a="1"/>
  <c r="L383" i="3" a="1"/>
  <c r="O139" i="3" a="1"/>
  <c r="K83" i="3" a="1"/>
  <c r="B132" i="2"/>
  <c r="L640" i="3" a="1"/>
  <c r="G65" i="3" a="1"/>
  <c r="C348" i="2"/>
  <c r="O57" i="3" a="1"/>
  <c r="P216" i="3" a="1"/>
  <c r="H538" i="3" a="1"/>
  <c r="I210" i="3" a="1"/>
  <c r="O304" i="3" a="1"/>
  <c r="A292" i="3" a="1"/>
  <c r="P599" i="3" a="1"/>
  <c r="L366" i="3" a="1"/>
  <c r="G327" i="3" a="1"/>
  <c r="A154" i="3" a="1"/>
  <c r="H146" i="3" a="1"/>
  <c r="M359" i="3" a="1"/>
  <c r="I488" i="3" a="1"/>
  <c r="B50" i="2"/>
  <c r="N391" i="3" a="1"/>
  <c r="M210" i="3" a="1"/>
  <c r="B286" i="2"/>
  <c r="H332" i="3" a="1"/>
  <c r="B633" i="2"/>
  <c r="I357" i="3" a="1"/>
  <c r="M532" i="3" a="1"/>
  <c r="A381" i="3" a="1"/>
  <c r="H291" i="3" a="1"/>
  <c r="K261" i="3" a="1"/>
  <c r="F459" i="3" a="1"/>
  <c r="I415" i="3" a="1"/>
  <c r="P346" i="3" a="1"/>
  <c r="O628" i="3" a="1"/>
  <c r="H95" i="3" a="1"/>
  <c r="A543" i="3" a="1"/>
  <c r="K152" i="3" a="1"/>
  <c r="M86" i="3" a="1"/>
  <c r="G278" i="3" a="1"/>
  <c r="D287" i="2"/>
  <c r="P450" i="3" a="1"/>
  <c r="H261" i="3" a="1"/>
  <c r="C55" i="2"/>
  <c r="P394" i="3" a="1"/>
  <c r="K335" i="3" a="1"/>
  <c r="H384" i="3" a="1"/>
  <c r="O420" i="3" a="1"/>
  <c r="K303" i="3" a="1"/>
  <c r="N270" i="3" a="1"/>
  <c r="G124" i="3" a="1"/>
  <c r="M397" i="3" a="1"/>
  <c r="F85" i="3" a="1"/>
  <c r="B399" i="2"/>
  <c r="B7" i="2"/>
  <c r="N18" i="3" a="1"/>
  <c r="B466" i="2"/>
  <c r="D455" i="2"/>
  <c r="N360" i="3" a="1"/>
  <c r="D249" i="2"/>
  <c r="E602" i="2" a="1"/>
  <c r="H124" i="3" a="1"/>
  <c r="P30" i="3" a="1"/>
  <c r="C470" i="2"/>
  <c r="E193" i="2" a="1"/>
  <c r="P323" i="3" a="1"/>
  <c r="B353" i="2"/>
  <c r="H201" i="3" a="1"/>
  <c r="O582" i="3" a="1"/>
  <c r="I292" i="3" a="1"/>
  <c r="A7" i="3" a="1"/>
  <c r="H190" i="3" a="1"/>
  <c r="C242" i="2"/>
  <c r="O297" i="3" a="1"/>
  <c r="D471" i="2"/>
  <c r="I534" i="3" a="1"/>
  <c r="H304" i="3" a="1"/>
  <c r="L428" i="3" a="1"/>
  <c r="A6" i="3" a="1"/>
  <c r="P163" i="3" a="1"/>
  <c r="L108" i="3" a="1"/>
  <c r="A473" i="3" a="1"/>
  <c r="M81" i="3" a="1"/>
  <c r="A498" i="3" a="1"/>
  <c r="I164" i="3" a="1"/>
  <c r="O256" i="3" a="1"/>
  <c r="L141" i="3" a="1"/>
  <c r="C5" i="2"/>
  <c r="K210" i="3" a="1"/>
  <c r="E596" i="2" a="1"/>
  <c r="H328" i="3" a="1"/>
  <c r="I259" i="3" a="1"/>
  <c r="H578" i="3" a="1"/>
  <c r="O102" i="3" a="1"/>
  <c r="O209" i="3" a="1"/>
  <c r="I284" i="3" a="1"/>
  <c r="N444" i="3" a="1"/>
  <c r="H148" i="3" a="1"/>
  <c r="H157" i="3" a="1"/>
  <c r="P594" i="3" a="1"/>
  <c r="F377" i="3" a="1"/>
  <c r="N245" i="3" a="1"/>
  <c r="B83" i="2"/>
  <c r="K346" i="3" a="1"/>
  <c r="C599" i="2"/>
  <c r="N316" i="3" a="1"/>
  <c r="C267" i="2"/>
  <c r="O109" i="3" a="1"/>
  <c r="H522" i="3" a="1"/>
  <c r="P214" i="3" a="1"/>
  <c r="H467" i="3" a="1"/>
  <c r="I206" i="3" a="1"/>
  <c r="A132" i="3" a="1"/>
  <c r="F399" i="3" a="1"/>
  <c r="F379" i="3" a="1"/>
  <c r="G323" i="3" a="1"/>
  <c r="P180" i="3" a="1"/>
  <c r="F573" i="3" a="1"/>
  <c r="M427" i="3" a="1"/>
  <c r="A577" i="3" a="1"/>
  <c r="M555" i="3" a="1"/>
  <c r="H537" i="3" a="1"/>
  <c r="C67" i="2"/>
  <c r="N284" i="3" a="1"/>
  <c r="O187" i="3" a="1"/>
  <c r="B299" i="2"/>
  <c r="P559" i="3" a="1"/>
  <c r="B519" i="2"/>
  <c r="A365" i="3" a="1"/>
  <c r="M258" i="3" a="1"/>
  <c r="K248" i="3" a="1"/>
  <c r="O239" i="3" a="1"/>
  <c r="L204" i="3" a="1"/>
  <c r="E337" i="2" a="1"/>
  <c r="G163" i="3" a="1"/>
  <c r="H576" i="3" a="1"/>
  <c r="B198" i="2"/>
  <c r="I30" i="3" a="1"/>
  <c r="N207" i="3" a="1"/>
  <c r="M455" i="3" a="1"/>
  <c r="N365" i="3" a="1"/>
  <c r="H214" i="3" a="1"/>
  <c r="A49" i="3" a="1"/>
  <c r="M308" i="3" a="1"/>
  <c r="L225" i="3" a="1"/>
  <c r="N145" i="3" a="1"/>
  <c r="C487" i="2"/>
  <c r="N506" i="3" a="1"/>
  <c r="N10" i="3" a="1"/>
  <c r="H29" i="3" a="1"/>
  <c r="M172" i="3" a="1"/>
  <c r="N616" i="3" a="1"/>
  <c r="M380" i="3" a="1"/>
  <c r="H295" i="3" a="1"/>
  <c r="L37" i="3" a="1"/>
  <c r="B207" i="2"/>
  <c r="G126" i="3" a="1"/>
  <c r="M469" i="3" a="1"/>
  <c r="I603" i="3" a="1"/>
  <c r="O478" i="3" a="1"/>
  <c r="I438" i="3" a="1"/>
  <c r="H445" i="3" a="1"/>
  <c r="B58" i="2"/>
  <c r="O246" i="3" a="1"/>
  <c r="G637" i="3" a="1"/>
  <c r="C245" i="2"/>
  <c r="F410" i="3" a="1"/>
  <c r="D526" i="2"/>
  <c r="L591" i="3" a="1"/>
  <c r="C600" i="2"/>
  <c r="P480" i="3" a="1"/>
  <c r="O54" i="3" a="1"/>
  <c r="I235" i="3" a="1"/>
  <c r="K599" i="3" a="1"/>
  <c r="H326" i="3" a="1"/>
  <c r="F604" i="3" a="1"/>
  <c r="O63" i="3" a="1"/>
  <c r="D615" i="2"/>
  <c r="K516" i="3" a="1"/>
  <c r="L116" i="3" a="1"/>
  <c r="D3" i="2"/>
  <c r="H37" i="3" a="1"/>
  <c r="C98" i="2"/>
  <c r="B395" i="2"/>
  <c r="I406" i="3" a="1"/>
  <c r="P422" i="3" a="1"/>
  <c r="N472" i="3" a="1"/>
  <c r="N403" i="3" a="1"/>
  <c r="I395" i="3" a="1"/>
  <c r="I216" i="3" a="1"/>
  <c r="P176" i="3" a="1"/>
  <c r="K314" i="3" a="1"/>
  <c r="A569" i="3" a="1"/>
  <c r="C106" i="2"/>
  <c r="C612" i="2"/>
  <c r="M78" i="3" a="1"/>
  <c r="M441" i="3" a="1"/>
  <c r="F288" i="3" a="1"/>
  <c r="P442" i="3" a="1"/>
  <c r="I359" i="3" a="1"/>
  <c r="N625" i="3" a="1"/>
  <c r="A472" i="3" a="1"/>
  <c r="G416" i="3" a="1"/>
  <c r="C456" i="2"/>
  <c r="N373" i="3" a="1"/>
  <c r="A2" i="3" a="1"/>
  <c r="P291" i="3" a="1"/>
  <c r="O625" i="3" a="1"/>
  <c r="B9" i="2"/>
  <c r="M495" i="3" a="1"/>
  <c r="H600" i="3" a="1"/>
  <c r="H143" i="3" a="1"/>
  <c r="N279" i="3" a="1"/>
  <c r="B408" i="2"/>
  <c r="E22" i="2" a="1"/>
  <c r="P242" i="3" a="1"/>
  <c r="K453" i="3" a="1"/>
  <c r="O487" i="3" a="1"/>
  <c r="P457" i="3" a="1"/>
  <c r="O271" i="3" a="1"/>
  <c r="H224" i="3" a="1"/>
  <c r="K3" i="3" a="1"/>
  <c r="N272" i="3" a="1"/>
  <c r="K512" i="3" a="1"/>
  <c r="E252" i="2" a="1"/>
  <c r="C180" i="2"/>
  <c r="H403" i="3" a="1"/>
  <c r="F612" i="3" a="1"/>
  <c r="G100" i="3" a="1"/>
  <c r="H133" i="3" a="1"/>
  <c r="E504" i="2" a="1"/>
  <c r="E149" i="2" a="1"/>
  <c r="A444" i="3" a="1"/>
  <c r="E293" i="2" a="1"/>
  <c r="G377" i="3" a="1"/>
  <c r="B326" i="2"/>
  <c r="H164" i="3" a="1"/>
  <c r="A245" i="3" a="1"/>
  <c r="N280" i="3" a="1"/>
  <c r="E264" i="2" a="1"/>
  <c r="F358" i="3" a="1"/>
  <c r="C43" i="2"/>
  <c r="O381" i="3" a="1"/>
  <c r="B543" i="2"/>
  <c r="N337" i="3" a="1"/>
  <c r="I435" i="3" a="1"/>
  <c r="E30" i="2" a="1"/>
  <c r="M504" i="3" a="1"/>
  <c r="H283" i="3" a="1"/>
  <c r="C71" i="2"/>
  <c r="M314" i="3" a="1"/>
  <c r="E481" i="2" a="1"/>
  <c r="C404" i="2"/>
  <c r="E609" i="2" a="1"/>
  <c r="F225" i="3" a="1"/>
  <c r="E285" i="2" a="1"/>
  <c r="B118" i="2"/>
  <c r="E169" i="2" a="1"/>
  <c r="P175" i="3" a="1"/>
  <c r="D547" i="2"/>
  <c r="O285" i="3" a="1"/>
  <c r="N201" i="3" a="1"/>
  <c r="P146" i="3" a="1"/>
  <c r="P579" i="3" a="1"/>
  <c r="O540" i="3" a="1"/>
  <c r="F257" i="3" a="1"/>
  <c r="B420" i="2"/>
  <c r="D627" i="2"/>
  <c r="O445" i="3" a="1"/>
  <c r="D86" i="2"/>
  <c r="F426" i="3" a="1"/>
  <c r="H612" i="3" a="1"/>
  <c r="D367" i="2"/>
  <c r="K4" i="3" a="1"/>
  <c r="A284" i="3" a="1"/>
  <c r="D85" i="2"/>
  <c r="P307" i="3" a="1"/>
  <c r="O609" i="3" a="1"/>
  <c r="F336" i="3" a="1"/>
  <c r="P485" i="3" a="1"/>
  <c r="D273" i="2"/>
  <c r="I23" i="3" a="1"/>
  <c r="B306" i="2"/>
  <c r="C629" i="2"/>
  <c r="D335" i="2"/>
  <c r="E343" i="2" a="1"/>
  <c r="E451" i="2" a="1"/>
  <c r="B220" i="3" a="1"/>
  <c r="D131" i="2"/>
  <c r="D492" i="2"/>
  <c r="H505" i="3" a="1"/>
  <c r="E61" i="2" a="1"/>
  <c r="M615" i="3" a="1"/>
  <c r="O404" i="3" a="1"/>
  <c r="G364" i="3" a="1"/>
  <c r="O475" i="3" a="1"/>
  <c r="M98" i="3" a="1"/>
  <c r="C409" i="2"/>
  <c r="E215" i="2" a="1"/>
  <c r="L138" i="3" a="1"/>
  <c r="G381" i="3" a="1"/>
  <c r="L186" i="3" a="1"/>
  <c r="C231" i="2"/>
  <c r="B265" i="2"/>
  <c r="G50" i="3" a="1"/>
  <c r="P295" i="3" a="1"/>
  <c r="A478" i="3" a="1"/>
  <c r="N542" i="3" a="1"/>
  <c r="A147" i="3" a="1"/>
  <c r="B398" i="2"/>
  <c r="E134" i="2" a="1"/>
  <c r="O72" i="3" a="1"/>
  <c r="B473" i="2"/>
  <c r="O94" i="3" a="1"/>
  <c r="I352" i="3" a="1"/>
  <c r="D562" i="2"/>
  <c r="G525" i="3" a="1"/>
  <c r="H637" i="3" a="1"/>
  <c r="G18" i="3" a="1"/>
  <c r="O368" i="3" a="1"/>
  <c r="H589" i="3" a="1"/>
  <c r="H318" i="3" a="1"/>
  <c r="F84" i="3" a="1"/>
  <c r="I391" i="3" a="1"/>
  <c r="M429" i="3" a="1"/>
  <c r="N524" i="3" a="1"/>
  <c r="A274" i="3" a="1"/>
  <c r="O140" i="3" a="1"/>
  <c r="N409" i="3" a="1"/>
  <c r="P70" i="3" a="1"/>
  <c r="P629" i="3" a="1"/>
  <c r="E564" i="2" a="1"/>
  <c r="N93" i="3" a="1"/>
  <c r="D610" i="3" a="1"/>
  <c r="O338" i="3" a="1"/>
  <c r="N330" i="3" a="1"/>
  <c r="N607" i="3" a="1"/>
  <c r="H256" i="3" a="1"/>
  <c r="M310" i="3" a="1"/>
  <c r="N317" i="3" a="1"/>
  <c r="O123" i="3" a="1"/>
  <c r="M339" i="3" a="1"/>
  <c r="I124" i="3" a="1"/>
  <c r="I65" i="3" a="1"/>
  <c r="H379" i="3" a="1"/>
  <c r="C598" i="2"/>
  <c r="D581" i="2"/>
  <c r="O158" i="3" a="1"/>
  <c r="D618" i="2"/>
  <c r="C206" i="2"/>
  <c r="P276" i="3" a="1"/>
  <c r="B423" i="2"/>
  <c r="I619" i="3" a="1"/>
  <c r="B70" i="2"/>
  <c r="N492" i="3" a="1"/>
  <c r="B409" i="2"/>
  <c r="A340" i="3" a="1"/>
  <c r="A85" i="3" a="1"/>
  <c r="D137" i="2"/>
  <c r="F112" i="3" a="1"/>
  <c r="A348" i="3" a="1"/>
  <c r="K63" i="3" a="1"/>
  <c r="C121" i="2"/>
  <c r="I552" i="3" a="1"/>
  <c r="F350" i="3" a="1"/>
  <c r="A45" i="3" a="1"/>
  <c r="I539" i="3" a="1"/>
  <c r="M178" i="3" a="1"/>
  <c r="O465" i="3" a="1"/>
  <c r="N612" i="3" a="1"/>
  <c r="M624" i="3" a="1"/>
  <c r="M185" i="3" a="1"/>
  <c r="I423" i="3" a="1"/>
  <c r="H515" i="3" a="1"/>
  <c r="G52" i="3" a="1"/>
  <c r="D401" i="3" a="1"/>
  <c r="L628" i="3" a="1"/>
  <c r="H7" i="3" a="1"/>
  <c r="G31" i="3" a="1"/>
  <c r="K319" i="3" a="1"/>
  <c r="L119" i="3" a="1"/>
  <c r="E200" i="2" a="1"/>
  <c r="B383" i="2"/>
  <c r="B377" i="2"/>
  <c r="E599" i="2" a="1"/>
  <c r="M169" i="3" a="1"/>
  <c r="D504" i="2"/>
  <c r="G28" i="3" a="1"/>
  <c r="M254" i="3" a="1"/>
  <c r="I93" i="3" a="1"/>
  <c r="P71" i="3" a="1"/>
  <c r="K447" i="3" a="1"/>
  <c r="G428" i="3" a="1"/>
  <c r="E74" i="2" a="1"/>
  <c r="O148" i="3" a="1"/>
  <c r="D435" i="2"/>
  <c r="A620" i="3" a="1"/>
  <c r="N460" i="3" a="1"/>
  <c r="A32" i="3" a="1"/>
  <c r="A550" i="3" a="1"/>
  <c r="H248" i="3" a="1"/>
  <c r="A193" i="3" a="1"/>
  <c r="A156" i="3" a="1"/>
  <c r="A190" i="3" a="1"/>
  <c r="N85" i="3" a="1"/>
  <c r="D493" i="2"/>
  <c r="E376" i="2" a="1"/>
  <c r="G615" i="3" a="1"/>
  <c r="C155" i="2"/>
  <c r="G554" i="3" a="1"/>
  <c r="B116" i="2"/>
  <c r="I265" i="3" a="1"/>
  <c r="B165" i="2"/>
  <c r="F139" i="3" a="1"/>
  <c r="H280" i="3" a="1"/>
  <c r="O292" i="3" a="1"/>
  <c r="A319" i="3" a="1"/>
  <c r="F263" i="3" a="1"/>
  <c r="M576" i="3" a="1"/>
  <c r="K332" i="3" a="1"/>
  <c r="B501" i="2"/>
  <c r="A98" i="3" a="1"/>
  <c r="M352" i="3" a="1"/>
  <c r="P119" i="3" a="1"/>
  <c r="M633" i="3" a="1"/>
  <c r="L2" i="3" a="1"/>
  <c r="K15" i="3" a="1"/>
  <c r="O281" i="3" a="1"/>
  <c r="K25" i="3" a="1"/>
  <c r="H560" i="3" a="1"/>
  <c r="M190" i="3" a="1"/>
  <c r="C430" i="2"/>
  <c r="D431" i="2"/>
  <c r="D588" i="2"/>
  <c r="M217" i="3" a="1"/>
  <c r="P215" i="3" a="1"/>
  <c r="O416" i="3" a="1"/>
  <c r="H19" i="3" a="1"/>
  <c r="K122" i="3" a="1"/>
  <c r="L267" i="3" a="1"/>
  <c r="O153" i="3" a="1"/>
  <c r="H231" i="3" a="1"/>
  <c r="K256" i="3" a="1"/>
  <c r="L21" i="3" a="1"/>
  <c r="I258" i="3" a="1"/>
  <c r="L215" i="3" a="1"/>
  <c r="F248" i="3" a="1"/>
  <c r="C518" i="2"/>
  <c r="E448" i="2" a="1"/>
  <c r="E449" i="2" a="1"/>
  <c r="N426" i="3" a="1"/>
  <c r="I118" i="3" a="1"/>
  <c r="L528" i="3" a="1"/>
  <c r="O154" i="3" a="1"/>
  <c r="N511" i="3" a="1"/>
  <c r="I43" i="3" a="1"/>
  <c r="C111" i="2"/>
  <c r="M407" i="3" a="1"/>
  <c r="K545" i="3" a="1"/>
  <c r="D104" i="2"/>
  <c r="C280" i="2"/>
  <c r="H251" i="3" a="1"/>
  <c r="A115" i="3" a="1"/>
  <c r="C103" i="2"/>
  <c r="C103" i="3" s="1" a="1"/>
  <c r="G442" i="3" a="1"/>
  <c r="P329" i="3" a="1"/>
  <c r="E400" i="2" a="1"/>
  <c r="I474" i="3" a="1"/>
  <c r="K277" i="3" a="1"/>
  <c r="A267" i="3" a="1"/>
  <c r="I343" i="3" a="1"/>
  <c r="I270" i="3" a="1"/>
  <c r="G272" i="3" a="1"/>
  <c r="P32" i="3" a="1"/>
  <c r="I342" i="3" a="1"/>
  <c r="A301" i="3" a="1"/>
  <c r="E476" i="2" a="1"/>
  <c r="G45" i="3" a="1"/>
  <c r="C129" i="2"/>
  <c r="M612" i="3" a="1"/>
  <c r="A466" i="3" a="1"/>
  <c r="L314" i="3" a="1"/>
  <c r="K134" i="3" a="1"/>
  <c r="O584" i="3" a="1"/>
  <c r="H530" i="3" a="1"/>
  <c r="K192" i="3" a="1"/>
  <c r="N154" i="3" a="1"/>
  <c r="I550" i="3" a="1"/>
  <c r="G329" i="3" a="1"/>
  <c r="I483" i="3" a="1"/>
  <c r="F4" i="3" a="1"/>
  <c r="N310" i="3" a="1"/>
  <c r="A142" i="3" a="1"/>
  <c r="N473" i="3" a="1"/>
  <c r="D111" i="2"/>
  <c r="G351" i="3" a="1"/>
  <c r="C134" i="2"/>
  <c r="C454" i="2"/>
  <c r="B134" i="2"/>
  <c r="C491" i="2"/>
  <c r="H331" i="3" a="1"/>
  <c r="H3" i="3" a="1"/>
  <c r="E36" i="2" a="1"/>
  <c r="M3" i="3" a="1"/>
  <c r="L255" i="3" a="1"/>
  <c r="F334" i="3" a="1"/>
  <c r="G526" i="3" a="1"/>
  <c r="E21" i="2" a="1"/>
  <c r="N237" i="3" a="1"/>
  <c r="B465" i="2"/>
  <c r="D346" i="2"/>
  <c r="E136" i="2" a="1"/>
  <c r="K556" i="3" a="1"/>
  <c r="E227" i="2" a="1"/>
  <c r="B281" i="2"/>
  <c r="I135" i="3" a="1"/>
  <c r="A604" i="3" a="1"/>
  <c r="E18" i="2" a="1"/>
  <c r="O490" i="3" a="1"/>
  <c r="D505" i="2"/>
  <c r="N91" i="3" a="1"/>
  <c r="H449" i="3" a="1"/>
  <c r="G299" i="3" a="1"/>
  <c r="L185" i="3" a="1"/>
  <c r="K507" i="3" a="1"/>
  <c r="A149" i="3" a="1"/>
  <c r="A638" i="3" a="1"/>
  <c r="N535" i="3" a="1"/>
  <c r="B500" i="2"/>
  <c r="L146" i="3" a="1"/>
  <c r="B156" i="2"/>
  <c r="M15" i="3" a="1"/>
  <c r="P36" i="3" a="1"/>
  <c r="C481" i="2"/>
  <c r="D438" i="2"/>
  <c r="G500" i="3" a="1"/>
  <c r="B320" i="3" a="1"/>
  <c r="L136" i="3" a="1"/>
  <c r="C517" i="3" a="1"/>
  <c r="K465" i="3" a="1"/>
  <c r="A182" i="3" a="1"/>
  <c r="P28" i="3" a="1"/>
  <c r="D222" i="2"/>
  <c r="H626" i="3" a="1"/>
  <c r="M516" i="3" a="1"/>
  <c r="E569" i="2" a="1"/>
  <c r="F455" i="3" a="1"/>
  <c r="O290" i="3" a="1"/>
  <c r="E75" i="2" a="1"/>
  <c r="L206" i="3" a="1"/>
  <c r="L479" i="3" a="1"/>
  <c r="E541" i="2" a="1"/>
  <c r="A632" i="3" a="1"/>
  <c r="E270" i="2" a="1"/>
  <c r="F29" i="3" a="1"/>
  <c r="H454" i="3" a="1"/>
  <c r="P340" i="3" a="1"/>
  <c r="A325" i="3" a="1"/>
  <c r="O623" i="3" a="1"/>
  <c r="L417" i="3" a="1"/>
  <c r="G553" i="3" a="1"/>
  <c r="D214" i="2"/>
  <c r="O125" i="3" a="1"/>
  <c r="O527" i="3" a="1"/>
  <c r="M309" i="3" a="1"/>
  <c r="F339" i="3" a="1"/>
  <c r="M164" i="3" a="1"/>
  <c r="L399" i="3" a="1"/>
  <c r="O486" i="3" a="1"/>
  <c r="I514" i="3" a="1"/>
  <c r="B414" i="2"/>
  <c r="D400" i="2"/>
  <c r="L163" i="3" a="1"/>
  <c r="B34" i="2"/>
  <c r="P128" i="3" a="1"/>
  <c r="L301" i="3" a="1"/>
  <c r="L73" i="3" a="1"/>
  <c r="L476" i="3" a="1"/>
  <c r="A495" i="3" a="1"/>
  <c r="A370" i="3" a="1"/>
  <c r="G589" i="3" a="1"/>
  <c r="A243" i="3" a="1"/>
  <c r="D411" i="2"/>
  <c r="K74" i="3" a="1"/>
  <c r="N332" i="3" a="1"/>
  <c r="F266" i="3" a="1"/>
  <c r="I110" i="3" a="1"/>
  <c r="H28" i="3" a="1"/>
  <c r="P460" i="3" a="1"/>
  <c r="B159" i="2"/>
  <c r="C417" i="3" a="1"/>
  <c r="C255" i="2"/>
  <c r="K347" i="3" a="1"/>
  <c r="D319" i="3" a="1"/>
  <c r="A625" i="3" a="1"/>
  <c r="N613" i="3" a="1"/>
  <c r="I387" i="3" a="1"/>
  <c r="M553" i="3" a="1"/>
  <c r="L237" i="3" a="1"/>
  <c r="N48" i="3" a="1"/>
  <c r="F208" i="3" a="1"/>
  <c r="L281" i="3" a="1"/>
  <c r="G141" i="3" a="1"/>
  <c r="H91" i="3" a="1"/>
  <c r="B394" i="2"/>
  <c r="I562" i="3" a="1"/>
  <c r="M629" i="3" a="1"/>
  <c r="F509" i="3" a="1"/>
  <c r="G344" i="3" a="1"/>
  <c r="H539" i="3" a="1"/>
  <c r="E497" i="2" a="1"/>
  <c r="C433" i="3" a="1"/>
  <c r="A597" i="3" a="1"/>
  <c r="F385" i="3" a="1"/>
  <c r="B499" i="2"/>
  <c r="A424" i="3" a="1"/>
  <c r="B540" i="2"/>
  <c r="K624" i="3" a="1"/>
  <c r="P159" i="3" a="1"/>
  <c r="K153" i="3" a="1"/>
  <c r="B341" i="2"/>
  <c r="P376" i="3" a="1"/>
  <c r="L166" i="3" a="1"/>
  <c r="B53" i="2"/>
  <c r="K607" i="3" a="1"/>
  <c r="G10" i="3" a="1"/>
  <c r="D552" i="2"/>
  <c r="K488" i="3" a="1"/>
  <c r="G81" i="3" a="1"/>
  <c r="N611" i="3" a="1"/>
  <c r="H191" i="3" a="1"/>
  <c r="D450" i="2"/>
  <c r="H10" i="3" a="1"/>
  <c r="A101" i="3" a="1"/>
  <c r="D474" i="2"/>
  <c r="G466" i="3" a="1"/>
  <c r="D353" i="2"/>
  <c r="L76" i="3" a="1"/>
  <c r="F222" i="3" a="1"/>
  <c r="F256" i="3" a="1"/>
  <c r="B146" i="2"/>
  <c r="M264" i="3" a="1"/>
  <c r="L322" i="3" a="1"/>
  <c r="D292" i="2"/>
  <c r="E625" i="2" a="1"/>
  <c r="B164" i="2"/>
  <c r="I112" i="3" a="1"/>
  <c r="C509" i="2"/>
  <c r="O516" i="3" a="1"/>
  <c r="L247" i="3" a="1"/>
  <c r="F424" i="3" a="1"/>
  <c r="N338" i="3" a="1"/>
  <c r="E557" i="2" a="1"/>
  <c r="H119" i="3" a="1"/>
  <c r="N253" i="3" a="1"/>
  <c r="N43" i="3" a="1"/>
  <c r="C588" i="2"/>
  <c r="G449" i="3" a="1"/>
  <c r="K416" i="3" a="1"/>
  <c r="F359" i="3" a="1"/>
  <c r="H249" i="3" a="1"/>
  <c r="A177" i="3" a="1"/>
  <c r="C593" i="2"/>
  <c r="H242" i="3" a="1"/>
  <c r="N241" i="3" a="1"/>
  <c r="F87" i="3" a="1"/>
  <c r="A195" i="3" a="1"/>
  <c r="I174" i="3" a="1"/>
  <c r="D116" i="2"/>
  <c r="K598" i="3" a="1"/>
  <c r="F277" i="3" a="1"/>
  <c r="B200" i="2"/>
  <c r="H581" i="3" a="1"/>
  <c r="C538" i="2"/>
  <c r="P171" i="3" a="1"/>
  <c r="C151" i="2"/>
  <c r="N56" i="3" a="1"/>
  <c r="C7" i="3" a="1"/>
  <c r="M93" i="3" a="1"/>
  <c r="D528" i="2"/>
  <c r="A68" i="3" a="1"/>
  <c r="M571" i="3" a="1"/>
  <c r="E506" i="2" a="1"/>
  <c r="L3" i="3" a="1"/>
  <c r="B235" i="2"/>
  <c r="M484" i="3" a="1"/>
  <c r="C323" i="2"/>
  <c r="P392" i="3" a="1"/>
  <c r="D59" i="2"/>
  <c r="O48" i="3" a="1"/>
  <c r="G639" i="3" a="1"/>
  <c r="B578" i="2"/>
  <c r="A179" i="3" a="1"/>
  <c r="K359" i="3" a="1"/>
  <c r="L10" i="3" a="1"/>
  <c r="G429" i="3" a="1"/>
  <c r="P366" i="3" a="1"/>
  <c r="K372" i="3" a="1"/>
  <c r="G260" i="3" a="1"/>
  <c r="H492" i="3" a="1"/>
  <c r="P476" i="3" a="1"/>
  <c r="G280" i="3" a="1"/>
  <c r="N282" i="3" a="1"/>
  <c r="M301" i="3" a="1"/>
  <c r="N149" i="3" a="1"/>
  <c r="G93" i="3" a="1"/>
  <c r="C461" i="3" a="1"/>
  <c r="E462" i="2" a="1"/>
  <c r="I517" i="3" a="1"/>
  <c r="P409" i="3" a="1"/>
  <c r="A484" i="3" a="1"/>
  <c r="E636" i="2" a="1"/>
  <c r="G417" i="3" a="1"/>
  <c r="P439" i="3" a="1"/>
  <c r="L313" i="3" a="1"/>
  <c r="N406" i="3" a="1"/>
  <c r="K480" i="3" a="1"/>
  <c r="C141" i="2"/>
  <c r="A65" i="3" a="1"/>
  <c r="B218" i="2"/>
  <c r="P304" i="3" a="1"/>
  <c r="K48" i="3" a="1"/>
  <c r="P524" i="3" a="1"/>
  <c r="H507" i="3" a="1"/>
  <c r="E505" i="2" a="1"/>
  <c r="B105" i="3" a="1"/>
  <c r="M512" i="3" a="1"/>
  <c r="N445" i="3" a="1"/>
  <c r="A331" i="3" a="1"/>
  <c r="O5" i="3" a="1"/>
  <c r="B345" i="2"/>
  <c r="E180" i="2" a="1"/>
  <c r="C47" i="2"/>
  <c r="B475" i="3" a="1"/>
  <c r="C49" i="2"/>
  <c r="H378" i="3" a="1"/>
  <c r="K535" i="3" a="1"/>
  <c r="P205" i="3" a="1"/>
  <c r="A347" i="3" a="1"/>
  <c r="M640" i="3" a="1"/>
  <c r="F108" i="3" a="1"/>
  <c r="C590" i="2"/>
  <c r="E120" i="2" a="1"/>
  <c r="N630" i="3" a="1"/>
  <c r="A109" i="3" a="1"/>
  <c r="L70" i="3" a="1"/>
  <c r="O389" i="3" a="1"/>
  <c r="I180" i="3" a="1"/>
  <c r="B421" i="2"/>
  <c r="H48" i="3" a="1"/>
  <c r="D427" i="2"/>
  <c r="F533" i="3" a="1"/>
  <c r="H308" i="3" a="1"/>
  <c r="N267" i="3" a="1"/>
  <c r="D420" i="2"/>
  <c r="F544" i="3" a="1"/>
  <c r="G267" i="3" a="1"/>
  <c r="D199" i="2"/>
  <c r="D116" i="3" a="1"/>
  <c r="N126" i="3" a="1"/>
  <c r="O173" i="3" a="1"/>
  <c r="D285" i="3" a="1"/>
  <c r="H226" i="3" a="1"/>
  <c r="B231" i="2"/>
  <c r="I456" i="3" a="1"/>
  <c r="D428" i="2"/>
  <c r="F320" i="3" a="1"/>
  <c r="E127" i="2" a="1"/>
  <c r="L472" i="3" a="1"/>
  <c r="F348" i="3" a="1"/>
  <c r="A372" i="3" a="1"/>
  <c r="K199" i="3" a="1"/>
  <c r="B476" i="2"/>
  <c r="M315" i="3" a="1"/>
  <c r="G42" i="3" a="1"/>
  <c r="D206" i="2"/>
  <c r="L616" i="3" a="1"/>
  <c r="C566" i="3" a="1"/>
  <c r="I252" i="3" a="1"/>
  <c r="N45" i="3" a="1"/>
  <c r="M128" i="3" a="1"/>
  <c r="B124" i="3" a="1"/>
  <c r="P62" i="3" a="1"/>
  <c r="N423" i="3" a="1"/>
  <c r="A198" i="3" a="1"/>
  <c r="O208" i="3" a="1"/>
  <c r="M526" i="3" a="1"/>
  <c r="F567" i="3" a="1"/>
  <c r="B290" i="2"/>
  <c r="L402" i="3" a="1"/>
  <c r="M35" i="3" a="1"/>
  <c r="K345" i="3" a="1"/>
  <c r="H558" i="3" a="1"/>
  <c r="N301" i="3" a="1"/>
  <c r="M283" i="3" a="1"/>
  <c r="C592" i="2"/>
  <c r="H299" i="3" a="1"/>
  <c r="G117" i="3" a="1"/>
  <c r="C343" i="2"/>
  <c r="K221" i="3" a="1"/>
  <c r="O247" i="3" a="1"/>
  <c r="E415" i="2" a="1"/>
  <c r="A571" i="3" a="1"/>
  <c r="M467" i="3" a="1"/>
  <c r="O86" i="3" a="1"/>
  <c r="D622" i="2"/>
  <c r="H97" i="3" a="1"/>
  <c r="B232" i="2"/>
  <c r="D399" i="3" a="1"/>
  <c r="P41" i="3" a="1"/>
  <c r="E407" i="2" a="1"/>
  <c r="O382" i="3" a="1"/>
  <c r="O242" i="3" a="1"/>
  <c r="F302" i="3" a="1"/>
  <c r="I525" i="3" a="1"/>
  <c r="E640" i="2" a="1"/>
  <c r="I547" i="3" a="1"/>
  <c r="B562" i="2"/>
  <c r="K147" i="3" a="1"/>
  <c r="I609" i="3" a="1"/>
  <c r="O531" i="3" a="1"/>
  <c r="P294" i="3" a="1"/>
  <c r="E454" i="2" a="1"/>
  <c r="N357" i="3" a="1"/>
  <c r="M534" i="3" a="1"/>
  <c r="E178" i="2" a="1"/>
  <c r="L190" i="3" a="1"/>
  <c r="L547" i="3" a="1"/>
  <c r="O220" i="3" a="1"/>
  <c r="L524" i="3" a="1"/>
  <c r="D69" i="2"/>
  <c r="D278" i="2"/>
  <c r="E603" i="2" a="1"/>
  <c r="M202" i="3" a="1"/>
  <c r="B66" i="2"/>
  <c r="D422" i="2"/>
  <c r="P355" i="3" a="1"/>
  <c r="I487" i="3" a="1"/>
  <c r="H594" i="3" a="1"/>
  <c r="I633" i="3" a="1"/>
  <c r="C91" i="2"/>
  <c r="K305" i="3" a="1"/>
  <c r="M584" i="3" a="1"/>
  <c r="K574" i="3" a="1"/>
  <c r="F19" i="3" a="1"/>
  <c r="M476" i="3" a="1"/>
  <c r="D187" i="2"/>
  <c r="P5" i="3" a="1"/>
  <c r="I573" i="3" a="1"/>
  <c r="E465" i="2" a="1"/>
  <c r="M606" i="3" a="1"/>
  <c r="K106" i="3" a="1"/>
  <c r="I332" i="3" a="1"/>
  <c r="P288" i="3" a="1"/>
  <c r="K79" i="3" a="1"/>
  <c r="G282" i="3" a="1"/>
  <c r="A362" i="3" a="1"/>
  <c r="C491" i="3" a="1"/>
  <c r="F314" i="3" a="1"/>
  <c r="P528" i="3" a="1"/>
  <c r="P257" i="3" a="1"/>
  <c r="K189" i="3" a="1"/>
  <c r="I556" i="3" a="1"/>
  <c r="A552" i="3" a="1"/>
  <c r="F10" i="3" a="1"/>
  <c r="L28" i="3" a="1"/>
  <c r="D462" i="2"/>
  <c r="N209" i="3" a="1"/>
  <c r="F244" i="3" a="1"/>
  <c r="F94" i="3" a="1"/>
  <c r="D6" i="2"/>
  <c r="N164" i="3" a="1"/>
  <c r="N234" i="3" a="1"/>
  <c r="M32" i="3" a="1"/>
  <c r="O524" i="3" a="1"/>
  <c r="I464" i="3" a="1"/>
  <c r="O309" i="3" a="1"/>
  <c r="D15" i="2"/>
  <c r="B347" i="2"/>
  <c r="D407" i="2"/>
  <c r="M389" i="3" a="1"/>
  <c r="P526" i="3" a="1"/>
  <c r="P310" i="3" a="1"/>
  <c r="O384" i="3" a="1"/>
  <c r="O295" i="3" a="1"/>
  <c r="G17" i="3" a="1"/>
  <c r="F36" i="3" a="1"/>
  <c r="P591" i="3" a="1"/>
  <c r="P98" i="3" a="1"/>
  <c r="C344" i="2"/>
  <c r="C158" i="2"/>
  <c r="L573" i="3" a="1"/>
  <c r="I307" i="3" a="1"/>
  <c r="N366" i="3" a="1"/>
  <c r="N144" i="3" a="1"/>
  <c r="O321" i="3" a="1"/>
  <c r="B261" i="2"/>
  <c r="G401" i="3" a="1"/>
  <c r="H368" i="3" a="1"/>
  <c r="G137" i="3" a="1"/>
  <c r="N243" i="3" a="1"/>
  <c r="E350" i="2" a="1"/>
  <c r="E540" i="2" a="1"/>
  <c r="L49" i="3" a="1"/>
  <c r="O186" i="3" a="1"/>
  <c r="D156" i="2"/>
  <c r="L208" i="3" a="1"/>
  <c r="H220" i="3" a="1"/>
  <c r="B504" i="2"/>
  <c r="G604" i="3" a="1"/>
  <c r="L599" i="3" a="1"/>
  <c r="N309" i="3" a="1"/>
  <c r="D296" i="2"/>
  <c r="M539" i="3" a="1"/>
  <c r="A205" i="3" a="1"/>
  <c r="M107" i="3" a="1"/>
  <c r="D90" i="2"/>
  <c r="F2" i="3" a="1"/>
  <c r="E388" i="2" a="1"/>
  <c r="P114" i="3" a="1"/>
  <c r="G24" i="3" a="1"/>
  <c r="D461" i="2"/>
  <c r="E352" i="2" a="1"/>
  <c r="O413" i="3" a="1"/>
  <c r="G386" i="3" a="1"/>
  <c r="G203" i="3" a="1"/>
  <c r="K362" i="3" a="1"/>
  <c r="K208" i="3" a="1"/>
  <c r="O252" i="3" a="1"/>
  <c r="D500" i="2"/>
  <c r="F615" i="3" a="1"/>
  <c r="F246" i="3" a="1"/>
  <c r="C502" i="2"/>
  <c r="B46" i="2"/>
  <c r="I412" i="3" a="1"/>
  <c r="O407" i="3" a="1"/>
  <c r="E17" i="2" a="1"/>
  <c r="I208" i="3" a="1"/>
  <c r="E455" i="2" a="1"/>
  <c r="N17" i="3" a="1"/>
  <c r="C611" i="2"/>
  <c r="N501" i="3" a="1"/>
  <c r="G96" i="3" a="1"/>
  <c r="O632" i="3" a="1"/>
  <c r="E586" i="2" a="1"/>
  <c r="I226" i="3" a="1"/>
  <c r="B583" i="2"/>
  <c r="E353" i="2" a="1"/>
  <c r="K6" i="3" a="1"/>
  <c r="A509" i="3" a="1"/>
  <c r="G444" i="3" a="1"/>
  <c r="C344" i="3" a="1"/>
  <c r="P443" i="3" a="1"/>
  <c r="D491" i="2"/>
  <c r="I329" i="3" a="1"/>
  <c r="I218" i="3" a="1"/>
  <c r="H56" i="3" a="1"/>
  <c r="C408" i="2"/>
  <c r="H634" i="3" a="1"/>
  <c r="O541" i="3" a="1"/>
  <c r="O488" i="3" a="1"/>
  <c r="O10" i="3" a="1"/>
  <c r="I608" i="3" a="1"/>
  <c r="O160" i="3" a="1"/>
  <c r="B462" i="3" a="1"/>
  <c r="E617" i="2" a="1"/>
  <c r="A379" i="3" a="1"/>
  <c r="N388" i="3" a="1"/>
  <c r="C466" i="2"/>
  <c r="D236" i="2"/>
  <c r="B628" i="2"/>
  <c r="M292" i="3" a="1"/>
  <c r="E38" i="2" a="1"/>
  <c r="N186" i="3" a="1"/>
  <c r="C253" i="2"/>
  <c r="L288" i="3" a="1"/>
  <c r="H47" i="3" a="1"/>
  <c r="P454" i="3" a="1"/>
  <c r="O446" i="3" a="1"/>
  <c r="P326" i="3" a="1"/>
  <c r="L105" i="3" a="1"/>
  <c r="L540" i="3" a="1"/>
  <c r="H303" i="3" a="1"/>
  <c r="H442" i="3" a="1"/>
  <c r="H501" i="3" a="1"/>
  <c r="B56" i="2"/>
  <c r="I305" i="3" a="1"/>
  <c r="O499" i="3" a="1"/>
  <c r="O356" i="3" a="1"/>
  <c r="C387" i="2"/>
  <c r="I66" i="3" a="1"/>
  <c r="E364" i="2" a="1"/>
  <c r="A108" i="3" a="1"/>
  <c r="I548" i="3" a="1"/>
  <c r="H590" i="3" a="1"/>
  <c r="E192" i="2" a="1"/>
  <c r="D224" i="2"/>
  <c r="B122" i="2"/>
  <c r="B575" i="2"/>
  <c r="O599" i="3" a="1"/>
  <c r="I231" i="3" a="1"/>
  <c r="D621" i="2"/>
  <c r="C184" i="2"/>
  <c r="B634" i="2"/>
  <c r="K392" i="3" a="1"/>
  <c r="G56" i="3" a="1"/>
  <c r="L287" i="3" a="1"/>
  <c r="M90" i="3" a="1"/>
  <c r="O248" i="3" a="1"/>
  <c r="A255" i="3" a="1"/>
  <c r="A290" i="3" a="1"/>
  <c r="L556" i="3" a="1"/>
  <c r="E6" i="2" a="1"/>
  <c r="A419" i="3" a="1"/>
  <c r="M545" i="3" a="1"/>
  <c r="D396" i="2"/>
  <c r="I21" i="3" a="1"/>
  <c r="H597" i="3" a="1"/>
  <c r="M413" i="3" a="1"/>
  <c r="B268" i="2"/>
  <c r="M54" i="3" a="1"/>
  <c r="H614" i="3" a="1"/>
  <c r="H599" i="3" a="1"/>
  <c r="L210" i="3" a="1"/>
  <c r="E188" i="2" a="1"/>
  <c r="B333" i="2"/>
  <c r="O530" i="3" a="1"/>
  <c r="H168" i="3" a="1"/>
  <c r="M599" i="3" a="1"/>
  <c r="G27" i="3" a="1"/>
  <c r="P633" i="3" a="1"/>
  <c r="P337" i="3" a="1"/>
  <c r="B15" i="3" a="1"/>
  <c r="P35" i="3" a="1"/>
  <c r="B325" i="2"/>
  <c r="G519" i="3" a="1"/>
  <c r="N229" i="3" a="1"/>
  <c r="M152" i="3" a="1"/>
  <c r="M130" i="3" a="1"/>
  <c r="P26" i="3" a="1"/>
  <c r="N128" i="3" a="1"/>
  <c r="N252" i="3" a="1"/>
  <c r="F495" i="3" a="1"/>
  <c r="I486" i="3" a="1"/>
  <c r="O436" i="3" a="1"/>
  <c r="L57" i="3" a="1"/>
  <c r="G314" i="3" a="1"/>
  <c r="B286" i="3" a="1"/>
  <c r="I366" i="3" a="1"/>
  <c r="O506" i="3" a="1"/>
  <c r="C75" i="2"/>
  <c r="I20" i="3" a="1"/>
  <c r="K517" i="3" a="1"/>
  <c r="B256" i="2"/>
  <c r="N98" i="3" a="1"/>
  <c r="M473" i="3" a="1"/>
  <c r="O80" i="3" a="1"/>
  <c r="D529" i="3" a="1"/>
  <c r="C229" i="2"/>
  <c r="C408" i="3" a="1"/>
  <c r="G527" i="3" a="1"/>
  <c r="K239" i="3" a="1"/>
  <c r="N156" i="3" a="1"/>
  <c r="B438" i="2"/>
  <c r="D340" i="2"/>
  <c r="G122" i="3" a="1"/>
  <c r="B563" i="2"/>
  <c r="I117" i="3" a="1"/>
  <c r="P39" i="3" a="1"/>
  <c r="H519" i="3" a="1"/>
  <c r="N224" i="3" a="1"/>
  <c r="M223" i="3" a="1"/>
  <c r="F184" i="3" a="1"/>
  <c r="E93" i="2" a="1"/>
  <c r="H586" i="3" a="1"/>
  <c r="L468" i="3" a="1"/>
  <c r="I314" i="3" a="1"/>
  <c r="I595" i="3" a="1"/>
  <c r="D48" i="3" a="1"/>
  <c r="A583" i="3" a="1"/>
  <c r="K459" i="3" a="1"/>
  <c r="F338" i="3" a="1"/>
  <c r="M632" i="3" a="1"/>
  <c r="E521" i="2" a="1"/>
  <c r="H257" i="3" a="1"/>
  <c r="G169" i="3" a="1"/>
  <c r="M104" i="3" a="1"/>
  <c r="L187" i="3" a="1"/>
  <c r="F228" i="3" a="1"/>
  <c r="N302" i="3" a="1"/>
  <c r="D105" i="2"/>
  <c r="F442" i="3" a="1"/>
  <c r="E37" i="2" a="1"/>
  <c r="I421" i="3" a="1"/>
  <c r="N628" i="3" a="1"/>
  <c r="C58" i="2"/>
  <c r="A99" i="3" a="1"/>
  <c r="D613" i="2"/>
  <c r="C583" i="2"/>
  <c r="D609" i="2"/>
  <c r="P115" i="3" a="1"/>
  <c r="L485" i="3" a="1"/>
  <c r="M501" i="3" a="1"/>
  <c r="N622" i="3" a="1"/>
  <c r="A52" i="3" a="1"/>
  <c r="K380" i="3" a="1"/>
  <c r="B24" i="3" a="1"/>
  <c r="G207" i="3" a="1"/>
  <c r="M255" i="3" a="1"/>
  <c r="B283" i="2"/>
  <c r="H494" i="3" a="1"/>
  <c r="C122" i="2"/>
  <c r="C225" i="2"/>
  <c r="C213" i="2"/>
  <c r="H553" i="3" a="1"/>
  <c r="M85" i="3" a="1"/>
  <c r="L583" i="3" a="1"/>
  <c r="P479" i="3" a="1"/>
  <c r="I601" i="3" a="1"/>
  <c r="O365" i="3" a="1"/>
  <c r="M294" i="3" a="1"/>
  <c r="M266" i="3" a="1"/>
  <c r="P166" i="3" a="1"/>
  <c r="C165" i="2"/>
  <c r="L299" i="3" a="1"/>
  <c r="E360" i="2" a="1"/>
  <c r="D559" i="2"/>
  <c r="C182" i="2"/>
  <c r="C513" i="3" a="1"/>
  <c r="P471" i="3" a="1"/>
  <c r="H488" i="3" a="1"/>
  <c r="L254" i="3" a="1"/>
  <c r="K573" i="3" a="1"/>
  <c r="N350" i="3" a="1"/>
  <c r="M118" i="3" a="1"/>
  <c r="C554" i="2"/>
  <c r="N312" i="3" a="1"/>
  <c r="C220" i="2"/>
  <c r="M348" i="3" a="1"/>
  <c r="D409" i="3" a="1"/>
  <c r="M327" i="3" a="1"/>
  <c r="H566" i="3" a="1"/>
  <c r="E213" i="2" a="1"/>
  <c r="L295" i="3" a="1"/>
  <c r="O498" i="3" a="1"/>
  <c r="O305" i="3" a="1"/>
  <c r="E239" i="2" a="1"/>
  <c r="B324" i="2"/>
  <c r="E283" i="2" a="1"/>
  <c r="L68" i="3" a="1"/>
  <c r="M146" i="3" a="1"/>
  <c r="H572" i="3" a="1"/>
  <c r="K422" i="3" a="1"/>
  <c r="M331" i="3" a="1"/>
  <c r="A92" i="3" a="1"/>
  <c r="P563" i="3" a="1"/>
  <c r="D575" i="2"/>
  <c r="K194" i="3" a="1"/>
  <c r="O470" i="3" a="1"/>
  <c r="O241" i="3" a="1"/>
  <c r="L126" i="3" a="1"/>
  <c r="A158" i="3" a="1"/>
  <c r="F282" i="3" a="1"/>
  <c r="B632" i="2"/>
  <c r="E585" i="2" a="1"/>
  <c r="F499" i="3" a="1"/>
  <c r="K281" i="3" a="1"/>
  <c r="F520" i="3" a="1"/>
  <c r="M414" i="3" a="1"/>
  <c r="I321" i="3" a="1"/>
  <c r="O535" i="3" a="1"/>
  <c r="E123" i="2" a="1"/>
  <c r="E229" i="2" a="1"/>
  <c r="L451" i="3" a="1"/>
  <c r="E345" i="2" a="1"/>
  <c r="G485" i="3" a="1"/>
  <c r="N525" i="3" a="1"/>
  <c r="C203" i="3" a="1"/>
  <c r="E189" i="2" a="1"/>
  <c r="K22" i="3" a="1"/>
  <c r="O167" i="3" a="1"/>
  <c r="B250" i="2"/>
  <c r="P554" i="3" a="1"/>
  <c r="P287" i="3" a="1"/>
  <c r="C430" i="3" a="1"/>
  <c r="I566" i="3" a="1"/>
  <c r="D241" i="2"/>
  <c r="P590" i="3" a="1"/>
  <c r="C167" i="3" a="1"/>
  <c r="C510" i="2"/>
  <c r="P303" i="3" a="1"/>
  <c r="H413" i="3" a="1"/>
  <c r="A324" i="3" a="1"/>
  <c r="E621" i="2" a="1"/>
  <c r="F413" i="3" a="1"/>
  <c r="M96" i="3" a="1"/>
  <c r="I519" i="3" a="1"/>
  <c r="A469" i="3" a="1"/>
  <c r="N532" i="3" a="1"/>
  <c r="K549" i="3" a="1"/>
  <c r="F324" i="3" a="1"/>
  <c r="K21" i="3" a="1"/>
  <c r="E80" i="2" a="1"/>
  <c r="B233" i="2"/>
  <c r="N22" i="3" a="1"/>
  <c r="B127" i="2"/>
  <c r="F444" i="3" a="1"/>
  <c r="F487" i="3" a="1"/>
  <c r="O341" i="3" a="1"/>
  <c r="C415" i="2"/>
  <c r="H435" i="3" a="1"/>
  <c r="O7" i="3" a="1"/>
  <c r="K262" i="3" a="1"/>
  <c r="F616" i="3" a="1"/>
  <c r="B337" i="2"/>
  <c r="E306" i="2" a="1"/>
  <c r="F76" i="3" a="1"/>
  <c r="C450" i="2"/>
  <c r="C266" i="2"/>
  <c r="H100" i="3" a="1"/>
  <c r="D595" i="2"/>
  <c r="D443" i="2"/>
  <c r="P463" i="3" a="1"/>
  <c r="I384" i="3" a="1"/>
  <c r="O631" i="3" a="1"/>
  <c r="F415" i="3" a="1"/>
  <c r="D339" i="3" a="1"/>
  <c r="O549" i="3" a="1"/>
  <c r="M406" i="3" a="1"/>
  <c r="F562" i="3" a="1"/>
  <c r="B147" i="2"/>
  <c r="I559" i="3" a="1"/>
  <c r="C627" i="2"/>
  <c r="H217" i="3" a="1"/>
  <c r="C234" i="2"/>
  <c r="B350" i="2"/>
  <c r="L143" i="3" a="1"/>
  <c r="L388" i="3" a="1"/>
  <c r="N278" i="3" a="1"/>
  <c r="I513" i="3" a="1"/>
  <c r="D226" i="2"/>
  <c r="M144" i="3" a="1"/>
  <c r="D521" i="2"/>
  <c r="H473" i="3" a="1"/>
  <c r="I277" i="3" a="1"/>
  <c r="E374" i="2" a="1"/>
  <c r="L569" i="3" a="1"/>
  <c r="N277" i="3" a="1"/>
  <c r="P258" i="3" a="1"/>
  <c r="F335" i="3" a="1"/>
  <c r="F306" i="3" a="1"/>
  <c r="K59" i="3" a="1"/>
  <c r="C506" i="2"/>
  <c r="G306" i="3" a="1"/>
  <c r="B183" i="3" a="1"/>
  <c r="G445" i="3" a="1"/>
  <c r="E161" i="2" a="1"/>
  <c r="N393" i="3" a="1"/>
  <c r="B238" i="2"/>
  <c r="B523" i="2"/>
  <c r="E96" i="2" a="1"/>
  <c r="O614" i="3" a="1"/>
  <c r="E167" i="2" a="1"/>
  <c r="K541" i="3" a="1"/>
  <c r="A364" i="3" a="1"/>
  <c r="E526" i="2" a="1"/>
  <c r="A516" i="3" a="1"/>
  <c r="D307" i="2"/>
  <c r="C259" i="2"/>
  <c r="A240" i="3" a="1"/>
  <c r="F213" i="3" a="1"/>
  <c r="K283" i="3" a="1"/>
  <c r="M17" i="3" a="1"/>
  <c r="C591" i="2"/>
  <c r="M551" i="3" a="1"/>
  <c r="F137" i="3" a="1"/>
  <c r="I181" i="3" a="1"/>
  <c r="K445" i="3" a="1"/>
  <c r="K23" i="3" a="1"/>
  <c r="C357" i="2"/>
  <c r="F118" i="3" a="1"/>
  <c r="N507" i="3" a="1"/>
  <c r="E498" i="2" a="1"/>
  <c r="D301" i="2"/>
  <c r="E210" i="2" a="1"/>
  <c r="E335" i="2" a="1"/>
  <c r="C466" i="3" a="1"/>
  <c r="E81" i="2" a="1"/>
  <c r="K468" i="3" a="1"/>
  <c r="I328" i="3" a="1"/>
  <c r="N593" i="3" a="1"/>
  <c r="P229" i="3" a="1"/>
  <c r="D324" i="2"/>
  <c r="D580" i="3" a="1"/>
  <c r="C322" i="2"/>
  <c r="P160" i="3" a="1"/>
  <c r="C357" i="3" a="1"/>
  <c r="G237" i="3" a="1"/>
  <c r="I303" i="3" a="1"/>
  <c r="A145" i="3" a="1"/>
  <c r="G246" i="3" a="1"/>
  <c r="L574" i="3" a="1"/>
  <c r="O423" i="3" a="1"/>
  <c r="I535" i="3" a="1"/>
  <c r="I45" i="3" a="1"/>
  <c r="M403" i="3" a="1"/>
  <c r="F200" i="3" a="1"/>
  <c r="O583" i="3" a="1"/>
  <c r="F482" i="3" a="1"/>
  <c r="G355" i="3" a="1"/>
  <c r="K150" i="3" a="1"/>
  <c r="N354" i="3" a="1"/>
  <c r="K497" i="3" a="1"/>
  <c r="D453" i="2"/>
  <c r="O576" i="3" a="1"/>
  <c r="G457" i="3" a="1"/>
  <c r="C400" i="2"/>
  <c r="K371" i="3" a="1"/>
  <c r="N191" i="3" a="1"/>
  <c r="I336" i="3" a="1"/>
  <c r="H225" i="3" a="1"/>
  <c r="F279" i="3" a="1"/>
  <c r="L518" i="3" a="1"/>
  <c r="I479" i="3" a="1"/>
  <c r="A416" i="3" a="1"/>
  <c r="G391" i="3" a="1"/>
  <c r="O99" i="3" a="1"/>
  <c r="D79" i="2"/>
  <c r="K151" i="3" a="1"/>
  <c r="F95" i="3" a="1"/>
  <c r="D592" i="2"/>
  <c r="N90" i="3" a="1"/>
  <c r="B147" i="3" a="1"/>
  <c r="P391" i="3" a="1"/>
  <c r="O163" i="3" a="1"/>
  <c r="M528" i="3" a="1"/>
  <c r="L418" i="3" a="1"/>
  <c r="D115" i="2"/>
  <c r="I4" i="3" a="1"/>
  <c r="B25" i="2"/>
  <c r="F431" i="3" a="1"/>
  <c r="P17" i="3" a="1"/>
  <c r="K286" i="3" a="1"/>
  <c r="B399" i="3" a="1"/>
  <c r="B427" i="2"/>
  <c r="C186" i="2"/>
  <c r="A533" i="3" a="1"/>
  <c r="O195" i="3" a="1"/>
  <c r="F270" i="3" a="1"/>
  <c r="K341" i="3" a="1"/>
  <c r="G406" i="3" a="1"/>
  <c r="D134" i="2"/>
  <c r="L392" i="3" a="1"/>
  <c r="E626" i="2" a="1"/>
  <c r="C296" i="3" a="1"/>
  <c r="F310" i="3" a="1"/>
  <c r="D617" i="2"/>
  <c r="F93" i="3" a="1"/>
  <c r="K89" i="3" a="1"/>
  <c r="I458" i="3" a="1"/>
  <c r="A72" i="3" a="1"/>
  <c r="F461" i="3" a="1"/>
  <c r="E116" i="2" a="1"/>
  <c r="H460" i="3" a="1"/>
  <c r="O449" i="3" a="1"/>
  <c r="N157" i="3" a="1"/>
  <c r="G579" i="3" a="1"/>
  <c r="I351" i="3" a="1"/>
  <c r="H118" i="3" a="1"/>
  <c r="N602" i="3" a="1"/>
  <c r="G235" i="3" a="1"/>
  <c r="C472" i="2"/>
  <c r="H130" i="3" a="1"/>
  <c r="I34" i="3" a="1"/>
  <c r="D117" i="2"/>
  <c r="B8" i="2"/>
  <c r="H616" i="3" a="1"/>
  <c r="I375" i="3" a="1"/>
  <c r="A200" i="3" a="1"/>
  <c r="H273" i="3" a="1"/>
  <c r="L312" i="3" a="1"/>
  <c r="C302" i="2"/>
  <c r="F522" i="3" a="1"/>
  <c r="B257" i="2"/>
  <c r="E533" i="2" a="1"/>
  <c r="L393" i="3" a="1"/>
  <c r="I69" i="3" a="1"/>
  <c r="N79" i="3" a="1"/>
  <c r="K75" i="3" a="1"/>
  <c r="H194" i="3" a="1"/>
  <c r="K510" i="3" a="1"/>
  <c r="H512" i="3" a="1"/>
  <c r="A230" i="3" a="1"/>
  <c r="P33" i="3" a="1"/>
  <c r="O43" i="3" a="1"/>
  <c r="L38" i="3" a="1"/>
  <c r="P508" i="3" a="1"/>
  <c r="A202" i="3" a="1"/>
  <c r="C46" i="2"/>
  <c r="E470" i="2" a="1"/>
  <c r="B638" i="2"/>
  <c r="C342" i="2"/>
  <c r="K308" i="3" a="1"/>
  <c r="B613" i="2"/>
  <c r="B248" i="2"/>
  <c r="K267" i="3" a="1"/>
  <c r="L501" i="3" a="1"/>
  <c r="H187" i="3" a="1"/>
  <c r="B616" i="2"/>
  <c r="D96" i="2"/>
  <c r="I120" i="3" a="1"/>
  <c r="I198" i="3" a="1"/>
  <c r="I495" i="3" a="1"/>
  <c r="A546" i="3" a="1"/>
  <c r="D393" i="2"/>
  <c r="D60" i="2"/>
  <c r="A508" i="3" a="1"/>
  <c r="O388" i="3" a="1"/>
  <c r="B282" i="2"/>
  <c r="H577" i="3" a="1"/>
  <c r="B72" i="2"/>
  <c r="G185" i="3" a="1"/>
  <c r="O162" i="3" a="1"/>
  <c r="H383" i="3" a="1"/>
  <c r="I381" i="3" a="1"/>
  <c r="G22" i="3" a="1"/>
  <c r="D524" i="2"/>
  <c r="L153" i="3" a="1"/>
  <c r="D288" i="2"/>
  <c r="A471" i="3" a="1"/>
  <c r="A17" i="3" a="1"/>
  <c r="B192" i="2"/>
  <c r="K82" i="3" a="1"/>
  <c r="C279" i="2"/>
  <c r="H197" i="3" a="1"/>
  <c r="C19" i="2"/>
  <c r="D426" i="2"/>
  <c r="H181" i="3" a="1"/>
  <c r="N11" i="3" a="1"/>
  <c r="C427" i="3" a="1"/>
  <c r="G236" i="3" a="1"/>
  <c r="H96" i="3" a="1"/>
  <c r="A399" i="3" a="1"/>
  <c r="C614" i="2"/>
  <c r="D511" i="2"/>
  <c r="O553" i="3" a="1"/>
  <c r="N143" i="3" a="1"/>
  <c r="O19" i="3" a="1"/>
  <c r="I59" i="3" a="1"/>
  <c r="C104" i="2"/>
  <c r="H527" i="3" a="1"/>
  <c r="L601" i="3" a="1"/>
  <c r="B360" i="2"/>
  <c r="E321" i="2" a="1"/>
  <c r="C454" i="3" a="1"/>
  <c r="D337" i="2"/>
  <c r="F599" i="3" a="1"/>
  <c r="M238" i="3" a="1"/>
  <c r="D360" i="2"/>
  <c r="G397" i="3" a="1"/>
  <c r="K515" i="3" a="1"/>
  <c r="B543" i="3" a="1"/>
  <c r="I478" i="3" a="1"/>
  <c r="D542" i="2"/>
  <c r="F290" i="3" a="1"/>
  <c r="E40" i="2" a="1"/>
  <c r="E137" i="2" a="1"/>
  <c r="P317" i="3" a="1"/>
  <c r="G478" i="3" a="1"/>
  <c r="P410" i="3" a="1"/>
  <c r="I584" i="3" a="1"/>
  <c r="C605" i="2"/>
  <c r="A10" i="3" a="1"/>
  <c r="N321" i="3" a="1"/>
  <c r="F590" i="3" a="1"/>
  <c r="A153" i="3" a="1"/>
  <c r="A526" i="3" a="1"/>
  <c r="H306" i="3" a="1"/>
  <c r="C85" i="2"/>
  <c r="O39" i="3" a="1"/>
  <c r="E493" i="2" a="1"/>
  <c r="E355" i="2" a="1"/>
  <c r="G270" i="3" a="1"/>
  <c r="H240" i="3" a="1"/>
  <c r="C31" i="2"/>
  <c r="F117" i="3" a="1"/>
  <c r="H497" i="3" a="1"/>
  <c r="N557" i="3" a="1"/>
  <c r="O34" i="3" a="1"/>
  <c r="E622" i="2" a="1"/>
  <c r="N118" i="3" a="1"/>
  <c r="P16" i="3" a="1"/>
  <c r="H188" i="3" a="1"/>
  <c r="N620" i="3" a="1"/>
  <c r="K44" i="3" a="1"/>
  <c r="I196" i="3" a="1"/>
  <c r="K158" i="3" a="1"/>
  <c r="H321" i="3" a="1"/>
  <c r="C23" i="2"/>
  <c r="C23" i="3" s="1" a="1"/>
  <c r="G507" i="3" a="1"/>
  <c r="I276" i="3" a="1"/>
  <c r="D43" i="2"/>
  <c r="F122" i="3" a="1"/>
  <c r="B115" i="2"/>
  <c r="G23" i="3" a="1"/>
  <c r="L223" i="3" a="1"/>
  <c r="C435" i="2"/>
  <c r="C435" i="3" s="1" a="1"/>
  <c r="C94" i="2"/>
  <c r="M600" i="3" a="1"/>
  <c r="D549" i="2"/>
  <c r="A536" i="3" a="1"/>
  <c r="A46" i="3" a="1"/>
  <c r="O120" i="3" a="1"/>
  <c r="B251" i="2"/>
  <c r="E581" i="2" a="1"/>
  <c r="E253" i="2" a="1"/>
  <c r="G253" i="3" a="1"/>
  <c r="H419" i="3" a="1"/>
  <c r="N188" i="3" a="1"/>
  <c r="C90" i="2"/>
  <c r="C36" i="2"/>
  <c r="H526" i="3" a="1"/>
  <c r="A542" i="3" a="1"/>
  <c r="E122" i="2" a="1"/>
  <c r="C171" i="2"/>
  <c r="C558" i="2"/>
  <c r="B519" i="3" a="1"/>
  <c r="B525" i="2"/>
  <c r="I25" i="3" a="1"/>
  <c r="F253" i="3" a="1"/>
  <c r="M61" i="3" a="1"/>
  <c r="D546" i="2"/>
  <c r="C474" i="2"/>
  <c r="F75" i="3" a="1"/>
  <c r="D348" i="2"/>
  <c r="H227" i="3" a="1"/>
  <c r="A96" i="3" a="1"/>
  <c r="L300" i="3" a="1"/>
  <c r="D100" i="2"/>
  <c r="F230" i="3" a="1"/>
  <c r="L289" i="3" a="1"/>
  <c r="M568" i="3" a="1"/>
  <c r="O284" i="3" a="1"/>
  <c r="C262" i="2"/>
  <c r="O311" i="3" a="1"/>
  <c r="E243" i="2" a="1"/>
  <c r="I267" i="3" a="1"/>
  <c r="E135" i="2" a="1"/>
  <c r="M400" i="3" a="1"/>
  <c r="A601" i="3" a="1"/>
  <c r="F120" i="3" a="1"/>
  <c r="F182" i="3" a="1"/>
  <c r="B190" i="2"/>
  <c r="H534" i="3" a="1"/>
  <c r="F105" i="3" a="1"/>
  <c r="K296" i="3" a="1"/>
  <c r="G515" i="3" a="1"/>
  <c r="O82" i="3" a="1"/>
  <c r="P517" i="3" a="1"/>
  <c r="O196" i="3" a="1"/>
  <c r="M132" i="3" a="1"/>
  <c r="C99" i="2"/>
  <c r="C172" i="2"/>
  <c r="L23" i="3" a="1"/>
  <c r="F167" i="3" a="1"/>
  <c r="O95" i="3" a="1"/>
  <c r="M610" i="3" a="1"/>
  <c r="F82" i="3" a="1"/>
  <c r="C416" i="2"/>
  <c r="F13" i="3" a="1"/>
  <c r="L621" i="3" a="1"/>
  <c r="P423" i="3" a="1"/>
  <c r="C571" i="2"/>
  <c r="N218" i="3" a="1"/>
  <c r="F639" i="3" a="1"/>
  <c r="G524" i="3" a="1"/>
  <c r="D523" i="2"/>
  <c r="I111" i="3" a="1"/>
  <c r="B225" i="2"/>
  <c r="I541" i="3" a="1"/>
  <c r="I561" i="3" a="1"/>
  <c r="B381" i="2"/>
  <c r="E201" i="2" a="1"/>
  <c r="C616" i="2"/>
  <c r="D233" i="2"/>
  <c r="F219" i="3" a="1"/>
  <c r="K544" i="3" a="1"/>
  <c r="C166" i="2"/>
  <c r="A244" i="3" a="1"/>
  <c r="I300" i="3" a="1"/>
  <c r="I380" i="3" a="1"/>
  <c r="I554" i="3" a="1"/>
  <c r="G328" i="3" a="1"/>
  <c r="C22" i="2"/>
  <c r="A87" i="3" a="1"/>
  <c r="M39" i="3" a="1"/>
  <c r="F72" i="3" a="1"/>
  <c r="L103" i="3" a="1"/>
  <c r="M458" i="3" a="1"/>
  <c r="G621" i="3" a="1"/>
  <c r="B518" i="2"/>
  <c r="B518" i="3" s="1" a="1"/>
  <c r="A454" i="3" a="1"/>
  <c r="B426" i="2"/>
  <c r="A11" i="3" a="1"/>
  <c r="D190" i="2"/>
  <c r="I409" i="3" a="1"/>
  <c r="F337" i="3" a="1"/>
  <c r="B419" i="2"/>
  <c r="G168" i="3" a="1"/>
  <c r="P272" i="3" a="1"/>
  <c r="D286" i="2"/>
  <c r="H334" i="3" a="1"/>
  <c r="M329" i="3" a="1"/>
  <c r="M241" i="3" a="1"/>
  <c r="M521" i="3" a="1"/>
  <c r="L242" i="3" a="1"/>
  <c r="O175" i="3" a="1"/>
  <c r="P477" i="3" a="1"/>
  <c r="O538" i="3" a="1"/>
  <c r="K530" i="3" a="1"/>
  <c r="G437" i="3" a="1"/>
  <c r="I271" i="3" a="1"/>
  <c r="D371" i="2"/>
  <c r="P510" i="3" a="1"/>
  <c r="O334" i="3" a="1"/>
  <c r="K434" i="3" a="1"/>
  <c r="I450" i="3" a="1"/>
  <c r="G338" i="3" a="1"/>
  <c r="H145" i="3" a="1"/>
  <c r="D630" i="2"/>
  <c r="G156" i="3" a="1"/>
  <c r="F586" i="3" a="1"/>
  <c r="A188" i="3" a="1"/>
  <c r="I327" i="3" a="1"/>
  <c r="E143" i="2" a="1"/>
  <c r="K278" i="3" a="1"/>
  <c r="D144" i="2"/>
  <c r="G309" i="3" a="1"/>
  <c r="M55" i="3" a="1"/>
  <c r="L214" i="3" a="1"/>
  <c r="G238" i="3" a="1"/>
  <c r="L196" i="3" a="1"/>
  <c r="B332" i="2"/>
  <c r="F575" i="3" a="1"/>
  <c r="L134" i="3" a="1"/>
  <c r="G360" i="3" a="1"/>
  <c r="D289" i="2"/>
  <c r="L98" i="3" a="1"/>
  <c r="G311" i="3" a="1"/>
  <c r="I70" i="3" a="1"/>
  <c r="M398" i="3" a="1"/>
  <c r="N115" i="3" a="1"/>
  <c r="O319" i="3" a="1"/>
  <c r="H562" i="3" a="1"/>
  <c r="L171" i="3" a="1"/>
  <c r="G15" i="3" a="1"/>
  <c r="L527" i="3" a="1"/>
  <c r="L568" i="3" a="1"/>
  <c r="E50" i="2" a="1"/>
  <c r="P3" i="3" a="1"/>
  <c r="I185" i="3" a="1"/>
  <c r="L155" i="3" a="1"/>
  <c r="O409" i="3" a="1"/>
  <c r="I108" i="3" a="1"/>
  <c r="A463" i="3" a="1"/>
  <c r="F458" i="3" a="1"/>
  <c r="M623" i="3" a="1"/>
  <c r="C191" i="2"/>
  <c r="B83" i="3" a="1"/>
  <c r="H602" i="3" a="1"/>
  <c r="B410" i="2"/>
  <c r="H84" i="3" a="1"/>
  <c r="H129" i="3" a="1"/>
  <c r="D398" i="2"/>
  <c r="A181" i="3" a="1"/>
  <c r="N70" i="3" a="1"/>
  <c r="C624" i="3" a="1"/>
  <c r="O97" i="3" a="1"/>
  <c r="C197" i="2"/>
  <c r="A216" i="3" a="1"/>
  <c r="D229" i="2"/>
  <c r="F73" i="3" a="1"/>
  <c r="K551" i="3" a="1"/>
  <c r="E330" i="2" a="1"/>
  <c r="G424" i="3" a="1"/>
  <c r="F272" i="3" a="1"/>
  <c r="C477" i="2"/>
  <c r="C119" i="2"/>
  <c r="H114" i="3" a="1"/>
  <c r="D461" i="3" a="1"/>
  <c r="K475" i="3" a="1"/>
  <c r="F113" i="3" a="1"/>
  <c r="I58" i="3" a="1"/>
  <c r="M33" i="3" a="1"/>
  <c r="H400" i="3" a="1"/>
  <c r="M249" i="3" a="1"/>
  <c r="B397" i="2"/>
  <c r="H570" i="3" a="1"/>
  <c r="P318" i="3" a="1"/>
  <c r="P321" i="3" a="1"/>
  <c r="G532" i="3" a="1"/>
  <c r="G558" i="3" a="1"/>
  <c r="C11" i="2"/>
  <c r="K7" i="3" a="1"/>
  <c r="A346" i="3" a="1"/>
  <c r="A607" i="3" a="1"/>
  <c r="G192" i="3" a="1"/>
  <c r="F109" i="3" a="1"/>
  <c r="I323" i="3" a="1"/>
  <c r="C217" i="2"/>
  <c r="D550" i="2"/>
  <c r="C73" i="2"/>
  <c r="L546" i="3" a="1"/>
  <c r="E428" i="2" a="1"/>
  <c r="K268" i="3" a="1"/>
  <c r="C264" i="2"/>
  <c r="P458" i="3" a="1"/>
  <c r="O374" i="3" a="1"/>
  <c r="D416" i="2"/>
  <c r="K600" i="3" a="1"/>
  <c r="L545" i="3" a="1"/>
  <c r="B10" i="2"/>
  <c r="P388" i="3" a="1"/>
  <c r="D489" i="2"/>
  <c r="P420" i="3" a="1"/>
  <c r="D85" i="3" a="1"/>
  <c r="M100" i="3" a="1"/>
  <c r="L161" i="3" a="1"/>
  <c r="B630" i="2"/>
  <c r="A373" i="3" a="1"/>
  <c r="C286" i="2"/>
  <c r="M119" i="3" a="1"/>
  <c r="P99" i="3" a="1"/>
  <c r="C314" i="2"/>
  <c r="C334" i="2"/>
  <c r="G38" i="3" a="1"/>
  <c r="A302" i="3" a="1"/>
  <c r="C552" i="2"/>
  <c r="L45" i="3" a="1"/>
  <c r="P264" i="3" a="1"/>
  <c r="K255" i="3" a="1"/>
  <c r="L195" i="3" a="1"/>
  <c r="L529" i="3" a="1"/>
  <c r="K19" i="3" a="1"/>
  <c r="G254" i="3" a="1"/>
  <c r="L620" i="3" a="1"/>
  <c r="F555" i="3" a="1"/>
  <c r="A457" i="3" a="1"/>
  <c r="B318" i="2"/>
  <c r="O534" i="3" a="1"/>
  <c r="H163" i="3" a="1"/>
  <c r="H523" i="3" a="1"/>
  <c r="K144" i="3" a="1"/>
  <c r="A561" i="3" a="1"/>
  <c r="M464" i="3" a="1"/>
  <c r="O260" i="3" a="1"/>
  <c r="K136" i="3" a="1"/>
  <c r="P572" i="3" a="1"/>
  <c r="E51" i="2" a="1"/>
  <c r="D55" i="2"/>
  <c r="N399" i="3" a="1"/>
  <c r="B477" i="3" a="1"/>
  <c r="H529" i="3" a="1"/>
  <c r="C632" i="3" a="1"/>
  <c r="G582" i="3" a="1"/>
  <c r="M125" i="3" a="1"/>
  <c r="H17" i="3" a="1"/>
  <c r="B29" i="2"/>
  <c r="K70" i="3" a="1"/>
  <c r="H66" i="3" a="1"/>
  <c r="K312" i="3" a="1"/>
  <c r="P86" i="3" a="1"/>
  <c r="I520" i="3" a="1"/>
  <c r="L381" i="3" a="1"/>
  <c r="M213" i="3" a="1"/>
  <c r="D238" i="2"/>
  <c r="M141" i="3" a="1"/>
  <c r="A12" i="3" a="1"/>
  <c r="O13" i="3" a="1"/>
  <c r="C488" i="2"/>
  <c r="F88" i="3" a="1"/>
  <c r="I475" i="3" a="1"/>
  <c r="G468" i="3" a="1"/>
  <c r="M74" i="3" a="1"/>
  <c r="H153" i="3" a="1"/>
  <c r="E23" i="2" a="1"/>
  <c r="B419" i="3" a="1"/>
  <c r="K241" i="3" a="1"/>
  <c r="P139" i="3" a="1"/>
  <c r="I624" i="3" a="1"/>
  <c r="A280" i="3" a="1"/>
  <c r="A173" i="3" a="1"/>
  <c r="I454" i="3" a="1"/>
  <c r="P178" i="3" a="1"/>
  <c r="O422" i="3" a="1"/>
  <c r="M365" i="3" a="1"/>
  <c r="M122" i="3" a="1"/>
  <c r="C484" i="2"/>
  <c r="C142" i="2"/>
  <c r="E42" i="2" a="1"/>
  <c r="G305" i="3" a="1"/>
  <c r="D81" i="2"/>
  <c r="N604" i="3" a="1"/>
  <c r="M556" i="3" a="1"/>
  <c r="L217" i="3" a="1"/>
  <c r="N367" i="3" a="1"/>
  <c r="B545" i="2"/>
  <c r="B545" i="3" s="1" a="1"/>
  <c r="C193" i="2"/>
  <c r="D101" i="2"/>
  <c r="G617" i="3" a="1"/>
  <c r="F563" i="3" a="1"/>
  <c r="A18" i="3" a="1"/>
  <c r="D382" i="2"/>
  <c r="O235" i="3" a="1"/>
  <c r="B368" i="2"/>
  <c r="N430" i="3" a="1"/>
  <c r="E181" i="2" a="1"/>
  <c r="A566" i="3" a="1"/>
  <c r="O232" i="3" a="1"/>
  <c r="P225" i="3" a="1"/>
  <c r="I167" i="3" a="1"/>
  <c r="B68" i="2"/>
  <c r="B17" i="2"/>
  <c r="K115" i="3" a="1"/>
  <c r="P621" i="3" a="1"/>
  <c r="A304" i="3" a="1"/>
  <c r="O342" i="3" a="1"/>
  <c r="A217" i="3" a="1"/>
  <c r="C411" i="2"/>
  <c r="K327" i="3" a="1"/>
  <c r="L514" i="3" a="1"/>
  <c r="I312" i="3" a="1"/>
  <c r="B620" i="2"/>
  <c r="H588" i="3" a="1"/>
  <c r="L263" i="3" a="1"/>
  <c r="D84" i="2"/>
  <c r="O493" i="3" a="1"/>
  <c r="G36" i="3" a="1"/>
  <c r="G427" i="3" a="1"/>
  <c r="G307" i="3" a="1"/>
  <c r="C349" i="2"/>
  <c r="K132" i="3" a="1"/>
  <c r="B336" i="2"/>
  <c r="I605" i="3" a="1"/>
  <c r="B208" i="2"/>
  <c r="O71" i="3" a="1"/>
  <c r="C283" i="2"/>
  <c r="H320" i="3" a="1"/>
  <c r="O580" i="3" a="1"/>
  <c r="N466" i="3" a="1"/>
  <c r="K425" i="3" a="1"/>
  <c r="A496" i="3" a="1"/>
  <c r="M345" i="3" a="1"/>
  <c r="H179" i="3" a="1"/>
  <c r="H221" i="3" a="1"/>
  <c r="P557" i="3" a="1"/>
  <c r="A157" i="3" a="1"/>
  <c r="L632" i="3" a="1"/>
  <c r="A228" i="3" a="1"/>
  <c r="L349" i="3" a="1"/>
  <c r="A90" i="3" a="1"/>
  <c r="G21" i="3" a="1"/>
  <c r="F528" i="3" a="1"/>
  <c r="C25" i="2"/>
  <c r="C25" i="3" s="1" a="1"/>
  <c r="D497" i="2"/>
  <c r="A530" i="3" a="1"/>
  <c r="O35" i="3" a="1"/>
  <c r="I51" i="3" a="1"/>
  <c r="P218" i="3" a="1"/>
  <c r="L431" i="3" a="1"/>
  <c r="E118" i="2" a="1"/>
  <c r="H496" i="3" a="1"/>
  <c r="P385" i="3" a="1"/>
  <c r="N15" i="3" a="1"/>
  <c r="M300" i="3" a="1"/>
  <c r="E453" i="2" a="1"/>
  <c r="O255" i="3" a="1"/>
  <c r="L64" i="3" a="1"/>
  <c r="M142" i="3" a="1"/>
  <c r="M422" i="3" a="1"/>
  <c r="D491" i="3" a="1"/>
  <c r="M101" i="3" a="1"/>
  <c r="O265" i="3" a="1"/>
  <c r="I424" i="3" a="1"/>
  <c r="M631" i="3" a="1"/>
  <c r="D74" i="3" a="1"/>
  <c r="M197" i="3" a="1"/>
  <c r="A311" i="3" a="1"/>
  <c r="E620" i="2" a="1"/>
  <c r="N588" i="3" a="1"/>
  <c r="M593" i="3" a="1"/>
  <c r="H455" i="3" a="1"/>
  <c r="I580" i="3" a="1"/>
  <c r="G512" i="3" a="1"/>
  <c r="M421" i="3" a="1"/>
  <c r="B38" i="2"/>
  <c r="L368" i="3" a="1"/>
  <c r="B558" i="2"/>
  <c r="M616" i="3" a="1"/>
  <c r="P573" i="3" a="1"/>
  <c r="B541" i="2"/>
  <c r="B194" i="3" a="1"/>
  <c r="E320" i="2" a="1"/>
  <c r="D219" i="2"/>
  <c r="F600" i="3" a="1"/>
  <c r="O159" i="3" a="1"/>
  <c r="I414" i="3" a="1"/>
  <c r="G16" i="3" a="1"/>
  <c r="F374" i="3" a="1"/>
  <c r="K383" i="3" a="1"/>
  <c r="N435" i="3" a="1"/>
  <c r="K230" i="3" a="1"/>
  <c r="C63" i="2"/>
  <c r="O317" i="3" a="1"/>
  <c r="K629" i="3" a="1"/>
  <c r="B620" i="3" a="1"/>
  <c r="D332" i="2"/>
  <c r="O400" i="3" a="1"/>
  <c r="M619" i="3" a="1"/>
  <c r="P4" i="3" a="1"/>
  <c r="G367" i="3" a="1"/>
  <c r="M479" i="3" a="1"/>
  <c r="G294" i="3" a="1"/>
  <c r="D358" i="2"/>
  <c r="H557" i="3" a="1"/>
  <c r="C575" i="2"/>
  <c r="G451" i="3" a="1"/>
  <c r="E380" i="2" a="1"/>
  <c r="K316" i="3" a="1"/>
  <c r="N601" i="3" a="1"/>
  <c r="A313" i="3" a="1"/>
  <c r="D101" i="3" a="1"/>
  <c r="K495" i="3" a="1"/>
  <c r="H169" i="3" a="1"/>
  <c r="D88" i="2"/>
  <c r="P302" i="3" a="1"/>
  <c r="E240" i="2" a="1"/>
  <c r="M165" i="3" a="1"/>
  <c r="O276" i="3" a="1"/>
  <c r="D338" i="2"/>
  <c r="H584" i="3" a="1"/>
  <c r="I193" i="3" a="1"/>
  <c r="E168" i="2" a="1"/>
  <c r="B204" i="2"/>
  <c r="H245" i="3" a="1"/>
  <c r="B179" i="2"/>
  <c r="D387" i="3" a="1"/>
  <c r="P527" i="3" a="1"/>
  <c r="K123" i="3" a="1"/>
  <c r="M463" i="3" a="1"/>
  <c r="L4" i="3" a="1"/>
  <c r="M212" i="3" a="1"/>
  <c r="K401" i="3" a="1"/>
  <c r="O613" i="3" a="1"/>
  <c r="H134" i="3" a="1"/>
  <c r="B411" i="2"/>
  <c r="B503" i="2"/>
  <c r="O434" i="3" a="1"/>
  <c r="E610" i="2" a="1"/>
  <c r="O156" i="3" a="1"/>
  <c r="E170" i="2" a="1"/>
  <c r="C481" i="3" a="1"/>
  <c r="H165" i="3" a="1"/>
  <c r="B13" i="2"/>
  <c r="G40" i="3" a="1"/>
  <c r="H176" i="3" a="1"/>
  <c r="H362" i="3" a="1"/>
  <c r="C128" i="2"/>
  <c r="F511" i="3" a="1"/>
  <c r="L507" i="3" a="1"/>
  <c r="F529" i="3" a="1"/>
  <c r="N621" i="3" a="1"/>
  <c r="G349" i="3" a="1"/>
  <c r="O269" i="3" a="1"/>
  <c r="L458" i="3" a="1"/>
  <c r="M199" i="3" a="1"/>
  <c r="K246" i="3" a="1"/>
  <c r="O471" i="3" a="1"/>
  <c r="G106" i="3" a="1"/>
  <c r="L614" i="3" a="1"/>
  <c r="L149" i="3" a="1"/>
  <c r="L436" i="3" a="1"/>
  <c r="L112" i="3" a="1"/>
  <c r="K270" i="3" a="1"/>
  <c r="D3" i="3" a="1"/>
  <c r="N155" i="3" a="1"/>
  <c r="H317" i="3" a="1"/>
  <c r="F102" i="3" a="1"/>
  <c r="P309" i="3" a="1"/>
  <c r="N610" i="3" a="1"/>
  <c r="B565" i="2"/>
  <c r="D197" i="2"/>
  <c r="O515" i="3" a="1"/>
  <c r="C638" i="2"/>
  <c r="D430" i="3" a="1"/>
  <c r="H307" i="3" a="1"/>
  <c r="K14" i="3" a="1"/>
  <c r="P325" i="3" a="1"/>
  <c r="L369" i="3" a="1"/>
  <c r="B389" i="2"/>
  <c r="K384" i="3" a="1"/>
  <c r="O607" i="3" a="1"/>
  <c r="O536" i="3" a="1"/>
  <c r="I437" i="3" a="1"/>
  <c r="D433" i="2"/>
  <c r="P130" i="3" a="1"/>
  <c r="B131" i="2"/>
  <c r="D616" i="2"/>
  <c r="C180" i="3" a="1"/>
  <c r="G102" i="3" a="1"/>
  <c r="H504" i="3" a="1"/>
  <c r="M603" i="3" a="1"/>
  <c r="O302" i="3" a="1"/>
  <c r="G268" i="3" a="1"/>
  <c r="A437" i="3" a="1"/>
  <c r="N562" i="3" a="1"/>
  <c r="K116" i="3" a="1"/>
  <c r="G152" i="3" a="1"/>
  <c r="P425" i="3" a="1"/>
  <c r="M30" i="3" a="1"/>
  <c r="M277" i="3" a="1"/>
  <c r="C30" i="2"/>
  <c r="F311" i="3" a="1"/>
  <c r="K181" i="3" a="1"/>
  <c r="N372" i="3" a="1"/>
  <c r="A599" i="3" a="1"/>
  <c r="G538" i="3" a="1"/>
  <c r="M347" i="3" a="1"/>
  <c r="L467" i="3" a="1"/>
  <c r="C274" i="2"/>
  <c r="E566" i="2" a="1"/>
  <c r="H279" i="3" a="1"/>
  <c r="G548" i="3" a="1"/>
  <c r="C618" i="2"/>
  <c r="N210" i="3" a="1"/>
  <c r="L199" i="3" a="1"/>
  <c r="P283" i="3" a="1"/>
  <c r="K280" i="3" a="1"/>
  <c r="A59" i="3" a="1"/>
  <c r="F155" i="3" a="1"/>
  <c r="C37" i="2"/>
  <c r="P57" i="3" a="1"/>
  <c r="K525" i="3" a="1"/>
  <c r="I597" i="3" a="1"/>
  <c r="E592" i="2" a="1"/>
  <c r="P522" i="3" a="1"/>
  <c r="D563" i="2"/>
  <c r="L15" i="3" a="1"/>
  <c r="P209" i="3" a="1"/>
  <c r="G546" i="3" a="1"/>
  <c r="B634" i="3" a="1"/>
  <c r="O201" i="3" a="1"/>
  <c r="L602" i="3" a="1"/>
  <c r="B614" i="2"/>
  <c r="N587" i="3" a="1"/>
  <c r="I239" i="3" a="1"/>
  <c r="M369" i="3" a="1"/>
  <c r="G225" i="3" a="1"/>
  <c r="M418" i="3" a="1"/>
  <c r="P622" i="3" a="1"/>
  <c r="L478" i="3" a="1"/>
  <c r="M591" i="3" a="1"/>
  <c r="P235" i="3" a="1"/>
  <c r="C39" i="2"/>
  <c r="L421" i="3" a="1"/>
  <c r="K399" i="3" a="1"/>
  <c r="D95" i="2"/>
  <c r="I106" i="3" a="1"/>
  <c r="I102" i="3" a="1"/>
  <c r="D436" i="2"/>
  <c r="B479" i="2"/>
  <c r="M453" i="3" a="1"/>
  <c r="L34" i="3" a="1"/>
  <c r="H502" i="3" a="1"/>
  <c r="H350" i="3" a="1"/>
  <c r="H234" i="3" a="1"/>
  <c r="N459" i="3" a="1"/>
  <c r="B92" i="2"/>
  <c r="M404" i="3" a="1"/>
  <c r="G450" i="3" a="1"/>
  <c r="D309" i="3" a="1"/>
  <c r="C569" i="2"/>
  <c r="M220" i="3" a="1"/>
  <c r="N32" i="3" a="1"/>
  <c r="G198" i="3" a="1"/>
  <c r="F3" i="3" a="1"/>
  <c r="C390" i="2"/>
  <c r="B404" i="2"/>
  <c r="E467" i="2" a="1"/>
  <c r="C299" i="2"/>
  <c r="L405" i="3" a="1"/>
  <c r="K640" i="3" a="1"/>
  <c r="M393" i="3" a="1"/>
  <c r="O47" i="3" a="1"/>
  <c r="C376" i="2"/>
  <c r="C376" i="3" s="1" a="1"/>
  <c r="E378" i="2" a="1"/>
  <c r="M267" i="3" a="1"/>
  <c r="G608" i="3" a="1"/>
  <c r="M76" i="3" a="1"/>
  <c r="P109" i="3" a="1"/>
  <c r="B191" i="2"/>
  <c r="B191" i="3" s="1" a="1"/>
  <c r="O468" i="3" a="1"/>
  <c r="A306" i="3" a="1"/>
  <c r="G488" i="3" a="1"/>
  <c r="A589" i="3" a="1"/>
  <c r="B135" i="2"/>
  <c r="E58" i="2" a="1"/>
  <c r="L241" i="3" a="1"/>
  <c r="G325" i="3" a="1"/>
  <c r="O380" i="3" a="1"/>
  <c r="O450" i="3" a="1"/>
  <c r="C265" i="2"/>
  <c r="I452" i="3" a="1"/>
  <c r="P547" i="3" a="1"/>
  <c r="C306" i="2"/>
  <c r="A410" i="3" a="1"/>
  <c r="A352" i="3" a="1"/>
  <c r="N106" i="3" a="1"/>
  <c r="M73" i="3" a="1"/>
  <c r="G258" i="3" a="1"/>
  <c r="B237" i="2"/>
  <c r="F17" i="3" a="1"/>
  <c r="K90" i="3" a="1"/>
  <c r="F589" i="3" a="1"/>
  <c r="B228" i="2"/>
  <c r="B273" i="2"/>
  <c r="P607" i="3" a="1"/>
  <c r="O551" i="3" a="1"/>
  <c r="G95" i="3" a="1"/>
  <c r="O8" i="3" a="1"/>
  <c r="C178" i="2"/>
  <c r="O378" i="3" a="1"/>
  <c r="H595" i="3" a="1"/>
  <c r="N523" i="3" a="1"/>
  <c r="N578" i="3" a="1"/>
  <c r="H52" i="3" a="1"/>
  <c r="K528" i="3" a="1"/>
  <c r="B280" i="2"/>
  <c r="P342" i="3" a="1"/>
  <c r="M445" i="3" a="1"/>
  <c r="D8" i="2"/>
  <c r="M437" i="3" a="1"/>
  <c r="C586" i="3" a="1"/>
  <c r="F341" i="3" a="1"/>
  <c r="D188" i="2"/>
  <c r="D397" i="2"/>
  <c r="D295" i="2"/>
  <c r="A254" i="3" a="1"/>
  <c r="D543" i="2"/>
  <c r="M110" i="3" a="1"/>
  <c r="I637" i="3" a="1"/>
  <c r="G29" i="3" a="1"/>
  <c r="A197" i="3" a="1"/>
  <c r="M592" i="3" a="1"/>
  <c r="P177" i="3" a="1"/>
  <c r="I570" i="3" a="1"/>
  <c r="C505" i="2"/>
  <c r="C505" i="3" s="1" a="1"/>
  <c r="I169" i="3" a="1"/>
  <c r="B94" i="2"/>
  <c r="I148" i="3" a="1"/>
  <c r="F549" i="3" a="1"/>
  <c r="O113" i="3" a="1"/>
  <c r="K466" i="3" a="1"/>
  <c r="B528" i="2"/>
  <c r="A500" i="3" a="1"/>
  <c r="F52" i="3" a="1"/>
  <c r="K613" i="3" a="1"/>
  <c r="C281" i="2"/>
  <c r="K583" i="3" a="1"/>
  <c r="C257" i="2"/>
  <c r="P87" i="3" a="1"/>
  <c r="G105" i="3" a="1"/>
  <c r="P483" i="3" a="1"/>
  <c r="G251" i="3" a="1"/>
  <c r="D601" i="2"/>
  <c r="O206" i="3" a="1"/>
  <c r="K523" i="3" a="1"/>
  <c r="G576" i="3" a="1"/>
  <c r="H371" i="3" a="1"/>
  <c r="O288" i="3" a="1"/>
  <c r="B163" i="2"/>
  <c r="P127" i="3" a="1"/>
  <c r="N80" i="3" a="1"/>
  <c r="H564" i="3" a="1"/>
  <c r="G585" i="3" a="1"/>
  <c r="B119" i="2"/>
  <c r="K11" i="3" a="1"/>
  <c r="O322" i="3" a="1"/>
  <c r="L498" i="3" a="1"/>
  <c r="D602" i="2"/>
  <c r="L124" i="3" a="1"/>
  <c r="N355" i="3" a="1"/>
  <c r="F241" i="3" a="1"/>
  <c r="P319" i="3" a="1"/>
  <c r="D92" i="2"/>
  <c r="B444" i="2"/>
  <c r="B444" i="3" s="1" a="1"/>
  <c r="D445" i="2"/>
  <c r="N498" i="3" a="1"/>
  <c r="C57" i="2"/>
  <c r="C639" i="2"/>
  <c r="F618" i="3" a="1"/>
  <c r="F194" i="3" a="1"/>
  <c r="A468" i="3" a="1"/>
  <c r="N495" i="3" a="1"/>
  <c r="O182" i="3" a="1"/>
  <c r="O509" i="3" a="1"/>
  <c r="A112" i="3" a="1"/>
  <c r="H87" i="3" a="1"/>
  <c r="E579" i="2" a="1"/>
  <c r="D279" i="2"/>
  <c r="L373" i="3" a="1"/>
  <c r="K140" i="3" a="1"/>
  <c r="K435" i="3" a="1"/>
  <c r="G404" i="3" a="1"/>
  <c r="B532" i="2"/>
  <c r="B532" i="3" s="1" a="1"/>
  <c r="G502" i="3" a="1"/>
  <c r="O572" i="3" a="1"/>
  <c r="M299" i="3" a="1"/>
  <c r="O51" i="3" a="1"/>
  <c r="L635" i="3" a="1"/>
  <c r="K529" i="3" a="1"/>
  <c r="O383" i="3" a="1"/>
  <c r="C324" i="2"/>
  <c r="K234" i="3" a="1"/>
  <c r="K49" i="3" a="1"/>
  <c r="L610" i="3" a="1"/>
  <c r="F594" i="3" a="1"/>
  <c r="L626" i="3" a="1"/>
  <c r="A476" i="3" a="1"/>
  <c r="B457" i="2"/>
  <c r="B639" i="2"/>
  <c r="L137" i="3" a="1"/>
  <c r="N640" i="3" a="1"/>
  <c r="H408" i="3" a="1"/>
  <c r="F26" i="3" a="1"/>
  <c r="M260" i="3" a="1"/>
  <c r="H159" i="3" a="1"/>
  <c r="L205" i="3" a="1"/>
  <c r="N447" i="3" a="1"/>
  <c r="D451" i="2"/>
  <c r="H38" i="3" a="1"/>
  <c r="B287" i="2"/>
  <c r="B287" i="3" s="1" a="1"/>
  <c r="M377" i="3" a="1"/>
  <c r="C27" i="2"/>
  <c r="B497" i="2"/>
  <c r="I229" i="3" a="1"/>
  <c r="O67" i="3" a="1"/>
  <c r="B588" i="2"/>
  <c r="M44" i="3" a="1"/>
  <c r="M325" i="3" a="1"/>
  <c r="I302" i="3" a="1"/>
  <c r="N363" i="3" a="1"/>
  <c r="B491" i="2"/>
  <c r="B151" i="2"/>
  <c r="B151" i="3" s="1" a="1"/>
  <c r="F322" i="3" a="1"/>
  <c r="H354" i="3" a="1"/>
  <c r="B616" i="3" a="1"/>
  <c r="L248" i="3" a="1"/>
  <c r="D29" i="2"/>
  <c r="I223" i="3" a="1"/>
  <c r="H366" i="3" a="1"/>
  <c r="B512" i="2"/>
  <c r="G34" i="3" a="1"/>
  <c r="C170" i="2"/>
  <c r="G74" i="3" a="1"/>
  <c r="K543" i="3" a="1"/>
  <c r="L213" i="3" a="1"/>
  <c r="M321" i="3" a="1"/>
  <c r="D30" i="3" a="1"/>
  <c r="C633" i="2"/>
  <c r="E429" i="2" a="1"/>
  <c r="K186" i="3" a="1"/>
  <c r="N387" i="3" a="1"/>
  <c r="C457" i="2"/>
  <c r="M355" i="3" a="1"/>
  <c r="G365" i="3" a="1"/>
  <c r="F91" i="3" a="1"/>
  <c r="O597" i="3" a="1"/>
  <c r="K57" i="3" a="1"/>
  <c r="L618" i="3" a="1"/>
  <c r="G319" i="3" a="1"/>
  <c r="I73" i="3" a="1"/>
  <c r="I125" i="3" a="1"/>
  <c r="I509" i="3" a="1"/>
  <c r="H520" i="3" a="1"/>
  <c r="D286" i="3" a="1"/>
  <c r="H99" i="3" a="1"/>
  <c r="P263" i="3" a="1"/>
  <c r="B392" i="2"/>
  <c r="H426" i="3" a="1"/>
  <c r="L350" i="3" a="1"/>
  <c r="M114" i="3" a="1"/>
  <c r="F623" i="3" a="1"/>
  <c r="M136" i="3" a="1"/>
  <c r="C564" i="3" a="1"/>
  <c r="K499" i="3" a="1"/>
  <c r="H70" i="3" a="1"/>
  <c r="D250" i="3" a="1"/>
  <c r="L169" i="3" a="1"/>
  <c r="N468" i="3" a="1"/>
  <c r="B625" i="2"/>
  <c r="H415" i="3" a="1"/>
  <c r="N552" i="3" a="1"/>
  <c r="B631" i="3" a="1"/>
  <c r="G601" i="3" a="1"/>
  <c r="I369" i="3" a="1"/>
  <c r="L230" i="3" a="1"/>
  <c r="C578" i="2"/>
  <c r="C235" i="2"/>
  <c r="M351" i="3" a="1"/>
  <c r="A385" i="3" a="1"/>
  <c r="D27" i="2"/>
  <c r="M498" i="3" a="1"/>
  <c r="N54" i="3" a="1"/>
  <c r="O442" i="3" a="1"/>
  <c r="E261" i="2" a="1"/>
  <c r="K55" i="3" a="1"/>
  <c r="H61" i="3" a="1"/>
  <c r="D186" i="2"/>
  <c r="O447" i="3" a="1"/>
  <c r="C284" i="2"/>
  <c r="K504" i="3" a="1"/>
  <c r="G632" i="3" a="1"/>
  <c r="O107" i="3" a="1"/>
  <c r="L326" i="3" a="1"/>
  <c r="C156" i="2"/>
  <c r="A66" i="3" a="1"/>
  <c r="K195" i="3" a="1"/>
  <c r="P541" i="3" a="1"/>
  <c r="F183" i="3" a="1"/>
  <c r="K387" i="3" a="1"/>
  <c r="O452" i="3" a="1"/>
  <c r="K133" i="3" a="1"/>
  <c r="B187" i="3" a="1"/>
  <c r="B80" i="2"/>
  <c r="I155" i="3" a="1"/>
  <c r="O103" i="3" a="1"/>
  <c r="G537" i="3" a="1"/>
  <c r="F402" i="3" a="1"/>
  <c r="E416" i="2" a="1"/>
  <c r="B316" i="2"/>
  <c r="M364" i="3" a="1"/>
  <c r="K145" i="3" a="1"/>
  <c r="F574" i="3" a="1"/>
  <c r="D166" i="2"/>
  <c r="P401" i="3" a="1"/>
  <c r="M525" i="3" a="1"/>
  <c r="N320" i="3" a="1"/>
  <c r="D496" i="2"/>
  <c r="A610" i="3" a="1"/>
  <c r="K330" i="3" a="1"/>
  <c r="L56" i="3" a="1"/>
  <c r="A335" i="3" a="1"/>
  <c r="L324" i="3" a="1"/>
  <c r="K10" i="3" a="1"/>
  <c r="E359" i="2" a="1"/>
  <c r="A375" i="3" a="1"/>
  <c r="L113" i="3" a="1"/>
  <c r="N345" i="3" a="1"/>
  <c r="P596" i="3" a="1"/>
  <c r="H42" i="3" a="1"/>
  <c r="C240" i="2"/>
  <c r="E91" i="2" a="1"/>
  <c r="E231" i="2" a="1"/>
  <c r="L11" i="3" a="1"/>
  <c r="P85" i="3" a="1"/>
  <c r="M614" i="3" a="1"/>
  <c r="L355" i="3" a="1"/>
  <c r="L258" i="3" a="1"/>
  <c r="I346" i="3" a="1"/>
  <c r="D254" i="2"/>
  <c r="E224" i="2" a="1"/>
  <c r="N467" i="3" a="1"/>
  <c r="F535" i="3" a="1"/>
  <c r="F303" i="3" a="1"/>
  <c r="K592" i="3" a="1"/>
  <c r="K87" i="3" a="1"/>
  <c r="N297" i="3" a="1"/>
  <c r="H73" i="3" a="1"/>
  <c r="G257" i="3" a="1"/>
  <c r="F365" i="3" a="1"/>
  <c r="M367" i="3" a="1"/>
  <c r="M273" i="3" a="1"/>
  <c r="H386" i="3" a="1"/>
  <c r="I558" i="3" a="1"/>
  <c r="N57" i="3" a="1"/>
  <c r="H404" i="3" a="1"/>
  <c r="M285" i="3" a="1"/>
  <c r="H81" i="3" a="1"/>
  <c r="O189" i="3" a="1"/>
  <c r="M317" i="3" a="1"/>
  <c r="A622" i="3" a="1"/>
  <c r="N171" i="3" a="1"/>
  <c r="O489" i="3" a="1"/>
  <c r="I443" i="3" a="1"/>
  <c r="B61" i="2"/>
  <c r="F406" i="3" a="1"/>
  <c r="L508" i="3" a="1"/>
  <c r="B534" i="2"/>
  <c r="E410" i="2" a="1"/>
  <c r="I146" i="3" a="1"/>
  <c r="D5" i="2"/>
  <c r="B128" i="2"/>
  <c r="C138" i="2"/>
  <c r="C138" i="3" s="1" a="1"/>
  <c r="L270" i="3" a="1"/>
  <c r="O510" i="3" a="1"/>
  <c r="B609" i="2"/>
  <c r="H462" i="3" a="1"/>
  <c r="P363" i="3" a="1"/>
  <c r="L275" i="3" a="1"/>
  <c r="K298" i="3" a="1"/>
  <c r="B48" i="2"/>
  <c r="B48" i="3" s="1" a="1"/>
  <c r="D176" i="2"/>
  <c r="G60" i="3" a="1"/>
  <c r="P237" i="3" a="1"/>
  <c r="B291" i="2"/>
  <c r="D120" i="2"/>
  <c r="H416" i="3" a="1"/>
  <c r="C524" i="2"/>
  <c r="A412" i="3" a="1"/>
  <c r="L370" i="3" a="1"/>
  <c r="L356" i="3" a="1"/>
  <c r="L482" i="3" a="1"/>
  <c r="F71" i="3" a="1"/>
  <c r="N40" i="3" a="1"/>
  <c r="D154" i="2"/>
  <c r="D557" i="2"/>
  <c r="I184" i="3" a="1"/>
  <c r="O345" i="3" a="1"/>
  <c r="K409" i="3" a="1"/>
  <c r="D63" i="2"/>
  <c r="G284" i="3" a="1"/>
  <c r="O596" i="3" a="1"/>
  <c r="G467" i="3" a="1"/>
  <c r="D514" i="2"/>
  <c r="I293" i="3" a="1"/>
  <c r="E289" i="2" a="1"/>
  <c r="P448" i="3" a="1"/>
  <c r="O144" i="3" a="1"/>
  <c r="A598" i="3" a="1"/>
  <c r="P408" i="3" a="1"/>
  <c r="C87" i="2"/>
  <c r="K117" i="3" a="1"/>
  <c r="P93" i="3" a="1"/>
  <c r="F124" i="3" a="1"/>
  <c r="D147" i="2"/>
  <c r="D513" i="2"/>
  <c r="A485" i="3" a="1"/>
  <c r="D97" i="2"/>
  <c r="B617" i="2"/>
  <c r="D165" i="2"/>
  <c r="A218" i="3" a="1"/>
  <c r="G346" i="3" a="1"/>
  <c r="B579" i="2"/>
  <c r="P626" i="3" a="1"/>
  <c r="B148" i="2"/>
  <c r="B148" i="3" s="1" a="1"/>
  <c r="P224" i="3" a="1"/>
  <c r="B133" i="2"/>
  <c r="D141" i="3" a="1"/>
  <c r="M306" i="3" a="1"/>
  <c r="D65" i="2"/>
  <c r="E542" i="2" a="1"/>
  <c r="H632" i="3" a="1"/>
  <c r="B436" i="2"/>
  <c r="B436" i="3" s="1" a="1"/>
  <c r="I417" i="3" a="1"/>
  <c r="G108" i="3" a="1"/>
  <c r="A539" i="3" a="1"/>
  <c r="C635" i="2"/>
  <c r="D421" i="2"/>
  <c r="I459" i="3" a="1"/>
  <c r="C82" i="2"/>
  <c r="B506" i="2"/>
  <c r="F233" i="3" a="1"/>
  <c r="G266" i="3" a="1"/>
  <c r="C189" i="2"/>
  <c r="O505" i="3" a="1"/>
  <c r="L537" i="3" a="1"/>
  <c r="B623" i="2"/>
  <c r="P298" i="3" a="1"/>
  <c r="I615" i="3" a="1"/>
  <c r="D232" i="2"/>
  <c r="D512" i="2"/>
  <c r="N24" i="3" a="1"/>
  <c r="D447" i="2"/>
  <c r="M589" i="3" a="1"/>
  <c r="D459" i="2"/>
  <c r="G584" i="3" a="1"/>
  <c r="B502" i="2"/>
  <c r="A328" i="3" a="1"/>
  <c r="N546" i="3" a="1"/>
  <c r="I32" i="3" a="1"/>
  <c r="K405" i="3" a="1"/>
  <c r="A421" i="3" a="1"/>
  <c r="C134" i="3" a="1"/>
  <c r="C205" i="2"/>
  <c r="N147" i="3" a="1"/>
  <c r="P278" i="3" a="1"/>
  <c r="H353" i="3" a="1"/>
  <c r="F389" i="3" a="1"/>
  <c r="F550" i="3" a="1"/>
  <c r="A575" i="3" a="1"/>
  <c r="E344" i="2" a="1"/>
  <c r="B206" i="2"/>
  <c r="G259" i="3" a="1"/>
  <c r="L131" i="3" a="1"/>
  <c r="B594" i="2"/>
  <c r="C368" i="2"/>
  <c r="C196" i="2"/>
  <c r="C429" i="2"/>
  <c r="M307" i="3" a="1"/>
  <c r="E473" i="2" a="1"/>
  <c r="C125" i="3" a="1"/>
  <c r="L159" i="3" a="1"/>
  <c r="D157" i="2"/>
  <c r="E263" i="2" a="1"/>
  <c r="P470" i="3" a="1"/>
  <c r="H162" i="3" a="1"/>
  <c r="G161" i="3" a="1"/>
  <c r="N274" i="3" a="1"/>
  <c r="I287" i="3" a="1"/>
  <c r="I296" i="3" a="1"/>
  <c r="O152" i="3" a="1"/>
  <c r="D432" i="2"/>
  <c r="C329" i="2"/>
  <c r="M8" i="3" a="1"/>
  <c r="B463" i="2"/>
  <c r="B463" i="3" s="1" a="1"/>
  <c r="H138" i="3" a="1"/>
  <c r="A305" i="3" a="1"/>
  <c r="L623" i="3" a="1"/>
  <c r="H155" i="3" a="1"/>
  <c r="D444" i="2"/>
  <c r="I379" i="3" a="1"/>
  <c r="P619" i="3" a="1"/>
  <c r="F500" i="3" a="1"/>
  <c r="H333" i="3" a="1"/>
  <c r="F68" i="3" a="1"/>
  <c r="A143" i="3" a="1"/>
  <c r="E607" i="2" a="1"/>
  <c r="D61" i="2"/>
  <c r="M388" i="3" a="1"/>
  <c r="O183" i="3" a="1"/>
  <c r="N550" i="3" a="1"/>
  <c r="F523" i="3" a="1"/>
  <c r="C301" i="2"/>
  <c r="A120" i="3" a="1"/>
  <c r="M627" i="3" a="1"/>
  <c r="G482" i="3" a="1"/>
  <c r="G539" i="3" a="1"/>
  <c r="D228" i="2"/>
  <c r="A299" i="3" a="1"/>
  <c r="O60" i="3" a="1"/>
  <c r="B552" i="2"/>
  <c r="A144" i="3" a="1"/>
  <c r="F81" i="3" a="1"/>
  <c r="M326" i="3" a="1"/>
  <c r="L309" i="3" a="1"/>
  <c r="F251" i="3" a="1"/>
  <c r="K72" i="3" a="1"/>
  <c r="E492" i="2" a="1"/>
  <c r="C576" i="3" a="1"/>
  <c r="D265" i="2"/>
  <c r="D429" i="3" a="1"/>
  <c r="K601" i="3" a="1"/>
  <c r="L194" i="3" a="1"/>
  <c r="E427" i="2" a="1"/>
  <c r="C107" i="2"/>
  <c r="K386" i="3" a="1"/>
  <c r="M465" i="3" a="1"/>
  <c r="H109" i="3" a="1"/>
  <c r="C250" i="2"/>
  <c r="L473" i="3" a="1"/>
  <c r="P219" i="3" a="1"/>
  <c r="H2" i="3" a="1"/>
  <c r="D312" i="2"/>
  <c r="A70" i="3" a="1"/>
  <c r="C88" i="2"/>
  <c r="M121" i="3" a="1"/>
  <c r="A353" i="3" a="1"/>
  <c r="C2" i="2"/>
  <c r="H583" i="3" a="1"/>
  <c r="P478" i="3" a="1"/>
  <c r="F304" i="3" a="1"/>
  <c r="I201" i="3" a="1"/>
  <c r="C149" i="2"/>
  <c r="B348" i="2"/>
  <c r="P68" i="3" a="1"/>
  <c r="C270" i="2"/>
  <c r="N474" i="3" a="1"/>
  <c r="D341" i="2"/>
  <c r="O629" i="3" a="1"/>
  <c r="B155" i="2"/>
  <c r="D41" i="2"/>
  <c r="N124" i="3" a="1"/>
  <c r="A470" i="3" a="1"/>
  <c r="B90" i="2"/>
  <c r="I7" i="3" a="1"/>
  <c r="A291" i="3" a="1"/>
  <c r="C318" i="2"/>
  <c r="L530" i="3" a="1"/>
  <c r="P405" i="3" a="1"/>
  <c r="F547" i="3" a="1"/>
  <c r="C475" i="2"/>
  <c r="C233" i="2"/>
  <c r="C233" i="3" s="1" a="1"/>
  <c r="F50" i="3" a="1"/>
  <c r="E418" i="2" a="1"/>
  <c r="M154" i="3" a="1"/>
  <c r="A84" i="3" a="1"/>
  <c r="B629" i="2"/>
  <c r="K483" i="3" a="1"/>
  <c r="I578" i="3" a="1"/>
  <c r="C446" i="2"/>
  <c r="B509" i="2"/>
  <c r="H372" i="3" a="1"/>
  <c r="P24" i="3" a="1"/>
  <c r="C529" i="2"/>
  <c r="A60" i="3" a="1"/>
  <c r="P60" i="3" a="1"/>
  <c r="D478" i="3" a="1"/>
  <c r="H432" i="3" a="1"/>
  <c r="K472" i="3" a="1"/>
  <c r="D347" i="2"/>
  <c r="K86" i="3" a="1"/>
  <c r="L321" i="3" a="1"/>
  <c r="E130" i="2" a="1"/>
  <c r="M523" i="3" a="1"/>
  <c r="N442" i="3" a="1"/>
  <c r="H172" i="3" a="1"/>
  <c r="F217" i="3" a="1"/>
  <c r="F601" i="3" a="1"/>
  <c r="A273" i="3" a="1"/>
  <c r="D77" i="2"/>
  <c r="C500" i="2"/>
  <c r="B253" i="2"/>
  <c r="B253" i="3" s="1" a="1"/>
  <c r="P601" i="3" a="1"/>
  <c r="N69" i="3" a="1"/>
  <c r="C88" i="3" a="1"/>
  <c r="O532" i="3" a="1"/>
  <c r="N517" i="3" a="1"/>
  <c r="A201" i="3" a="1"/>
  <c r="I187" i="3" a="1"/>
  <c r="C187" i="2"/>
  <c r="M371" i="3" a="1"/>
  <c r="G591" i="3" a="1"/>
  <c r="E294" i="2" a="1"/>
  <c r="C290" i="2"/>
  <c r="B193" i="2"/>
  <c r="H615" i="3" a="1"/>
  <c r="L489" i="3" a="1"/>
  <c r="O166" i="3" a="1"/>
  <c r="F584" i="3" a="1"/>
  <c r="E326" i="2" a="1"/>
  <c r="L563" i="3" a="1"/>
  <c r="N530" i="3" a="1"/>
  <c r="H471" i="3" a="1"/>
  <c r="F467" i="3" a="1"/>
  <c r="E572" i="2" a="1"/>
  <c r="F89" i="3" a="1"/>
  <c r="B403" i="3" a="1"/>
  <c r="A489" i="3" a="1"/>
  <c r="A171" i="3" a="1"/>
  <c r="L173" i="3" a="1"/>
  <c r="D308" i="2"/>
  <c r="O327" i="3" a="1"/>
  <c r="P561" i="3" a="1"/>
  <c r="D369" i="2"/>
  <c r="P617" i="3" a="1"/>
  <c r="F223" i="3" a="1"/>
  <c r="E148" i="2" a="1"/>
  <c r="K474" i="3" a="1"/>
  <c r="I331" i="3" a="1"/>
  <c r="C360" i="2"/>
  <c r="G536" i="3" a="1"/>
  <c r="M68" i="3" a="1"/>
  <c r="I262" i="3" a="1"/>
  <c r="F301" i="3" a="1"/>
  <c r="F321" i="3" a="1"/>
  <c r="E303" i="2" a="1"/>
  <c r="N364" i="3" a="1"/>
  <c r="A47" i="3" a="1"/>
  <c r="H457" i="3" a="1"/>
  <c r="L443" i="3" a="1"/>
  <c r="P344" i="3" a="1"/>
  <c r="N39" i="3" a="1"/>
  <c r="M263" i="3" a="1"/>
  <c r="E90" i="2" a="1"/>
  <c r="G140" i="3" a="1"/>
  <c r="I320" i="3" a="1"/>
  <c r="M6" i="3" a="1"/>
  <c r="I337" i="3" a="1"/>
  <c r="D448" i="2"/>
  <c r="A314" i="3" a="1"/>
  <c r="K511" i="3" a="1"/>
  <c r="I177" i="3" a="1"/>
  <c r="F153" i="3" a="1"/>
  <c r="G25" i="3" a="1"/>
  <c r="C437" i="2"/>
  <c r="C449" i="2"/>
  <c r="F238" i="3" a="1"/>
  <c r="O328" i="3" a="1"/>
  <c r="F419" i="3" a="1"/>
  <c r="K628" i="3" a="1"/>
  <c r="G67" i="3" a="1"/>
  <c r="H63" i="3" a="1"/>
  <c r="G43" i="3" a="1"/>
  <c r="F576" i="3" a="1"/>
  <c r="A55" i="3" a="1"/>
  <c r="L60" i="3" a="1"/>
  <c r="K88" i="3" a="1"/>
  <c r="H121" i="3" a="1"/>
  <c r="H290" i="3" a="1"/>
  <c r="H388" i="3" a="1"/>
  <c r="L590" i="3" a="1"/>
  <c r="E325" i="2" a="1"/>
  <c r="N370" i="3" a="1"/>
  <c r="H268" i="3" a="1"/>
  <c r="F209" i="3" a="1"/>
  <c r="M549" i="3" a="1"/>
  <c r="O545" i="3" a="1"/>
  <c r="B8" i="3" a="1"/>
  <c r="P533" i="3" a="1"/>
  <c r="M239" i="3" a="1"/>
  <c r="E106" i="2" a="1"/>
  <c r="E301" i="2" a="1"/>
  <c r="G92" i="3" a="1"/>
  <c r="N575" i="3" a="1"/>
  <c r="B136" i="2"/>
  <c r="O360" i="3" a="1"/>
  <c r="G534" i="3" a="1"/>
  <c r="H135" i="3" a="1"/>
  <c r="P603" i="3" a="1"/>
  <c r="K214" i="3" a="1"/>
  <c r="P89" i="3" a="1"/>
  <c r="E439" i="2" a="1"/>
  <c r="H499" i="3" a="1"/>
  <c r="M91" i="3" a="1"/>
  <c r="B314" i="3" a="1"/>
  <c r="M322" i="3" a="1"/>
  <c r="I290" i="3" a="1"/>
  <c r="H574" i="3" a="1"/>
  <c r="M420" i="3" a="1"/>
  <c r="D106" i="2"/>
  <c r="C587" i="2"/>
  <c r="L74" i="3" a="1"/>
  <c r="K111" i="3" a="1"/>
  <c r="K397" i="3" a="1"/>
  <c r="P149" i="3" a="1"/>
  <c r="D234" i="2"/>
  <c r="I168" i="3" a="1"/>
  <c r="O213" i="3" a="1"/>
  <c r="M102" i="3" a="1"/>
  <c r="K443" i="3" a="1"/>
  <c r="P520" i="3" a="1"/>
  <c r="I532" i="3" a="1"/>
  <c r="C195" i="2"/>
  <c r="O283" i="3" a="1"/>
  <c r="E47" i="2" a="1"/>
  <c r="N87" i="3" a="1"/>
  <c r="A355" i="3" a="1"/>
  <c r="B16" i="3" a="1"/>
  <c r="L142" i="3" a="1"/>
  <c r="H276" i="3" a="1"/>
  <c r="I197" i="3" a="1"/>
  <c r="M270" i="3" a="1"/>
  <c r="F204" i="3" a="1"/>
  <c r="I207" i="3" a="1"/>
  <c r="A408" i="3" a="1"/>
  <c r="N461" i="3" a="1"/>
  <c r="D23" i="2"/>
  <c r="N294" i="3" a="1"/>
  <c r="K554" i="3" a="1"/>
  <c r="K610" i="3" a="1"/>
  <c r="F546" i="3" a="1"/>
  <c r="A382" i="3" a="1"/>
  <c r="O589" i="3" a="1"/>
  <c r="P381" i="3" a="1"/>
  <c r="G283" i="3" a="1"/>
  <c r="C22" i="3" a="1"/>
  <c r="F448" i="3" a="1"/>
  <c r="N254" i="3" a="1"/>
  <c r="A140" i="3" a="1"/>
  <c r="K219" i="3" a="1"/>
  <c r="A37" i="3" a="1"/>
  <c r="K339" i="3" a="1"/>
  <c r="K165" i="3" a="1"/>
  <c r="L63" i="3" a="1"/>
  <c r="O117" i="3" a="1"/>
  <c r="F451" i="3" a="1"/>
  <c r="B161" i="3" a="1"/>
  <c r="I361" i="3" a="1"/>
  <c r="H43" i="3" a="1"/>
  <c r="K538" i="3" a="1"/>
  <c r="P48" i="3" a="1"/>
  <c r="D292" i="3" a="1"/>
  <c r="I510" i="3" a="1"/>
  <c r="D550" i="3" a="1"/>
  <c r="O224" i="3" a="1"/>
  <c r="A107" i="3" a="1"/>
  <c r="B96" i="2"/>
  <c r="N269" i="3" a="1"/>
  <c r="I286" i="3" a="1"/>
  <c r="D353" i="3" a="1"/>
  <c r="L40" i="3" a="1"/>
  <c r="O244" i="3" a="1"/>
  <c r="P316" i="3" a="1"/>
  <c r="B269" i="2"/>
  <c r="L455" i="3" a="1"/>
  <c r="F390" i="3" a="1"/>
  <c r="P519" i="3" a="1"/>
  <c r="K424" i="3" a="1"/>
  <c r="H444" i="3" a="1"/>
  <c r="L252" i="3" a="1"/>
  <c r="G459" i="3" a="1"/>
  <c r="G274" i="3" a="1"/>
  <c r="A608" i="3" a="1"/>
  <c r="E362" i="2" a="1"/>
  <c r="G332" i="3" a="1"/>
  <c r="G594" i="3" a="1"/>
  <c r="G154" i="3" a="1"/>
  <c r="H472" i="3" a="1"/>
  <c r="K289" i="3" a="1"/>
  <c r="A30" i="3" a="1"/>
  <c r="C108" i="2"/>
  <c r="O433" i="3" a="1"/>
  <c r="L20" i="3" a="1"/>
  <c r="M451" i="3" a="1"/>
  <c r="O385" i="3" a="1"/>
  <c r="M408" i="3" a="1"/>
  <c r="D209" i="2"/>
  <c r="C544" i="2"/>
  <c r="N534" i="3" a="1"/>
  <c r="I496" i="3" a="1"/>
  <c r="C497" i="2"/>
  <c r="I382" i="3" a="1"/>
  <c r="P116" i="3" a="1"/>
  <c r="H5" i="3" a="1"/>
  <c r="D178" i="2"/>
  <c r="F218" i="3" a="1"/>
  <c r="O270" i="3" a="1"/>
  <c r="P201" i="3" a="1"/>
  <c r="N476" i="3" a="1"/>
  <c r="P285" i="3" a="1"/>
  <c r="C432" i="2"/>
  <c r="C432" i="3" s="1" a="1"/>
  <c r="H349" i="3" a="1"/>
  <c r="G110" i="3" a="1"/>
  <c r="C541" i="2"/>
  <c r="C589" i="2"/>
  <c r="F380" i="3" a="1"/>
  <c r="K279" i="3" a="1"/>
  <c r="G518" i="3" a="1"/>
  <c r="B407" i="2"/>
  <c r="K569" i="3" a="1"/>
  <c r="F465" i="3" a="1"/>
  <c r="P151" i="3" a="1"/>
  <c r="A446" i="3" a="1"/>
  <c r="P628" i="3" a="1"/>
  <c r="E628" i="2" a="1"/>
  <c r="B365" i="2"/>
  <c r="B365" i="3" s="1" a="1"/>
  <c r="I75" i="3" a="1"/>
  <c r="F5" i="3" a="1"/>
  <c r="E614" i="2" a="1"/>
  <c r="D345" i="3" a="1"/>
  <c r="E218" i="2" a="1"/>
  <c r="D213" i="2"/>
  <c r="D407" i="3" a="1"/>
  <c r="O340" i="3" a="1"/>
  <c r="E336" i="2" a="1"/>
  <c r="K285" i="3" a="1"/>
  <c r="C81" i="2"/>
  <c r="A204" i="3" a="1"/>
  <c r="L118" i="3" a="1"/>
  <c r="D389" i="2"/>
  <c r="I503" i="3" a="1"/>
  <c r="B213" i="2"/>
  <c r="P487" i="3" a="1"/>
  <c r="F472" i="3" a="1"/>
  <c r="N74" i="3" a="1"/>
  <c r="N111" i="3" a="1"/>
  <c r="D149" i="2"/>
  <c r="A27" i="3" a="1"/>
  <c r="A397" i="3" a="1"/>
  <c r="F62" i="3" a="1"/>
  <c r="K432" i="3" a="1"/>
  <c r="B121" i="2"/>
  <c r="L201" i="3" a="1"/>
  <c r="N475" i="3" a="1"/>
  <c r="M548" i="3" a="1"/>
  <c r="M572" i="3" a="1"/>
  <c r="K215" i="3" a="1"/>
  <c r="K385" i="3" a="1"/>
  <c r="O132" i="3" a="1"/>
  <c r="F489" i="3" a="1"/>
  <c r="N285" i="3" a="1"/>
  <c r="M381" i="3" a="1"/>
  <c r="E256" i="2" a="1"/>
  <c r="A640" i="3" a="1"/>
  <c r="F633" i="3" a="1"/>
  <c r="L347" i="3" a="1"/>
  <c r="B458" i="2"/>
  <c r="P635" i="3" a="1"/>
  <c r="N427" i="3" a="1"/>
  <c r="L256" i="3" a="1"/>
  <c r="O282" i="3" a="1"/>
  <c r="B505" i="2"/>
  <c r="D538" i="2"/>
  <c r="A175" i="3" a="1"/>
  <c r="B178" i="2"/>
  <c r="M170" i="3" a="1"/>
  <c r="H275" i="3" a="1"/>
  <c r="M557" i="3" a="1"/>
  <c r="G418" i="3" a="1"/>
  <c r="C292" i="2"/>
  <c r="I272" i="3" a="1"/>
  <c r="E370" i="2" a="1"/>
  <c r="K417" i="3" a="1"/>
  <c r="G51" i="3" a="1"/>
  <c r="H628" i="3" a="1"/>
  <c r="K121" i="3" a="1"/>
  <c r="A398" i="3" a="1"/>
  <c r="L506" i="3" a="1"/>
  <c r="D630" i="3" a="1"/>
  <c r="D97" i="3" a="1"/>
  <c r="H516" i="3" a="1"/>
  <c r="D619" i="2"/>
  <c r="M192" i="3" a="1"/>
  <c r="A178" i="3" a="1"/>
  <c r="H389" i="3" a="1"/>
  <c r="C437" i="3" a="1"/>
  <c r="A275" i="3" a="1"/>
  <c r="C87" i="3" a="1"/>
  <c r="N349" i="3" a="1"/>
  <c r="E329" i="2" a="1"/>
  <c r="B514" i="2"/>
  <c r="B177" i="2"/>
  <c r="I600" i="3" a="1"/>
  <c r="N150" i="3" a="1"/>
  <c r="L339" i="3" a="1"/>
  <c r="N553" i="3" a="1"/>
  <c r="G116" i="3" a="1"/>
  <c r="F86" i="3" a="1"/>
  <c r="D437" i="2"/>
  <c r="E79" i="2" a="1"/>
  <c r="H546" i="3" a="1"/>
  <c r="L448" i="3" a="1"/>
  <c r="I127" i="3" a="1"/>
  <c r="A458" i="3" a="1"/>
  <c r="L390" i="3" a="1"/>
  <c r="N5" i="3" a="1"/>
  <c r="I564" i="3" a="1"/>
  <c r="P638" i="3" a="1"/>
  <c r="L207" i="3" a="1"/>
  <c r="E109" i="2" a="1"/>
  <c r="I219" i="3" a="1"/>
  <c r="E483" i="2" a="1"/>
  <c r="M232" i="3" a="1"/>
  <c r="L615" i="3" a="1"/>
  <c r="P21" i="3" a="1"/>
  <c r="P55" i="3" a="1"/>
  <c r="B471" i="3" a="1"/>
  <c r="A252" i="3" a="1"/>
  <c r="N471" i="3" a="1"/>
  <c r="D14" i="2"/>
  <c r="C109" i="2"/>
  <c r="D449" i="2"/>
  <c r="B71" i="2"/>
  <c r="O101" i="3" a="1"/>
  <c r="N199" i="3" a="1"/>
  <c r="F497" i="3" a="1"/>
  <c r="M344" i="3" a="1"/>
  <c r="M16" i="3" a="1"/>
  <c r="N112" i="3" a="1"/>
  <c r="N570" i="3" a="1"/>
  <c r="D264" i="2"/>
  <c r="C346" i="2"/>
  <c r="H397" i="3" a="1"/>
  <c r="H18" i="3" a="1"/>
  <c r="I453" i="3" a="1"/>
  <c r="N263" i="3" a="1"/>
  <c r="C312" i="2"/>
  <c r="B40" i="3" a="1"/>
  <c r="L441" i="3" a="1"/>
  <c r="C200" i="2"/>
  <c r="B5" i="2"/>
  <c r="F180" i="3" a="1"/>
  <c r="P523" i="3" a="1"/>
  <c r="D290" i="2"/>
  <c r="D180" i="2"/>
  <c r="L104" i="3" a="1"/>
  <c r="K80" i="3" a="1"/>
  <c r="D440" i="2"/>
  <c r="O261" i="3" a="1"/>
  <c r="O250" i="3" a="1"/>
  <c r="K617" i="3" a="1"/>
  <c r="D392" i="2"/>
  <c r="H511" i="3" a="1"/>
  <c r="E475" i="2" a="1"/>
  <c r="L348" i="3" a="1"/>
  <c r="H542" i="3" a="1"/>
  <c r="B602" i="2"/>
  <c r="A332" i="3" a="1"/>
  <c r="P512" i="3" a="1"/>
  <c r="C559" i="2"/>
  <c r="O565" i="3" a="1"/>
  <c r="D338" i="3" a="1"/>
  <c r="G380" i="3" a="1"/>
  <c r="D391" i="2"/>
  <c r="O459" i="3" a="1"/>
  <c r="D195" i="3" a="1"/>
  <c r="L239" i="3" a="1"/>
  <c r="D21" i="2"/>
  <c r="F220" i="3" a="1"/>
  <c r="K12" i="3" a="1"/>
  <c r="A326" i="3" a="1"/>
  <c r="D282" i="2"/>
  <c r="M382" i="3" a="1"/>
  <c r="F9" i="3" a="1"/>
  <c r="K223" i="3" a="1"/>
  <c r="L182" i="3" a="1"/>
  <c r="P197" i="3" a="1"/>
  <c r="A445" i="3" a="1"/>
  <c r="H495" i="3" a="1"/>
  <c r="G229" i="3" a="1"/>
  <c r="A192" i="3" a="1"/>
  <c r="F538" i="3" a="1"/>
  <c r="N7" i="3" a="1"/>
  <c r="N386" i="3" a="1"/>
  <c r="E517" i="2" a="1"/>
  <c r="P403" i="3" a="1"/>
  <c r="I176" i="3" a="1"/>
  <c r="I61" i="3" a="1"/>
  <c r="F106" i="3" a="1"/>
  <c r="P491" i="3" a="1"/>
  <c r="E156" i="2" a="1"/>
  <c r="A8" i="3" a="1"/>
  <c r="H547" i="3" a="1"/>
  <c r="D138" i="2"/>
  <c r="D566" i="2"/>
  <c r="B215" i="2"/>
  <c r="H281" i="3" a="1"/>
  <c r="E583" i="2" a="1"/>
  <c r="H325" i="3" a="1"/>
  <c r="F366" i="3" a="1"/>
  <c r="I57" i="3" a="1"/>
  <c r="B239" i="2"/>
  <c r="F551" i="3" a="1"/>
  <c r="G606" i="3" a="1"/>
  <c r="A152" i="3" a="1"/>
  <c r="H123" i="3" a="1"/>
  <c r="G575" i="3" a="1"/>
  <c r="E515" i="2" a="1"/>
  <c r="F249" i="3" a="1"/>
  <c r="N165" i="3" a="1"/>
  <c r="G520" i="3" a="1"/>
  <c r="F480" i="3" a="1"/>
  <c r="L465" i="3" a="1"/>
  <c r="B283" i="3" a="1"/>
  <c r="O225" i="3" a="1"/>
  <c r="A334" i="3" a="1"/>
  <c r="I460" i="3" a="1"/>
  <c r="H621" i="3" a="1"/>
  <c r="K103" i="3" a="1"/>
  <c r="L550" i="3" a="1"/>
  <c r="M362" i="3" a="1"/>
  <c r="E274" i="2" a="1"/>
  <c r="N537" i="3" a="1"/>
  <c r="K200" i="3" a="1"/>
  <c r="E8" i="2" a="1"/>
  <c r="D4" i="2"/>
  <c r="D240" i="2"/>
  <c r="M411" i="3" a="1"/>
  <c r="B307" i="2"/>
  <c r="D260" i="2"/>
  <c r="G363" i="3" a="1"/>
  <c r="D303" i="2"/>
  <c r="O600" i="3" a="1"/>
  <c r="C581" i="2"/>
  <c r="N313" i="3" a="1"/>
  <c r="G411" i="3" a="1"/>
  <c r="M544" i="3" a="1"/>
  <c r="B49" i="2"/>
  <c r="B49" i="3" s="1" a="1"/>
  <c r="I324" i="3" a="1"/>
  <c r="N432" i="3" a="1"/>
  <c r="L432" i="3" a="1"/>
  <c r="N336" i="3" a="1"/>
  <c r="E57" i="2" a="1"/>
  <c r="O215" i="3" a="1"/>
  <c r="F373" i="3" a="1"/>
  <c r="P387" i="3" a="1"/>
  <c r="D272" i="2"/>
  <c r="E128" i="2" a="1"/>
  <c r="G421" i="3" a="1"/>
  <c r="E132" i="2" a="1"/>
  <c r="O280" i="3" a="1"/>
  <c r="L277" i="3" a="1"/>
  <c r="K460" i="3" a="1"/>
  <c r="O332" i="3" a="1"/>
  <c r="N134" i="3" a="1"/>
  <c r="M13" i="3" a="1"/>
  <c r="O344" i="3" a="1"/>
  <c r="M379" i="3" a="1"/>
  <c r="C610" i="2"/>
  <c r="B339" i="2"/>
  <c r="D377" i="2"/>
  <c r="G439" i="3" a="1"/>
  <c r="K418" i="3" a="1"/>
  <c r="G273" i="3" a="1"/>
  <c r="G90" i="3" a="1"/>
  <c r="B407" i="3" a="1"/>
  <c r="M320" i="3" a="1"/>
  <c r="A237" i="3" a="1"/>
  <c r="O354" i="3" a="1"/>
  <c r="B416" i="2"/>
  <c r="B416" i="3" s="1" a="1"/>
  <c r="M312" i="3" a="1"/>
  <c r="C514" i="2"/>
  <c r="L271" i="3" a="1"/>
  <c r="M243" i="3" a="1"/>
  <c r="K576" i="3" a="1"/>
  <c r="F278" i="3" a="1"/>
  <c r="C230" i="2"/>
  <c r="D163" i="2"/>
  <c r="H556" i="3" a="1"/>
  <c r="N205" i="3" a="1"/>
  <c r="B143" i="2"/>
  <c r="F74" i="3" a="1"/>
  <c r="P364" i="3" a="1"/>
  <c r="D88" i="3" a="1"/>
  <c r="E244" i="2" a="1"/>
  <c r="D162" i="2"/>
  <c r="O605" i="3" a="1"/>
  <c r="K565" i="3" a="1"/>
  <c r="F295" i="3" a="1"/>
  <c r="O61" i="3" a="1"/>
  <c r="I129" i="3" a="1"/>
  <c r="L594" i="3" a="1"/>
  <c r="N181" i="3" a="1"/>
  <c r="B570" i="3" a="1"/>
  <c r="D274" i="2"/>
  <c r="M536" i="3" a="1"/>
  <c r="G609" i="3" a="1"/>
  <c r="A401" i="3" a="1"/>
  <c r="K398" i="3" a="1"/>
  <c r="N565" i="3" a="1"/>
  <c r="C117" i="2"/>
  <c r="C117" i="3" s="1" a="1"/>
  <c r="K170" i="3" a="1"/>
  <c r="D77" i="3" a="1"/>
  <c r="N449" i="3" a="1"/>
  <c r="M370" i="3" a="1"/>
  <c r="H343" i="3" a="1"/>
  <c r="C122" i="3" a="1"/>
  <c r="B450" i="3" a="1"/>
  <c r="L8" i="3" a="1"/>
  <c r="G590" i="3" a="1"/>
  <c r="L415" i="3" a="1"/>
  <c r="H15" i="3" a="1"/>
  <c r="I209" i="3" a="1"/>
  <c r="B312" i="2"/>
  <c r="D373" i="2"/>
  <c r="L280" i="3" a="1"/>
  <c r="A51" i="3" a="1"/>
  <c r="I29" i="3" a="1"/>
  <c r="P532" i="3" a="1"/>
  <c r="L257" i="3" a="1"/>
  <c r="O592" i="3" a="1"/>
  <c r="F502" i="3" a="1"/>
  <c r="M349" i="3" a="1"/>
  <c r="B611" i="2"/>
  <c r="K638" i="3" a="1"/>
  <c r="E29" i="2" a="1"/>
  <c r="O314" i="3" a="1"/>
  <c r="E176" i="2" a="1"/>
  <c r="M143" i="3" a="1"/>
  <c r="M135" i="3" a="1"/>
  <c r="C553" i="2"/>
  <c r="I622" i="3" a="1"/>
  <c r="A612" i="3" a="1"/>
  <c r="H116" i="3" a="1"/>
  <c r="C9" i="2"/>
  <c r="L562" i="3" a="1"/>
  <c r="C639" i="3" a="1"/>
  <c r="L317" i="3" a="1"/>
  <c r="F437" i="3" a="1"/>
  <c r="H228" i="3" a="1"/>
  <c r="P395" i="3" a="1"/>
  <c r="D438" i="3" a="1"/>
  <c r="E486" i="2" a="1"/>
  <c r="M471" i="3" a="1"/>
  <c r="P580" i="3" a="1"/>
  <c r="G285" i="3" a="1"/>
  <c r="A118" i="3" a="1"/>
  <c r="M52" i="3" a="1"/>
  <c r="B375" i="2"/>
  <c r="K217" i="3" a="1"/>
  <c r="F14" i="3" a="1"/>
  <c r="M432" i="3" a="1"/>
  <c r="F317" i="3" a="1"/>
  <c r="L450" i="3" a="1"/>
  <c r="B449" i="2"/>
  <c r="F97" i="3" a="1"/>
  <c r="H518" i="3" a="1"/>
  <c r="G340" i="3" a="1"/>
  <c r="I410" i="3" a="1"/>
  <c r="M564" i="3" a="1"/>
  <c r="C597" i="2"/>
  <c r="I470" i="3" a="1"/>
  <c r="F100" i="3" a="1"/>
  <c r="D240" i="3" a="1"/>
  <c r="E65" i="2" a="1"/>
  <c r="B233" i="3" a="1"/>
  <c r="N104" i="3" a="1"/>
  <c r="M252" i="3" a="1"/>
  <c r="E323" i="2" a="1"/>
  <c r="M547" i="3" a="1"/>
  <c r="L375" i="3" a="1"/>
  <c r="H247" i="3" a="1"/>
  <c r="B255" i="2"/>
  <c r="O277" i="3" a="1"/>
  <c r="L499" i="3" a="1"/>
  <c r="F28" i="3" a="1"/>
  <c r="E103" i="2" a="1"/>
  <c r="F42" i="3" a="1"/>
  <c r="D181" i="2"/>
  <c r="G202" i="3" a="1"/>
  <c r="E464" i="2" a="1"/>
  <c r="F307" i="3" a="1"/>
  <c r="B140" i="2"/>
  <c r="C77" i="3" a="1"/>
  <c r="D314" i="2"/>
  <c r="D588" i="3" a="1"/>
  <c r="N6" i="3" a="1"/>
  <c r="O133" i="3" a="1"/>
  <c r="F214" i="3" a="1"/>
  <c r="D498" i="2"/>
  <c r="L548" i="3" a="1"/>
  <c r="O574" i="3" a="1"/>
  <c r="A363" i="3" a="1"/>
  <c r="K311" i="3" a="1"/>
  <c r="O192" i="3" a="1"/>
  <c r="D465" i="2"/>
  <c r="G8" i="3" a="1"/>
  <c r="D142" i="2"/>
  <c r="L272" i="3" a="1"/>
  <c r="D442" i="3" a="1"/>
  <c r="A221" i="3" a="1"/>
  <c r="E339" i="2" a="1"/>
  <c r="P306" i="3" a="1"/>
  <c r="B417" i="2"/>
  <c r="H324" i="3" a="1"/>
  <c r="C377" i="2"/>
  <c r="F521" i="3" a="1"/>
  <c r="L539" i="3" a="1"/>
  <c r="B106" i="2"/>
  <c r="M440" i="3" a="1"/>
  <c r="I268" i="3" a="1"/>
  <c r="B130" i="2"/>
  <c r="H316" i="3" a="1"/>
  <c r="M520" i="3" a="1"/>
  <c r="M40" i="3" a="1"/>
  <c r="D243" i="2"/>
  <c r="C578" i="3" a="1"/>
  <c r="L139" i="3" a="1"/>
  <c r="A357" i="3" a="1"/>
  <c r="F187" i="3" a="1"/>
  <c r="B218" i="3" a="1"/>
  <c r="F506" i="3" a="1"/>
  <c r="N543" i="3" a="1"/>
  <c r="O42" i="3" a="1"/>
  <c r="D25" i="2"/>
  <c r="O598" i="3" a="1"/>
  <c r="B184" i="3" a="1"/>
  <c r="F364" i="3" a="1"/>
  <c r="L351" i="3" a="1"/>
  <c r="C375" i="2"/>
  <c r="D142" i="3" a="1"/>
  <c r="C561" i="2"/>
  <c r="C506" i="3" a="1"/>
  <c r="D9" i="2"/>
  <c r="L235" i="3" a="1"/>
  <c r="C511" i="3" a="1"/>
  <c r="D415" i="2"/>
  <c r="D204" i="3" a="1"/>
  <c r="M288" i="3" a="1"/>
  <c r="G581" i="3" a="1"/>
  <c r="I13" i="3" a="1"/>
  <c r="P47" i="3" a="1"/>
  <c r="M374" i="3" a="1"/>
  <c r="O45" i="3" a="1"/>
  <c r="D347" i="3" a="1"/>
  <c r="L265" i="3" a="1"/>
  <c r="F473" i="3" a="1"/>
  <c r="O548" i="3" a="1"/>
  <c r="G612" i="3" a="1"/>
  <c r="G498" i="3" a="1"/>
  <c r="H150" i="3" a="1"/>
  <c r="P51" i="3" a="1"/>
  <c r="C83" i="2"/>
  <c r="C522" i="2"/>
  <c r="L231" i="3" a="1"/>
  <c r="H196" i="3" a="1"/>
  <c r="D215" i="2"/>
  <c r="N378" i="3" a="1"/>
  <c r="B11" i="2"/>
  <c r="I311" i="3" a="1"/>
  <c r="C224" i="2"/>
  <c r="M87" i="3" a="1"/>
  <c r="P322" i="3" a="1"/>
  <c r="O528" i="3" a="1"/>
  <c r="E570" i="2" a="1"/>
  <c r="L352" i="3" a="1"/>
  <c r="N33" i="3" a="1"/>
  <c r="H263" i="3" a="1"/>
  <c r="B397" i="3" a="1"/>
  <c r="M49" i="3" a="1"/>
  <c r="K567" i="3" a="1"/>
  <c r="K348" i="3" a="1"/>
  <c r="H20" i="3" a="1"/>
  <c r="O149" i="3" a="1"/>
  <c r="P397" i="3" a="1"/>
  <c r="D316" i="2"/>
  <c r="D193" i="2"/>
  <c r="G448" i="3" a="1"/>
  <c r="G115" i="3" a="1"/>
  <c r="D443" i="3" a="1"/>
  <c r="D626" i="2"/>
  <c r="F80" i="3" a="1"/>
  <c r="D145" i="2"/>
  <c r="D351" i="3" a="1"/>
  <c r="K379" i="3" a="1"/>
  <c r="C343" i="3" a="1"/>
  <c r="A86" i="3" a="1"/>
  <c r="C36" i="3" a="1"/>
  <c r="D71" i="2"/>
  <c r="E205" i="2" a="1"/>
  <c r="K52" i="3" a="1"/>
  <c r="L218" i="3" a="1"/>
  <c r="I571" i="3" a="1"/>
  <c r="C482" i="2"/>
  <c r="N505" i="3" a="1"/>
  <c r="E409" i="2" a="1"/>
  <c r="N16" i="3" a="1"/>
  <c r="L157" i="3" a="1"/>
  <c r="G403" i="3" a="1"/>
  <c r="D218" i="2"/>
  <c r="A592" i="3" a="1"/>
  <c r="N579" i="3" a="1"/>
  <c r="C294" i="2"/>
  <c r="C386" i="2"/>
  <c r="B478" i="2"/>
  <c r="C616" i="3" a="1"/>
  <c r="L243" i="3" a="1"/>
  <c r="I473" i="3" a="1"/>
  <c r="K128" i="3" a="1"/>
  <c r="F77" i="3" a="1"/>
  <c r="N558" i="3" a="1"/>
  <c r="C59" i="2"/>
  <c r="I345" i="3" a="1"/>
  <c r="D227" i="2"/>
  <c r="G11" i="3" a="1"/>
  <c r="G231" i="3" a="1"/>
  <c r="K167" i="3" a="1"/>
  <c r="B103" i="2"/>
  <c r="B133" i="3" a="1"/>
  <c r="H475" i="3" a="1"/>
  <c r="B482" i="2"/>
  <c r="D137" i="3" a="1"/>
  <c r="D52" i="3" a="1"/>
  <c r="B551" i="2"/>
  <c r="I274" i="3" a="1"/>
  <c r="D568" i="2"/>
  <c r="K336" i="3" a="1"/>
  <c r="K477" i="3" a="1"/>
  <c r="P8" i="3" a="1"/>
  <c r="D197" i="3" a="1"/>
  <c r="O472" i="3" a="1"/>
  <c r="F417" i="3" a="1"/>
  <c r="N195" i="3" a="1"/>
  <c r="C614" i="3" a="1"/>
  <c r="F568" i="3" a="1"/>
  <c r="L54" i="3" a="1"/>
  <c r="L178" i="3" a="1"/>
  <c r="A565" i="3" a="1"/>
  <c r="E44" i="2" a="1"/>
  <c r="M499" i="3" a="1"/>
  <c r="L552" i="3" a="1"/>
  <c r="L53" i="3" a="1"/>
  <c r="P421" i="3" a="1"/>
  <c r="E466" i="2" a="1"/>
  <c r="D554" i="2"/>
  <c r="D462" i="3" a="1"/>
  <c r="C202" i="3" a="1"/>
  <c r="C181" i="3" a="1"/>
  <c r="F162" i="3" a="1"/>
  <c r="B421" i="3" a="1"/>
  <c r="C596" i="2"/>
  <c r="A103" i="3" a="1"/>
  <c r="O352" i="3" a="1"/>
  <c r="G517" i="3" a="1"/>
  <c r="D337" i="3" a="1"/>
  <c r="P140" i="3" a="1"/>
  <c r="D53" i="2"/>
  <c r="L328" i="3" a="1"/>
  <c r="I575" i="3" a="1"/>
  <c r="O12" i="3" a="1"/>
  <c r="C538" i="3" a="1"/>
  <c r="D167" i="2"/>
  <c r="F609" i="3" a="1"/>
  <c r="O566" i="3" a="1"/>
  <c r="B536" i="3" a="1"/>
  <c r="D111" i="3" a="1"/>
  <c r="K381" i="3" a="1"/>
  <c r="G474" i="3" a="1"/>
  <c r="D567" i="2"/>
  <c r="M138" i="3" a="1"/>
  <c r="E403" i="2" a="1"/>
  <c r="L636" i="3" a="1"/>
  <c r="F160" i="3" a="1"/>
  <c r="D35" i="2"/>
  <c r="B80" i="3" a="1"/>
  <c r="I16" i="3" a="1"/>
  <c r="K428" i="3" a="1"/>
  <c r="B216" i="2"/>
  <c r="K300" i="3" a="1"/>
  <c r="P253" i="3" a="1"/>
  <c r="B383" i="3" a="1"/>
  <c r="B106" i="3" a="1"/>
  <c r="L122" i="3" a="1"/>
  <c r="P371" i="3" a="1"/>
  <c r="A371" i="3" a="1"/>
  <c r="N478" i="3" a="1"/>
  <c r="H541" i="3" a="1"/>
  <c r="G414" i="3" a="1"/>
  <c r="P217" i="3" a="1"/>
  <c r="K179" i="3" a="1"/>
  <c r="B457" i="3" a="1"/>
  <c r="K526" i="3" a="1"/>
  <c r="G491" i="3" a="1"/>
  <c r="C4" i="2"/>
  <c r="C137" i="3" a="1"/>
  <c r="P268" i="3" a="1"/>
  <c r="F627" i="3" a="1"/>
  <c r="K32" i="3" a="1"/>
  <c r="I507" i="3" a="1"/>
  <c r="G623" i="3" a="1"/>
  <c r="O573" i="3" a="1"/>
  <c r="M47" i="3" a="1"/>
  <c r="D316" i="3" a="1"/>
  <c r="A309" i="3" a="1"/>
  <c r="D341" i="3" a="1"/>
  <c r="A482" i="3" a="1"/>
  <c r="D426" i="3" a="1"/>
  <c r="I96" i="3" a="1"/>
  <c r="D171" i="2"/>
  <c r="F376" i="3" a="1"/>
  <c r="O396" i="3" a="1"/>
  <c r="F236" i="3" a="1"/>
  <c r="C536" i="2"/>
  <c r="O594" i="3" a="1"/>
  <c r="F425" i="3" a="1"/>
  <c r="D221" i="3" a="1"/>
  <c r="G423" i="3" a="1"/>
  <c r="B579" i="3" a="1"/>
  <c r="G533" i="3" a="1"/>
  <c r="I186" i="3" a="1"/>
  <c r="K295" i="3" a="1"/>
  <c r="F514" i="3" a="1"/>
  <c r="O464" i="3" a="1"/>
  <c r="B601" i="2"/>
  <c r="K222" i="3" a="1"/>
  <c r="O362" i="3" a="1"/>
  <c r="H254" i="3" a="1"/>
  <c r="C470" i="3" a="1"/>
  <c r="C226" i="3" a="1"/>
  <c r="D558" i="2"/>
  <c r="K464" i="3" a="1"/>
  <c r="C166" i="3" a="1"/>
  <c r="N92" i="3" a="1"/>
  <c r="K542" i="3" a="1"/>
  <c r="H335" i="3" a="1"/>
  <c r="P486" i="3" a="1"/>
  <c r="D183" i="2"/>
  <c r="E317" i="2" a="1"/>
  <c r="B255" i="3" a="1"/>
  <c r="M129" i="3" a="1"/>
  <c r="C526" i="3" a="1"/>
  <c r="B134" i="3" a="1"/>
  <c r="N36" i="3" a="1"/>
  <c r="E153" i="2" a="1"/>
  <c r="A383" i="3" a="1"/>
  <c r="P407" i="3" a="1"/>
  <c r="G545" i="3" a="1"/>
  <c r="A341" i="3" a="1"/>
  <c r="E631" i="2" a="1"/>
  <c r="I628" i="3" a="1"/>
  <c r="M346" i="3" a="1"/>
  <c r="M284" i="3" a="1"/>
  <c r="C591" i="3" a="1"/>
  <c r="B300" i="2"/>
  <c r="P102" i="3" a="1"/>
  <c r="O137" i="3" a="1"/>
  <c r="L19" i="3" a="1"/>
  <c r="I279" i="3" a="1"/>
  <c r="D327" i="2"/>
  <c r="F370" i="3" a="1"/>
  <c r="E155" i="2" a="1"/>
  <c r="F596" i="3" a="1"/>
  <c r="D225" i="2"/>
  <c r="D256" i="2"/>
  <c r="O364" i="3" a="1"/>
  <c r="K81" i="3" a="1"/>
  <c r="D336" i="2"/>
  <c r="F387" i="3" a="1"/>
  <c r="I636" i="3" a="1"/>
  <c r="O481" i="3" a="1"/>
  <c r="G375" i="3" a="1"/>
  <c r="H613" i="3" a="1"/>
  <c r="N548" i="3" a="1"/>
  <c r="K452" i="3" a="1"/>
  <c r="H235" i="3" a="1"/>
  <c r="N414" i="3" a="1"/>
  <c r="C570" i="2"/>
  <c r="M574" i="3" a="1"/>
  <c r="N415" i="3" a="1"/>
  <c r="B120" i="2"/>
  <c r="B120" i="3" s="1" a="1"/>
  <c r="G84" i="3" a="1"/>
  <c r="H264" i="3" a="1"/>
  <c r="B483" i="2"/>
  <c r="F400" i="3" a="1"/>
  <c r="K566" i="3" a="1"/>
  <c r="C315" i="2"/>
  <c r="F532" i="3" a="1"/>
  <c r="E67" i="2" a="1"/>
  <c r="E121" i="2" a="1"/>
  <c r="D446" i="2"/>
  <c r="C157" i="2"/>
  <c r="L152" i="3" a="1"/>
  <c r="P332" i="3" a="1"/>
  <c r="A394" i="3" a="1"/>
  <c r="P330" i="3" a="1"/>
  <c r="E133" i="2" a="1"/>
  <c r="D80" i="2"/>
  <c r="L226" i="3" a="1"/>
  <c r="K568" i="3" a="1"/>
  <c r="O268" i="3" a="1"/>
  <c r="L394" i="3" a="1"/>
  <c r="B371" i="2"/>
  <c r="B371" i="3" s="1" a="1"/>
  <c r="E460" i="2" a="1"/>
  <c r="E389" i="2" a="1"/>
  <c r="D148" i="2"/>
  <c r="G393" i="3" a="1"/>
  <c r="B141" i="2"/>
  <c r="B141" i="3" s="1" a="1"/>
  <c r="N260" i="3" a="1"/>
  <c r="N102" i="3" a="1"/>
  <c r="A39" i="3" a="1"/>
  <c r="M323" i="3" a="1"/>
  <c r="P134" i="3" a="1"/>
  <c r="A477" i="3" a="1"/>
  <c r="N361" i="3" a="1"/>
  <c r="K51" i="3" a="1"/>
  <c r="D298" i="2"/>
  <c r="M204" i="3" a="1"/>
  <c r="L43" i="3" a="1"/>
  <c r="P56" i="3" a="1"/>
  <c r="O503" i="3" a="1"/>
  <c r="H412" i="3" a="1"/>
  <c r="D49" i="2"/>
  <c r="G48" i="3" a="1"/>
  <c r="F38" i="3" a="1"/>
  <c r="G269" i="3" a="1"/>
  <c r="G588" i="3" a="1"/>
  <c r="M581" i="3" a="1"/>
  <c r="I241" i="3" a="1"/>
  <c r="P240" i="3" a="1"/>
  <c r="F375" i="3" a="1"/>
  <c r="B480" i="2"/>
  <c r="B480" i="3" s="1" a="1"/>
  <c r="O226" i="3" a="1"/>
  <c r="B351" i="2"/>
  <c r="M291" i="3" a="1"/>
  <c r="F606" i="3" a="1"/>
  <c r="D47" i="2"/>
  <c r="M492" i="3" a="1"/>
  <c r="G372" i="3" a="1"/>
  <c r="E450" i="2" a="1"/>
  <c r="E142" i="2" a="1"/>
  <c r="C426" i="2"/>
  <c r="P558" i="3" a="1"/>
  <c r="D390" i="2"/>
  <c r="P184" i="3" a="1"/>
  <c r="K358" i="3" a="1"/>
  <c r="E68" i="2" a="1"/>
  <c r="K618" i="3" a="1"/>
  <c r="K77" i="3" a="1"/>
  <c r="M133" i="3" a="1"/>
  <c r="F466" i="3" a="1"/>
  <c r="O300" i="3" a="1"/>
  <c r="E174" i="2" a="1"/>
  <c r="O119" i="3" a="1"/>
  <c r="N544" i="3" a="1"/>
  <c r="M46" i="3" a="1"/>
  <c r="G552" i="3" a="1"/>
  <c r="H347" i="3" a="1"/>
  <c r="L575" i="3" a="1"/>
  <c r="A499" i="3" a="1"/>
  <c r="I232" i="3" a="1"/>
  <c r="M219" i="3" a="1"/>
  <c r="I133" i="3" a="1"/>
  <c r="L100" i="3" a="1"/>
  <c r="E417" i="2" a="1"/>
  <c r="F569" i="3" a="1"/>
  <c r="M608" i="3" a="1"/>
  <c r="N503" i="3" a="1"/>
  <c r="K375" i="3" a="1"/>
  <c r="O274" i="3" a="1"/>
  <c r="E276" i="2" a="1"/>
  <c r="C577" i="3" a="1"/>
  <c r="N4" i="3" a="1"/>
  <c r="O467" i="3" a="1"/>
  <c r="A501" i="3" a="1"/>
  <c r="E45" i="2" a="1"/>
  <c r="B242" i="2"/>
  <c r="C426" i="3" a="1"/>
  <c r="I263" i="3" a="1"/>
  <c r="N580" i="3" a="1"/>
  <c r="E70" i="2" a="1"/>
  <c r="C251" i="2"/>
  <c r="C351" i="2"/>
  <c r="A276" i="3" a="1"/>
  <c r="K494" i="3" a="1"/>
  <c r="L285" i="3" a="1"/>
  <c r="P587" i="3" a="1"/>
  <c r="F254" i="3" a="1"/>
  <c r="L158" i="3" a="1"/>
  <c r="O266" i="3" a="1"/>
  <c r="O367" i="3" a="1"/>
  <c r="H605" i="3" a="1"/>
  <c r="N159" i="3" a="1"/>
  <c r="A423" i="3" a="1"/>
  <c r="I386" i="3" a="1"/>
  <c r="H294" i="3" a="1"/>
  <c r="A602" i="3" a="1"/>
  <c r="O543" i="3" a="1"/>
  <c r="N121" i="3" a="1"/>
  <c r="B369" i="2"/>
  <c r="C57" i="3" a="1"/>
  <c r="M214" i="3" a="1"/>
  <c r="C453" i="2"/>
  <c r="C453" i="3" s="1" a="1"/>
  <c r="L494" i="3" a="1"/>
  <c r="G387" i="3" a="1"/>
  <c r="N21" i="3" a="1"/>
  <c r="P550" i="3" a="1"/>
  <c r="L480" i="3" a="1"/>
  <c r="K317" i="3" a="1"/>
  <c r="H311" i="3" a="1"/>
  <c r="L364" i="3" a="1"/>
  <c r="N76" i="3" a="1"/>
  <c r="D277" i="2"/>
  <c r="F196" i="3" a="1"/>
  <c r="B472" i="2"/>
  <c r="K231" i="3" a="1"/>
  <c r="G310" i="3" a="1"/>
  <c r="A359" i="3" a="1"/>
  <c r="M21" i="3" a="1"/>
  <c r="K107" i="3" a="1"/>
  <c r="G483" i="3" a="1"/>
  <c r="P372" i="3" a="1"/>
  <c r="M153" i="3" a="1"/>
  <c r="O296" i="3" a="1"/>
  <c r="L456" i="3" a="1"/>
  <c r="P389" i="3" a="1"/>
  <c r="P429" i="3" a="1"/>
  <c r="E615" i="2" a="1"/>
  <c r="P576" i="3" a="1"/>
  <c r="E203" i="2" a="1"/>
  <c r="D320" i="2"/>
  <c r="B534" i="3" a="1"/>
  <c r="A213" i="3" a="1"/>
  <c r="O624" i="3" a="1"/>
  <c r="A369" i="3" a="1"/>
  <c r="K571" i="3" a="1"/>
  <c r="P536" i="3" a="1"/>
  <c r="D196" i="2"/>
  <c r="A368" i="3" a="1"/>
  <c r="D608" i="2"/>
  <c r="M376" i="3" a="1"/>
  <c r="L147" i="3" a="1"/>
  <c r="G563" i="3" a="1"/>
  <c r="N626" i="3" a="1"/>
  <c r="C14" i="2"/>
  <c r="O559" i="3" a="1"/>
  <c r="D481" i="2"/>
  <c r="A123" i="3" a="1"/>
  <c r="F486" i="3" a="1"/>
  <c r="A77" i="3" a="1"/>
  <c r="K534" i="3" a="1"/>
  <c r="A289" i="3" a="1"/>
  <c r="I405" i="3" a="1"/>
  <c r="H170" i="3" a="1"/>
  <c r="I356" i="3" a="1"/>
  <c r="L380" i="3" a="1"/>
  <c r="C468" i="2"/>
  <c r="B129" i="2"/>
  <c r="E98" i="2" a="1"/>
  <c r="D152" i="2"/>
  <c r="H631" i="3" a="1"/>
  <c r="F414" i="3" a="1"/>
  <c r="B82" i="2"/>
  <c r="B82" i="3" s="1" a="1"/>
  <c r="N527" i="3" a="1"/>
  <c r="L42" i="3" a="1"/>
  <c r="A442" i="3" a="1"/>
  <c r="K343" i="3" a="1"/>
  <c r="N25" i="3" a="1"/>
  <c r="L397" i="3" a="1"/>
  <c r="I373" i="3" a="1"/>
  <c r="A261" i="3" a="1"/>
  <c r="F552" i="3" a="1"/>
  <c r="H198" i="3" a="1"/>
  <c r="P496" i="3" a="1"/>
  <c r="G481" i="3" a="1"/>
  <c r="N213" i="3" a="1"/>
  <c r="D91" i="2"/>
  <c r="I87" i="3" a="1"/>
  <c r="C269" i="2"/>
  <c r="A151" i="3" a="1"/>
  <c r="O347" i="3" a="1"/>
  <c r="I220" i="3" a="1"/>
  <c r="C503" i="2"/>
  <c r="G514" i="3" a="1"/>
  <c r="O353" i="3" a="1"/>
  <c r="A297" i="3" a="1"/>
  <c r="K473" i="3" a="1"/>
  <c r="E394" i="2" a="1"/>
  <c r="C537" i="2"/>
  <c r="I544" i="3" a="1"/>
  <c r="C480" i="2"/>
  <c r="C480" i="3" s="1" a="1"/>
  <c r="N131" i="3" a="1"/>
  <c r="N482" i="3" a="1"/>
  <c r="F199" i="3" a="1"/>
  <c r="B102" i="3" a="1"/>
  <c r="K462" i="3" a="1"/>
  <c r="A434" i="3" a="1"/>
  <c r="I399" i="3" a="1"/>
  <c r="M487" i="3" a="1"/>
  <c r="I191" i="3" a="1"/>
  <c r="F190" i="3" a="1"/>
  <c r="B432" i="3" a="1"/>
  <c r="C239" i="2"/>
  <c r="M159" i="3" a="1"/>
  <c r="D362" i="2"/>
  <c r="C391" i="2"/>
  <c r="C406" i="2"/>
  <c r="D370" i="2"/>
  <c r="B538" i="2"/>
  <c r="D50" i="3" a="1"/>
  <c r="C208" i="2"/>
  <c r="A438" i="3" a="1"/>
  <c r="B110" i="2"/>
  <c r="B110" i="3" s="1" a="1"/>
  <c r="A56" i="3" a="1"/>
  <c r="D564" i="2"/>
  <c r="G243" i="3" a="1"/>
  <c r="F186" i="3" a="1"/>
  <c r="B484" i="2"/>
  <c r="E488" i="2" a="1"/>
  <c r="M237" i="3" a="1"/>
  <c r="C13" i="2"/>
  <c r="D140" i="2"/>
  <c r="C502" i="3" a="1"/>
  <c r="L200" i="3" a="1"/>
  <c r="N497" i="3" a="1"/>
  <c r="E431" i="2" a="1"/>
  <c r="C378" i="2"/>
  <c r="I348" i="3" a="1"/>
  <c r="A323" i="3" a="1"/>
  <c r="E436" i="2" a="1"/>
  <c r="C244" i="3" a="1"/>
  <c r="G209" i="3" a="1"/>
  <c r="B308" i="2"/>
  <c r="B448" i="3" a="1"/>
  <c r="H456" i="3" a="1"/>
  <c r="P347" i="3" a="1"/>
  <c r="L302" i="3" a="1"/>
  <c r="A220" i="3" a="1"/>
  <c r="A487" i="3" a="1"/>
  <c r="I631" i="3" a="1"/>
  <c r="C110" i="2"/>
  <c r="M510" i="3" a="1"/>
  <c r="N227" i="3" a="1"/>
  <c r="E518" i="2" a="1"/>
  <c r="L67" i="3" a="1"/>
  <c r="L316" i="3" a="1"/>
  <c r="H269" i="3" a="1"/>
  <c r="D184" i="2"/>
  <c r="M64" i="3" a="1"/>
  <c r="P549" i="3" a="1"/>
  <c r="M225" i="3" a="1"/>
  <c r="P221" i="3" a="1"/>
  <c r="P597" i="3" a="1"/>
  <c r="D629" i="2"/>
  <c r="C257" i="3" a="1"/>
  <c r="M27" i="3" a="1"/>
  <c r="L203" i="3" a="1"/>
  <c r="E604" i="2" a="1"/>
  <c r="B189" i="2"/>
  <c r="K249" i="3" a="1"/>
  <c r="H592" i="3" a="1"/>
  <c r="B610" i="2"/>
  <c r="B296" i="2"/>
  <c r="F60" i="3" a="1"/>
  <c r="K390" i="3" a="1"/>
  <c r="K557" i="3" a="1"/>
  <c r="D64" i="2"/>
  <c r="D361" i="2"/>
  <c r="I159" i="3" a="1"/>
  <c r="L622" i="3" a="1"/>
  <c r="G462" i="3" a="1"/>
  <c r="O170" i="3" a="1"/>
  <c r="C242" i="3" a="1"/>
  <c r="H232" i="3" a="1"/>
  <c r="O637" i="3" a="1"/>
  <c r="I9" i="3" a="1"/>
  <c r="E447" i="2" a="1"/>
  <c r="M257" i="3" a="1"/>
  <c r="P462" i="3" a="1"/>
  <c r="N88" i="3" a="1"/>
  <c r="A354" i="3" a="1"/>
  <c r="F501" i="3" a="1"/>
  <c r="C330" i="2"/>
  <c r="L411" i="3" a="1"/>
  <c r="A623" i="3" a="1"/>
  <c r="E187" i="2" a="1"/>
  <c r="B433" i="2"/>
  <c r="B433" i="3" s="1" a="1"/>
  <c r="C358" i="3" a="1"/>
  <c r="P417" i="3" a="1"/>
  <c r="K50" i="3" a="1"/>
  <c r="L135" i="3" a="1"/>
  <c r="P489" i="3" a="1"/>
  <c r="E179" i="2" a="1"/>
  <c r="P529" i="3" a="1"/>
  <c r="E154" i="2" a="1"/>
  <c r="P313" i="3" a="1"/>
  <c r="D423" i="2"/>
  <c r="F622" i="3" a="1"/>
  <c r="D92" i="3" a="1"/>
  <c r="B47" i="2"/>
  <c r="E77" i="2" a="1"/>
  <c r="N236" i="3" a="1"/>
  <c r="I297" i="3" a="1"/>
  <c r="H35" i="3" a="1"/>
  <c r="A160" i="3" a="1"/>
  <c r="A316" i="3" a="1"/>
  <c r="M36" i="3" a="1"/>
  <c r="P502" i="3" a="1"/>
  <c r="L133" i="3" a="1"/>
  <c r="C486" i="2"/>
  <c r="D266" i="2"/>
  <c r="I591" i="3" a="1"/>
  <c r="C272" i="2"/>
  <c r="D563" i="3" a="1"/>
  <c r="E207" i="2" a="1"/>
  <c r="G118" i="3" a="1"/>
  <c r="P241" i="3" a="1"/>
  <c r="K615" i="3" a="1"/>
  <c r="M304" i="3" a="1"/>
  <c r="P537" i="3" a="1"/>
  <c r="C629" i="3" a="1"/>
  <c r="D488" i="3" a="1"/>
  <c r="B313" i="2"/>
  <c r="O307" i="3" a="1"/>
  <c r="L522" i="3" a="1"/>
  <c r="L447" i="3" a="1"/>
  <c r="E16" i="2" a="1"/>
  <c r="C574" i="2"/>
  <c r="C124" i="2"/>
  <c r="C81" i="3" a="1"/>
  <c r="P284" i="3" a="1"/>
  <c r="K625" i="3" a="1"/>
  <c r="L504" i="3" a="1"/>
  <c r="E268" i="2" a="1"/>
  <c r="P228" i="3" a="1"/>
  <c r="H498" i="3" a="1"/>
  <c r="B56" i="3" a="1"/>
  <c r="E525" i="2" a="1"/>
  <c r="C225" i="3" a="1"/>
  <c r="P497" i="3" a="1"/>
  <c r="C619" i="2"/>
  <c r="N52" i="3" a="1"/>
  <c r="L559" i="3" a="1"/>
  <c r="D246" i="3" a="1"/>
  <c r="C176" i="2"/>
  <c r="C271" i="3" a="1"/>
  <c r="P538" i="3" a="1"/>
  <c r="H402" i="3" a="1"/>
  <c r="G232" i="3" a="1"/>
  <c r="M511" i="3" a="1"/>
  <c r="N490" i="3" a="1"/>
  <c r="H327" i="3" a="1"/>
  <c r="B263" i="2"/>
  <c r="I471" i="3" a="1"/>
  <c r="K120" i="3" a="1"/>
  <c r="I388" i="3" a="1"/>
  <c r="N293" i="3" a="1"/>
  <c r="N395" i="3" a="1"/>
  <c r="N113" i="3" a="1"/>
  <c r="M31" i="3" a="1"/>
  <c r="N119" i="3" a="1"/>
  <c r="M493" i="3" a="1"/>
  <c r="D228" i="3" a="1"/>
  <c r="D530" i="2"/>
  <c r="K251" i="3" a="1"/>
  <c r="P232" i="3" a="1"/>
  <c r="H500" i="3" a="1"/>
  <c r="P289" i="3" a="1"/>
  <c r="L427" i="3" a="1"/>
  <c r="A507" i="3" a="1"/>
  <c r="G434" i="3" a="1"/>
  <c r="C158" i="3" a="1"/>
  <c r="F566" i="3" a="1"/>
  <c r="P333" i="3" a="1"/>
  <c r="A617" i="3" a="1"/>
  <c r="F259" i="3" a="1"/>
  <c r="L202" i="3" a="1"/>
  <c r="N250" i="3" a="1"/>
  <c r="M162" i="3" a="1"/>
  <c r="L449" i="3" a="1"/>
  <c r="G80" i="3" a="1"/>
  <c r="L466" i="3" a="1"/>
  <c r="I593" i="3" a="1"/>
  <c r="I334" i="3" a="1"/>
  <c r="C132" i="2"/>
  <c r="O9" i="3" a="1"/>
  <c r="N19" i="3" a="1"/>
  <c r="N322" i="3" a="1"/>
  <c r="D408" i="2"/>
  <c r="M543" i="3" a="1"/>
  <c r="K369" i="3" a="1"/>
  <c r="F61" i="3" a="1"/>
  <c r="C185" i="2"/>
  <c r="E426" i="2" a="1"/>
  <c r="L638" i="3" a="1"/>
  <c r="G471" i="3" a="1"/>
  <c r="H420" i="3" a="1"/>
  <c r="I60" i="3" a="1"/>
  <c r="C8" i="3" a="1"/>
  <c r="B513" i="2"/>
  <c r="F191" i="3" a="1"/>
  <c r="F12" i="3" a="1"/>
  <c r="H565" i="3" a="1"/>
  <c r="C95" i="3" a="1"/>
  <c r="D421" i="3" a="1"/>
  <c r="N383" i="3" a="1"/>
  <c r="I245" i="3" a="1"/>
  <c r="K493" i="3" a="1"/>
  <c r="K448" i="3" a="1"/>
  <c r="P560" i="3" a="1"/>
  <c r="K546" i="3" a="1"/>
  <c r="C606" i="3" a="1"/>
  <c r="F170" i="3" a="1"/>
  <c r="A33" i="3" a="1"/>
  <c r="F63" i="3" a="1"/>
  <c r="B580" i="3" a="1"/>
  <c r="D444" i="3" a="1"/>
  <c r="C268" i="2"/>
  <c r="N629" i="3" a="1"/>
  <c r="P386" i="3" a="1"/>
  <c r="B464" i="3" a="1"/>
  <c r="D317" i="2"/>
  <c r="P434" i="3" a="1"/>
  <c r="K224" i="3" a="1"/>
  <c r="P620" i="3" a="1"/>
  <c r="C314" i="3" a="1"/>
  <c r="C473" i="2"/>
  <c r="N291" i="3" a="1"/>
  <c r="L268" i="3" a="1"/>
  <c r="B228" i="3" a="1"/>
  <c r="I244" i="3" a="1"/>
  <c r="F527" i="3" a="1"/>
  <c r="C581" i="3" a="1"/>
  <c r="C356" i="2"/>
  <c r="P122" i="3" a="1"/>
  <c r="D520" i="3" a="1"/>
  <c r="E490" i="2" a="1"/>
  <c r="D542" i="3" a="1"/>
  <c r="C355" i="2"/>
  <c r="C211" i="2"/>
  <c r="G611" i="3" a="1"/>
  <c r="B269" i="3" a="1"/>
  <c r="B443" i="2"/>
  <c r="I62" i="3" a="1"/>
  <c r="C487" i="3" a="1"/>
  <c r="K129" i="3" a="1"/>
  <c r="B496" i="2"/>
  <c r="I404" i="3" a="1"/>
  <c r="A532" i="3" a="1"/>
  <c r="B96" i="3" a="1"/>
  <c r="B284" i="2"/>
  <c r="N371" i="3" a="1"/>
  <c r="I249" i="3" a="1"/>
  <c r="I481" i="3" a="1"/>
  <c r="E348" i="2" a="1"/>
  <c r="N81" i="3" a="1"/>
  <c r="M48" i="3" a="1"/>
  <c r="B290" i="3" a="1"/>
  <c r="L12" i="3" a="1"/>
  <c r="I455" i="3" a="1"/>
  <c r="D234" i="3" a="1"/>
  <c r="D565" i="2"/>
  <c r="B368" i="3" a="1"/>
  <c r="E25" i="2" a="1"/>
  <c r="E56" i="2" a="1"/>
  <c r="B544" i="2"/>
  <c r="L30" i="3" a="1"/>
  <c r="I477" i="3" a="1"/>
  <c r="B182" i="3" a="1"/>
  <c r="C299" i="3" a="1"/>
  <c r="A591" i="3" a="1"/>
  <c r="K99" i="3" a="1"/>
  <c r="L541" i="3" a="1"/>
  <c r="D320" i="3" a="1"/>
  <c r="A102" i="3" a="1"/>
  <c r="K216" i="3" a="1"/>
  <c r="K161" i="3" a="1"/>
  <c r="D333" i="3" a="1"/>
  <c r="B177" i="3" a="1"/>
  <c r="E561" i="2" a="1"/>
  <c r="D274" i="3" a="1"/>
  <c r="I308" i="3" a="1"/>
  <c r="D260" i="3" a="1"/>
  <c r="G288" i="3" a="1"/>
  <c r="O386" i="3" a="1"/>
  <c r="D244" i="2"/>
  <c r="D592" i="3" a="1"/>
  <c r="D208" i="2"/>
  <c r="O479" i="3" a="1"/>
  <c r="D410" i="2"/>
  <c r="E302" i="2" a="1"/>
  <c r="A210" i="3" a="1"/>
  <c r="B129" i="3" a="1"/>
  <c r="P164" i="3" a="1"/>
  <c r="E608" i="2" a="1"/>
  <c r="C249" i="3" a="1"/>
  <c r="K370" i="3" a="1"/>
  <c r="P390" i="3" a="1"/>
  <c r="K404" i="3" a="1"/>
  <c r="E208" i="2" a="1"/>
  <c r="C548" i="2"/>
  <c r="B469" i="2"/>
  <c r="E482" i="2" a="1"/>
  <c r="B342" i="2"/>
  <c r="B342" i="3" s="1" a="1"/>
  <c r="L604" i="3" a="1"/>
  <c r="E177" i="2" a="1"/>
  <c r="E223" i="2" a="1"/>
  <c r="F133" i="3" a="1"/>
  <c r="G630" i="3" a="1"/>
  <c r="G477" i="3" a="1"/>
  <c r="E442" i="2" a="1"/>
  <c r="A524" i="3" a="1"/>
  <c r="B467" i="2"/>
  <c r="F447" i="3" a="1"/>
  <c r="I639" i="3" a="1"/>
  <c r="K168" i="3" a="1"/>
  <c r="F151" i="3" a="1"/>
  <c r="F252" i="3" a="1"/>
  <c r="B367" i="2"/>
  <c r="B276" i="2"/>
  <c r="B276" i="3" s="1" a="1"/>
  <c r="I84" i="3" a="1"/>
  <c r="I24" i="3" a="1"/>
  <c r="H204" i="3" a="1"/>
  <c r="H101" i="3" a="1"/>
  <c r="L35" i="3" a="1"/>
  <c r="B349" i="2"/>
  <c r="A206" i="3" a="1"/>
  <c r="E182" i="2" a="1"/>
  <c r="M604" i="3" a="1"/>
  <c r="K572" i="3" a="1"/>
  <c r="I611" i="3" a="1"/>
  <c r="L170" i="3" a="1"/>
  <c r="D539" i="2"/>
  <c r="D490" i="2"/>
  <c r="L180" i="3" a="1"/>
  <c r="E527" i="2" a="1"/>
  <c r="O424" i="3" a="1"/>
  <c r="H603" i="3" a="1"/>
  <c r="K177" i="3" a="1"/>
  <c r="E150" i="2" a="1"/>
  <c r="O325" i="3" a="1"/>
  <c r="O610" i="3" a="1"/>
  <c r="A439" i="3" a="1"/>
  <c r="P179" i="3" a="1"/>
  <c r="L378" i="3" a="1"/>
  <c r="L183" i="3" a="1"/>
  <c r="H573" i="3" a="1"/>
  <c r="E145" i="2" a="1"/>
  <c r="P233" i="3" a="1"/>
  <c r="C440" i="2"/>
  <c r="E129" i="2" a="1"/>
  <c r="C494" i="2"/>
  <c r="C494" i="3" s="1" a="1"/>
  <c r="D311" i="2"/>
  <c r="P210" i="3" a="1"/>
  <c r="D182" i="3" a="1"/>
  <c r="C328" i="3" a="1"/>
  <c r="M541" i="3" a="1"/>
  <c r="C423" i="2"/>
  <c r="C452" i="2"/>
  <c r="M226" i="3" a="1"/>
  <c r="C69" i="3" a="1"/>
  <c r="N533" i="3" a="1"/>
  <c r="A139" i="3" a="1"/>
  <c r="N344" i="3" a="1"/>
  <c r="A582" i="3" a="1"/>
  <c r="P194" i="3" a="1"/>
  <c r="B199" i="2"/>
  <c r="D511" i="3" a="1"/>
  <c r="A180" i="3" a="1"/>
  <c r="O231" i="3" a="1"/>
  <c r="B259" i="2"/>
  <c r="B530" i="3" a="1"/>
  <c r="D447" i="3" a="1"/>
  <c r="C214" i="3" a="1"/>
  <c r="H180" i="3" a="1"/>
  <c r="F274" i="3" a="1"/>
  <c r="C565" i="3" a="1"/>
  <c r="I282" i="3" a="1"/>
  <c r="M207" i="3" a="1"/>
  <c r="K639" i="3" a="1"/>
  <c r="I199" i="3" a="1"/>
  <c r="H177" i="3" a="1"/>
  <c r="K322" i="3" a="1"/>
  <c r="A611" i="3" a="1"/>
  <c r="G607" i="3" a="1"/>
  <c r="F548" i="3" a="1"/>
  <c r="O372" i="3" a="1"/>
  <c r="B197" i="2"/>
  <c r="E536" i="2" a="1"/>
  <c r="B587" i="3" a="1"/>
  <c r="C209" i="2"/>
  <c r="N412" i="3" a="1"/>
  <c r="E220" i="2" a="1"/>
  <c r="P584" i="3" a="1"/>
  <c r="L162" i="3" a="1"/>
  <c r="I19" i="3" a="1"/>
  <c r="D506" i="2"/>
  <c r="E340" i="2" a="1"/>
  <c r="D441" i="2"/>
  <c r="E273" i="2" a="1"/>
  <c r="L598" i="3" a="1"/>
  <c r="I422" i="3" a="1"/>
  <c r="A159" i="3" a="1"/>
  <c r="B114" i="2"/>
  <c r="K37" i="3" a="1"/>
  <c r="N586" i="3" a="1"/>
  <c r="M131" i="3" a="1"/>
  <c r="I204" i="3" a="1"/>
  <c r="O298" i="3" a="1"/>
  <c r="I543" i="3" a="1"/>
  <c r="B35" i="2"/>
  <c r="O151" i="3" a="1"/>
  <c r="M594" i="3" a="1"/>
  <c r="K264" i="3" a="1"/>
  <c r="D2" i="3" a="1"/>
  <c r="D61" i="3" a="1"/>
  <c r="L430" i="3" a="1"/>
  <c r="N2" i="3" a="1"/>
  <c r="G223" i="3" a="1"/>
  <c r="B385" i="2"/>
  <c r="E105" i="2" a="1"/>
  <c r="F177" i="3" a="1"/>
  <c r="I83" i="3" a="1"/>
  <c r="B262" i="2"/>
  <c r="B181" i="2"/>
  <c r="F78" i="3" a="1"/>
  <c r="P110" i="3" a="1"/>
  <c r="B95" i="2"/>
  <c r="C622" i="2"/>
  <c r="P545" i="3" a="1"/>
  <c r="H422" i="3" a="1"/>
  <c r="K307" i="3" a="1"/>
  <c r="D146" i="2"/>
  <c r="H489" i="3" a="1"/>
  <c r="N251" i="3" a="1"/>
  <c r="A35" i="3" a="1"/>
  <c r="H624" i="3" a="1"/>
  <c r="B23" i="2"/>
  <c r="B23" i="3" s="1" a="1"/>
  <c r="A629" i="3" a="1"/>
  <c r="A525" i="3" a="1"/>
  <c r="M127" i="3" a="1"/>
  <c r="G359" i="3" a="1"/>
  <c r="H601" i="3" a="1"/>
  <c r="E291" i="2" a="1"/>
  <c r="D540" i="2"/>
  <c r="P492" i="3" a="1"/>
  <c r="N82" i="3" a="1"/>
  <c r="E222" i="2" a="1"/>
  <c r="E316" i="2" a="1"/>
  <c r="D457" i="2"/>
  <c r="B217" i="2"/>
  <c r="O377" i="3" a="1"/>
  <c r="C626" i="2"/>
  <c r="C626" i="3" s="1" a="1"/>
  <c r="D517" i="2"/>
  <c r="D26" i="3" a="1"/>
  <c r="G190" i="3" a="1"/>
  <c r="G556" i="3" a="1"/>
  <c r="A235" i="3" a="1"/>
  <c r="I476" i="3" a="1"/>
  <c r="E423" i="2" a="1"/>
  <c r="K38" i="3" a="1"/>
  <c r="K114" i="3" a="1"/>
  <c r="E33" i="2" a="1"/>
  <c r="G567" i="3" a="1"/>
  <c r="A79" i="3" a="1"/>
  <c r="C188" i="2"/>
  <c r="C188" i="3" s="1" a="1"/>
  <c r="K299" i="3" a="1"/>
  <c r="N173" i="3" a="1"/>
  <c r="H382" i="3" a="1"/>
  <c r="O291" i="3" a="1"/>
  <c r="M80" i="3" a="1"/>
  <c r="K225" i="3" a="1"/>
  <c r="P135" i="3" a="1"/>
  <c r="I555" i="3" a="1"/>
  <c r="A519" i="3" a="1"/>
  <c r="H398" i="3" a="1"/>
  <c r="A474" i="3" a="1"/>
  <c r="M611" i="3" a="1"/>
  <c r="M480" i="3" a="1"/>
  <c r="K213" i="3" a="1"/>
  <c r="L305" i="3" a="1"/>
  <c r="L353" i="3" a="1"/>
  <c r="O460" i="3" a="1"/>
  <c r="F624" i="3" a="1"/>
  <c r="I194" i="3" a="1"/>
  <c r="I240" i="3" a="1"/>
  <c r="P359" i="3" a="1"/>
  <c r="G69" i="3" a="1"/>
  <c r="A520" i="3" a="1"/>
  <c r="B347" i="3" a="1"/>
  <c r="K2" i="3" a="1"/>
  <c r="L294" i="3" a="1"/>
  <c r="K274" i="3" a="1"/>
  <c r="N522" i="3" a="1"/>
  <c r="M286" i="3" a="1"/>
  <c r="I317" i="3" a="1"/>
  <c r="D354" i="2"/>
  <c r="A616" i="3" a="1"/>
  <c r="K328" i="3" a="1"/>
  <c r="F145" i="3" a="1"/>
  <c r="B426" i="3" a="1"/>
  <c r="F83" i="3" a="1"/>
  <c r="L310" i="3" a="1"/>
  <c r="E41" i="2" a="1"/>
  <c r="E522" i="2" a="1"/>
  <c r="M333" i="3" a="1"/>
  <c r="C551" i="3" a="1"/>
  <c r="G171" i="3" a="1"/>
  <c r="G447" i="3" a="1"/>
  <c r="L589" i="3" a="1"/>
  <c r="C155" i="3" a="1"/>
  <c r="D239" i="2"/>
  <c r="O218" i="3" a="1"/>
  <c r="I490" i="3" a="1"/>
  <c r="O251" i="3" a="1"/>
  <c r="B553" i="2"/>
  <c r="B553" i="3" s="1" a="1"/>
  <c r="B33" i="2"/>
  <c r="E237" i="2" a="1"/>
  <c r="G373" i="3" a="1"/>
  <c r="N300" i="3" a="1"/>
  <c r="L22" i="3" a="1"/>
  <c r="A605" i="3" a="1"/>
  <c r="M311" i="3" a="1"/>
  <c r="C379" i="2"/>
  <c r="K487" i="3" a="1"/>
  <c r="N146" i="3" a="1"/>
  <c r="I610" i="3" a="1"/>
  <c r="L571" i="3" a="1"/>
  <c r="D58" i="2"/>
  <c r="N83" i="3" a="1"/>
  <c r="P586" i="3" a="1"/>
  <c r="C580" i="2"/>
  <c r="B364" i="3" a="1"/>
  <c r="M444" i="3" a="1"/>
  <c r="C161" i="2"/>
  <c r="C320" i="2"/>
  <c r="N189" i="3" a="1"/>
  <c r="I617" i="3" a="1"/>
  <c r="M196" i="3" a="1"/>
  <c r="E508" i="2" a="1"/>
  <c r="B131" i="3" a="1"/>
  <c r="D445" i="3" a="1"/>
  <c r="P132" i="3" a="1"/>
  <c r="G188" i="3" a="1"/>
  <c r="D170" i="2"/>
  <c r="H421" i="3" a="1"/>
  <c r="B487" i="2"/>
  <c r="E107" i="2" a="1"/>
  <c r="F178" i="3" a="1"/>
  <c r="G250" i="3" a="1"/>
  <c r="F388" i="3" a="1"/>
  <c r="C519" i="2"/>
  <c r="L606" i="3" a="1"/>
  <c r="I55" i="3" a="1"/>
  <c r="L236" i="3" a="1"/>
  <c r="C346" i="3" a="1"/>
  <c r="F166" i="3" a="1"/>
  <c r="O455" i="3" a="1"/>
  <c r="G184" i="3" a="1"/>
  <c r="B285" i="3" a="1"/>
  <c r="N122" i="3" a="1"/>
  <c r="B293" i="3" a="1"/>
  <c r="C387" i="3" a="1"/>
  <c r="B292" i="2"/>
  <c r="O165" i="3" a="1"/>
  <c r="G32" i="3" a="1"/>
  <c r="K288" i="3" a="1"/>
  <c r="I105" i="3" a="1"/>
  <c r="A388" i="3" a="1"/>
  <c r="A247" i="3" a="1"/>
  <c r="M145" i="3" a="1"/>
  <c r="K550" i="3" a="1"/>
  <c r="C463" i="2"/>
  <c r="C223" i="2"/>
  <c r="F582" i="3" a="1"/>
  <c r="G490" i="3" a="1"/>
  <c r="B268" i="3" a="1"/>
  <c r="F620" i="3" a="1"/>
  <c r="D470" i="2"/>
  <c r="G68" i="3" a="1"/>
  <c r="P84" i="3" a="1"/>
  <c r="B630" i="3" a="1"/>
  <c r="B385" i="3" a="1"/>
  <c r="K173" i="3" a="1"/>
  <c r="I41" i="3" a="1"/>
  <c r="D27" i="3" a="1"/>
  <c r="L437" i="3" a="1"/>
  <c r="H410" i="3" a="1"/>
  <c r="K187" i="3" a="1"/>
  <c r="B74" i="2"/>
  <c r="I638" i="3" a="1"/>
  <c r="D600" i="2"/>
  <c r="I449" i="3" a="1"/>
  <c r="C527" i="3" a="1"/>
  <c r="L582" i="3" a="1"/>
  <c r="O556" i="3" a="1"/>
  <c r="E43" i="2" a="1"/>
  <c r="H85" i="3" a="1"/>
  <c r="B95" i="3" a="1"/>
  <c r="M269" i="3" a="1"/>
  <c r="F508" i="3" a="1"/>
  <c r="I431" i="3" a="1"/>
  <c r="P297" i="3" a="1"/>
  <c r="N183" i="3" a="1"/>
  <c r="H606" i="3" a="1"/>
  <c r="B248" i="3" a="1"/>
  <c r="B338" i="2"/>
  <c r="H292" i="3" a="1"/>
  <c r="H480" i="3" a="1"/>
  <c r="A491" i="3" a="1"/>
  <c r="N539" i="3" a="1"/>
  <c r="H635" i="3" a="1"/>
  <c r="G605" i="3" a="1"/>
  <c r="B398" i="3" a="1"/>
  <c r="O627" i="3" a="1"/>
  <c r="B111" i="2"/>
  <c r="A21" i="3" a="1"/>
  <c r="F382" i="3" a="1"/>
  <c r="H370" i="3" a="1"/>
  <c r="C129" i="3" a="1"/>
  <c r="C622" i="3" a="1"/>
  <c r="M636" i="3" a="1"/>
  <c r="M340" i="3" a="1"/>
  <c r="D448" i="3" a="1"/>
  <c r="D289" i="3" a="1"/>
  <c r="O106" i="3" a="1"/>
  <c r="C2" i="3" a="1"/>
  <c r="A9" i="3" a="1"/>
  <c r="H409" i="3" a="1"/>
  <c r="C354" i="2"/>
  <c r="O229" i="3" a="1"/>
  <c r="G213" i="3" a="1"/>
  <c r="L251" i="3" a="1"/>
  <c r="B52" i="2"/>
  <c r="B438" i="3" a="1"/>
  <c r="P12" i="3" a="1"/>
  <c r="A26" i="3" a="1"/>
  <c r="B414" i="3" a="1"/>
  <c r="E495" i="2" a="1"/>
  <c r="P585" i="3" a="1"/>
  <c r="C80" i="3" a="1"/>
  <c r="D63" i="3" a="1"/>
  <c r="C627" i="3" a="1"/>
  <c r="B509" i="3" a="1"/>
  <c r="C47" i="3" a="1"/>
  <c r="B202" i="3" a="1"/>
  <c r="C409" i="3" a="1"/>
  <c r="O427" i="3" a="1"/>
  <c r="B500" i="3" a="1"/>
  <c r="G568" i="3" a="1"/>
  <c r="H213" i="3" a="1"/>
  <c r="K18" i="3" a="1"/>
  <c r="H209" i="3" a="1"/>
  <c r="F484" i="3" a="1"/>
  <c r="K130" i="3" a="1"/>
  <c r="B359" i="2"/>
  <c r="D131" i="3" a="1"/>
  <c r="I344" i="3" a="1"/>
  <c r="O254" i="3" a="1"/>
  <c r="B369" i="3" a="1"/>
  <c r="M37" i="3" a="1"/>
  <c r="M602" i="3" a="1"/>
  <c r="C267" i="3" a="1"/>
  <c r="C610" i="3" a="1"/>
  <c r="C74" i="2"/>
  <c r="F188" i="3" a="1"/>
  <c r="K183" i="3" a="1"/>
  <c r="I407" i="3" a="1"/>
  <c r="B602" i="3" a="1"/>
  <c r="D640" i="2"/>
  <c r="E171" i="2" a="1"/>
  <c r="E338" i="2" a="1"/>
  <c r="N255" i="3" a="1"/>
  <c r="E441" i="2" a="1"/>
  <c r="C529" i="3" a="1"/>
  <c r="E10" i="2" a="1"/>
  <c r="P507" i="3" a="1"/>
  <c r="P206" i="3" a="1"/>
  <c r="K257" i="3" a="1"/>
  <c r="B231" i="3" a="1"/>
  <c r="H230" i="3" a="1"/>
  <c r="A447" i="3" a="1"/>
  <c r="D14" i="3" a="1"/>
  <c r="F631" i="3" a="1"/>
  <c r="C508" i="2"/>
  <c r="C154" i="3" a="1"/>
  <c r="D124" i="2"/>
  <c r="O28" i="3" a="1"/>
  <c r="B392" i="3" a="1"/>
  <c r="C42" i="2"/>
  <c r="B87" i="2"/>
  <c r="B302" i="2"/>
  <c r="P411" i="3" a="1"/>
  <c r="K366" i="3" a="1"/>
  <c r="M126" i="3" a="1"/>
  <c r="B90" i="3" a="1"/>
  <c r="H160" i="3" a="1"/>
  <c r="P254" i="3" a="1"/>
  <c r="I396" i="3" a="1"/>
  <c r="C26" i="3" a="1"/>
  <c r="B132" i="3" a="1"/>
  <c r="B249" i="2"/>
  <c r="D487" i="2"/>
  <c r="A165" i="3" a="1"/>
  <c r="G194" i="3" a="1"/>
  <c r="D465" i="3" a="1"/>
  <c r="I158" i="3" a="1"/>
  <c r="C194" i="2"/>
  <c r="B629" i="3" a="1"/>
  <c r="G78" i="3" a="1"/>
  <c r="A265" i="3" a="1"/>
  <c r="O621" i="3" a="1"/>
  <c r="K163" i="3" a="1"/>
  <c r="C400" i="3" a="1"/>
  <c r="P305" i="3" a="1"/>
  <c r="E546" i="2" a="1"/>
  <c r="D57" i="2"/>
  <c r="K620" i="3" a="1"/>
  <c r="D343" i="3" a="1"/>
  <c r="A24" i="3" a="1"/>
  <c r="A207" i="3" a="1"/>
  <c r="C160" i="2"/>
  <c r="C179" i="3" a="1"/>
  <c r="K407" i="3" a="1"/>
  <c r="N556" i="3" a="1"/>
  <c r="I71" i="3" a="1"/>
  <c r="D249" i="3" a="1"/>
  <c r="C345" i="2"/>
  <c r="C355" i="3" a="1"/>
  <c r="D54" i="2"/>
  <c r="O379" i="3" a="1"/>
  <c r="M605" i="3" a="1"/>
  <c r="B47" i="3" a="1"/>
  <c r="D99" i="2"/>
  <c r="G295" i="3" a="1"/>
  <c r="O264" i="3" a="1"/>
  <c r="K403" i="3" a="1"/>
  <c r="I401" i="3" a="1"/>
  <c r="C106" i="3" a="1"/>
  <c r="E363" i="2" a="1"/>
  <c r="H241" i="3" a="1"/>
  <c r="M613" i="3" a="1"/>
  <c r="D258" i="2"/>
  <c r="B353" i="3" a="1"/>
  <c r="I354" i="3" a="1"/>
  <c r="D291" i="2"/>
  <c r="B327" i="2"/>
  <c r="G317" i="3" a="1"/>
  <c r="B351" i="3" a="1"/>
  <c r="P413" i="3" a="1"/>
  <c r="C83" i="3" a="1"/>
  <c r="H453" i="3" a="1"/>
  <c r="I468" i="3" a="1"/>
  <c r="G87" i="3" a="1"/>
  <c r="C176" i="3" a="1"/>
  <c r="M425" i="3" a="1"/>
  <c r="A169" i="3" a="1"/>
  <c r="F446" i="3" a="1"/>
  <c r="B41" i="2"/>
  <c r="M50" i="3" a="1"/>
  <c r="H98" i="3" a="1"/>
  <c r="K522" i="3" a="1"/>
  <c r="M460" i="3" a="1"/>
  <c r="L282" i="3" a="1"/>
  <c r="B544" i="3" a="1"/>
  <c r="P428" i="3" a="1"/>
  <c r="D562" i="3" a="1"/>
  <c r="L543" i="3" a="1"/>
  <c r="H312" i="3" a="1"/>
  <c r="C336" i="2"/>
  <c r="P126" i="3" a="1"/>
  <c r="B122" i="3" a="1"/>
  <c r="F383" i="3" a="1"/>
  <c r="O14" i="3" a="1"/>
  <c r="M540" i="3" a="1"/>
  <c r="O33" i="3" a="1"/>
  <c r="D639" i="2"/>
  <c r="L585" i="3" a="1"/>
  <c r="G443" i="3" a="1"/>
  <c r="L278" i="3" a="1"/>
  <c r="B10" i="3" a="1"/>
  <c r="B505" i="3" a="1"/>
  <c r="D496" i="3" a="1"/>
  <c r="H131" i="3" a="1"/>
  <c r="N288" i="3" a="1"/>
  <c r="B586" i="2"/>
  <c r="B513" i="3" a="1"/>
  <c r="M405" i="3" a="1"/>
  <c r="C160" i="3" a="1"/>
  <c r="N614" i="3" a="1"/>
  <c r="A219" i="3" a="1"/>
  <c r="D380" i="3" a="1"/>
  <c r="D11" i="2"/>
  <c r="I493" i="3" a="1"/>
  <c r="N584" i="3" a="1"/>
  <c r="L32" i="3" a="1"/>
  <c r="C189" i="3" a="1"/>
  <c r="D270" i="2"/>
  <c r="M194" i="3" a="1"/>
  <c r="D587" i="2"/>
  <c r="L109" i="3" a="1"/>
  <c r="B459" i="2"/>
  <c r="B459" i="3" s="1" a="1"/>
  <c r="H579" i="3" a="1"/>
  <c r="L191" i="3" a="1"/>
  <c r="F128" i="3" a="1"/>
  <c r="P555" i="3" a="1"/>
  <c r="L85" i="3" a="1"/>
  <c r="A563" i="3" a="1"/>
  <c r="P165" i="3" a="1"/>
  <c r="N597" i="3" a="1"/>
  <c r="K342" i="3" a="1"/>
  <c r="N13" i="3" a="1"/>
  <c r="M174" i="3" a="1"/>
  <c r="M200" i="3" a="1"/>
  <c r="O456" i="3" a="1"/>
  <c r="D583" i="2"/>
  <c r="A95" i="3" a="1"/>
  <c r="B104" i="2"/>
  <c r="B104" i="3" s="1" a="1"/>
  <c r="G626" i="3" a="1"/>
  <c r="C304" i="2"/>
  <c r="F327" i="3" a="1"/>
  <c r="M628" i="3" a="1"/>
  <c r="N513" i="3" a="1"/>
  <c r="D624" i="2"/>
  <c r="L377" i="3" a="1"/>
  <c r="A547" i="3" a="1"/>
  <c r="N200" i="3" a="1"/>
  <c r="K276" i="3" a="1"/>
  <c r="F541" i="3" a="1"/>
  <c r="E284" i="2" a="1"/>
  <c r="O262" i="3" a="1"/>
  <c r="E357" i="2" a="1"/>
  <c r="M227" i="3" a="1"/>
  <c r="B51" i="2"/>
  <c r="H237" i="3" a="1"/>
  <c r="B615" i="2"/>
  <c r="G281" i="3" a="1"/>
  <c r="H305" i="3" a="1"/>
  <c r="K71" i="3" a="1"/>
  <c r="B260" i="2"/>
  <c r="B260" i="3" s="1" a="1"/>
  <c r="B20" i="2"/>
  <c r="L363" i="3" a="1"/>
  <c r="L608" i="3" a="1"/>
  <c r="M108" i="3" a="1"/>
  <c r="M148" i="3" a="1"/>
  <c r="M161" i="3" a="1"/>
  <c r="D594" i="2"/>
  <c r="M428" i="3" a="1"/>
  <c r="H342" i="3" a="1"/>
  <c r="P43" i="3" a="1"/>
  <c r="A131" i="3" a="1"/>
  <c r="D388" i="2"/>
  <c r="H158" i="3" a="1"/>
  <c r="D475" i="2"/>
  <c r="C471" i="2"/>
  <c r="B442" i="2"/>
  <c r="G47" i="3" a="1"/>
  <c r="F619" i="3" a="1"/>
  <c r="C455" i="2"/>
  <c r="K254" i="3" a="1"/>
  <c r="C72" i="3" a="1"/>
  <c r="L86" i="3" a="1"/>
  <c r="D255" i="2"/>
  <c r="M482" i="3" a="1"/>
  <c r="N335" i="3" a="1"/>
  <c r="H411" i="3" a="1"/>
  <c r="B298" i="3" a="1"/>
  <c r="N204" i="3" a="1"/>
  <c r="A405" i="3" a="1"/>
  <c r="F90" i="3" a="1"/>
  <c r="E474" i="2" a="1"/>
  <c r="B270" i="2"/>
  <c r="O69" i="3" a="1"/>
  <c r="B234" i="2"/>
  <c r="B234" i="3" s="1" a="1"/>
  <c r="D419" i="2"/>
  <c r="M151" i="3" a="1"/>
  <c r="N223" i="3" a="1"/>
  <c r="K604" i="3" a="1"/>
  <c r="I304" i="3" a="1"/>
  <c r="N531" i="3" a="1"/>
  <c r="K518" i="3" a="1"/>
  <c r="P61" i="3" a="1"/>
  <c r="C428" i="2"/>
  <c r="G361" i="3" a="1"/>
  <c r="F104" i="3" a="1"/>
  <c r="G82" i="3" a="1"/>
  <c r="M205" i="3" a="1"/>
  <c r="P569" i="3" a="1"/>
  <c r="P172" i="3" a="1"/>
  <c r="G620" i="3" a="1"/>
  <c r="H469" i="3" a="1"/>
  <c r="D12" i="2"/>
  <c r="F156" i="3" a="1"/>
  <c r="A555" i="3" a="1"/>
  <c r="K310" i="3" a="1"/>
  <c r="I542" i="3" a="1"/>
  <c r="N514" i="3" a="1"/>
  <c r="E398" i="2" a="1"/>
  <c r="N306" i="3" a="1"/>
  <c r="N326" i="3" a="1"/>
  <c r="C388" i="2"/>
  <c r="C423" i="3" a="1"/>
  <c r="B546" i="2"/>
  <c r="N190" i="3" a="1"/>
  <c r="K570" i="3" a="1"/>
  <c r="C65" i="2"/>
  <c r="C65" i="3" s="1" a="1"/>
  <c r="B595" i="2"/>
  <c r="C429" i="3" a="1"/>
  <c r="B626" i="3" a="1"/>
  <c r="B43" i="2"/>
  <c r="B43" i="3" s="1" a="1"/>
  <c r="C295" i="2"/>
  <c r="H375" i="3" a="1"/>
  <c r="F154" i="3" a="1"/>
  <c r="C604" i="2"/>
  <c r="E230" i="2" a="1"/>
  <c r="K412" i="3" a="1"/>
  <c r="C148" i="2"/>
  <c r="B244" i="2"/>
  <c r="N488" i="3" a="1"/>
  <c r="I418" i="3" a="1"/>
  <c r="K436" i="3" a="1"/>
  <c r="C567" i="3" a="1"/>
  <c r="B451" i="2"/>
  <c r="F421" i="3" a="1"/>
  <c r="F378" i="3" a="1"/>
  <c r="H380" i="3" a="1"/>
  <c r="I269" i="3" a="1"/>
  <c r="E69" i="2" a="1"/>
  <c r="P513" i="3" a="1"/>
  <c r="D259" i="3" a="1"/>
  <c r="F245" i="3" a="1"/>
  <c r="G396" i="3" a="1"/>
  <c r="P418" i="3" a="1"/>
  <c r="E119" i="2" a="1"/>
  <c r="I429" i="3" a="1"/>
  <c r="E384" i="2" a="1"/>
  <c r="O439" i="3" a="1"/>
  <c r="O199" i="3" a="1"/>
  <c r="B323" i="2"/>
  <c r="B323" i="3" s="1" a="1"/>
  <c r="C136" i="2"/>
  <c r="C136" i="3" s="1" a="1"/>
  <c r="M639" i="3" a="1"/>
  <c r="K340" i="3" a="1"/>
  <c r="L523" i="3" a="1"/>
  <c r="M97" i="3" a="1"/>
  <c r="I419" i="3" a="1"/>
  <c r="I536" i="3" a="1"/>
  <c r="E402" i="2" a="1"/>
  <c r="C17" i="2"/>
  <c r="C17" i="3" s="1" a="1"/>
  <c r="I153" i="3" a="1"/>
  <c r="C131" i="2"/>
  <c r="C131" i="3" s="1" a="1"/>
  <c r="C32" i="2"/>
  <c r="E260" i="2" a="1"/>
  <c r="K536" i="3" a="1"/>
  <c r="O233" i="3" a="1"/>
  <c r="I145" i="3" a="1"/>
  <c r="P45" i="3" a="1"/>
  <c r="I88" i="3" a="1"/>
  <c r="F494" i="3" a="1"/>
  <c r="P137" i="3" a="1"/>
  <c r="E292" i="2" a="1"/>
  <c r="O78" i="3" a="1"/>
  <c r="B507" i="2"/>
  <c r="H596" i="3" a="1"/>
  <c r="E531" i="2" a="1"/>
  <c r="H26" i="3" a="1"/>
  <c r="N499" i="3" a="1"/>
  <c r="O105" i="3" a="1"/>
  <c r="F161" i="3" a="1"/>
  <c r="O258" i="3" a="1"/>
  <c r="O88" i="3" a="1"/>
  <c r="B608" i="2"/>
  <c r="G59" i="3" a="1"/>
  <c r="N484" i="3" a="1"/>
  <c r="I123" i="3" a="1"/>
  <c r="G301" i="3" a="1"/>
  <c r="G302" i="3" a="1"/>
  <c r="C236" i="2"/>
  <c r="C116" i="2"/>
  <c r="C116" i="3" s="1" a="1"/>
  <c r="B58" i="3" a="1"/>
  <c r="E245" i="2" a="1"/>
  <c r="B346" i="2"/>
  <c r="E361" i="2" a="1"/>
  <c r="D24" i="2"/>
  <c r="B344" i="2"/>
  <c r="B185" i="2"/>
  <c r="N194" i="3" a="1"/>
  <c r="H535" i="3" a="1"/>
  <c r="P630" i="3" a="1"/>
  <c r="D483" i="2"/>
  <c r="M123" i="3" a="1"/>
  <c r="C324" i="3" a="1"/>
  <c r="D413" i="2"/>
  <c r="L78" i="3" a="1"/>
  <c r="D150" i="2"/>
  <c r="C50" i="2"/>
  <c r="N509" i="3" a="1"/>
  <c r="C142" i="3" a="1"/>
  <c r="H536" i="3" a="1"/>
  <c r="N220" i="3" a="1"/>
  <c r="B94" i="3" a="1"/>
  <c r="H74" i="3" a="1"/>
  <c r="L495" i="3" a="1"/>
  <c r="A337" i="3" a="1"/>
  <c r="E186" i="2" a="1"/>
  <c r="O230" i="3" a="1"/>
  <c r="N590" i="3" a="1"/>
  <c r="K247" i="3" a="1"/>
  <c r="L232" i="3" a="1"/>
  <c r="B223" i="2"/>
  <c r="N598" i="3" a="1"/>
  <c r="P168" i="3" a="1"/>
  <c r="H259" i="3" a="1"/>
  <c r="C640" i="2"/>
  <c r="B636" i="3" a="1"/>
  <c r="C633" i="3" a="1"/>
  <c r="H345" i="3" a="1"/>
  <c r="E512" i="2" a="1"/>
  <c r="F255" i="3" a="1"/>
  <c r="D98" i="2"/>
  <c r="G256" i="3" a="1"/>
  <c r="K532" i="3" a="1"/>
  <c r="C278" i="2"/>
  <c r="C278" i="3" s="1" a="1"/>
  <c r="E3" i="2" a="1"/>
  <c r="C256" i="2"/>
  <c r="M353" i="3" a="1"/>
  <c r="O497" i="3" a="1"/>
  <c r="C393" i="2"/>
  <c r="G454" i="3" a="1"/>
  <c r="F640" i="3" a="1"/>
  <c r="B468" i="2"/>
  <c r="B468" i="3" s="1" a="1"/>
  <c r="M168" i="3" a="1"/>
  <c r="F405" i="3" a="1"/>
  <c r="A433" i="3" a="1"/>
  <c r="P174" i="3" a="1"/>
  <c r="C105" i="3" a="1"/>
  <c r="I498" i="3" a="1"/>
  <c r="K105" i="3" a="1"/>
  <c r="P227" i="3" a="1"/>
  <c r="D541" i="2"/>
  <c r="I581" i="3" a="1"/>
  <c r="D105" i="3" a="1"/>
  <c r="D484" i="3" a="1"/>
  <c r="N130" i="3" a="1"/>
  <c r="F271" i="3" a="1"/>
  <c r="D396" i="3" a="1"/>
  <c r="B65" i="2"/>
  <c r="K96" i="3" a="1"/>
  <c r="I36" i="3" a="1"/>
  <c r="G130" i="3" a="1"/>
  <c r="K176" i="3" a="1"/>
  <c r="L639" i="3" a="1"/>
  <c r="M70" i="3" a="1"/>
  <c r="H490" i="3" a="1"/>
  <c r="P243" i="3" a="1"/>
  <c r="D310" i="3" a="1"/>
  <c r="L308" i="3" a="1"/>
  <c r="P639" i="3" a="1"/>
  <c r="C420" i="3" a="1"/>
  <c r="L25" i="3" a="1"/>
  <c r="O267" i="3" a="1"/>
  <c r="B275" i="2"/>
  <c r="K388" i="3" a="1"/>
  <c r="N139" i="3" a="1"/>
  <c r="O181" i="3" a="1"/>
  <c r="I358" i="3" a="1"/>
  <c r="N276" i="3" a="1"/>
  <c r="M111" i="3" a="1"/>
  <c r="G438" i="3" a="1"/>
  <c r="B225" i="3" a="1"/>
  <c r="L83" i="3" a="1"/>
  <c r="B610" i="3" a="1"/>
  <c r="L36" i="3" a="1"/>
  <c r="D625" i="3" a="1"/>
  <c r="O555" i="3" a="1"/>
  <c r="P404" i="3" a="1"/>
  <c r="E589" i="2" a="1"/>
  <c r="D43" i="3" a="1"/>
  <c r="D165" i="3" a="1"/>
  <c r="D470" i="3" a="1"/>
  <c r="A300" i="3" a="1"/>
  <c r="I157" i="3" a="1"/>
  <c r="G392" i="3" a="1"/>
  <c r="B556" i="2"/>
  <c r="C592" i="3" a="1"/>
  <c r="D222" i="3" a="1"/>
  <c r="H478" i="3" a="1"/>
  <c r="P155" i="3" a="1"/>
  <c r="D379" i="3" a="1"/>
  <c r="F362" i="3" a="1"/>
  <c r="H610" i="3" a="1"/>
  <c r="D635" i="2"/>
  <c r="E272" i="2" a="1"/>
  <c r="P608" i="3" a="1"/>
  <c r="D166" i="3" a="1"/>
  <c r="L197" i="3" a="1"/>
  <c r="D100" i="3" a="1"/>
  <c r="N585" i="3" a="1"/>
  <c r="N27" i="3" a="1"/>
  <c r="I247" i="3" a="1"/>
  <c r="K209" i="3" a="1"/>
  <c r="M160" i="3" a="1"/>
  <c r="D239" i="3" a="1"/>
  <c r="C640" i="3" a="1"/>
  <c r="M38" i="3" a="1"/>
  <c r="B384" i="2"/>
  <c r="P311" i="3" a="1"/>
  <c r="C340" i="2"/>
  <c r="B606" i="3" a="1"/>
  <c r="K156" i="3" a="1"/>
  <c r="P185" i="3" a="1"/>
  <c r="N413" i="3" a="1"/>
  <c r="B143" i="3" a="1"/>
  <c r="N96" i="3" a="1"/>
  <c r="G402" i="3" a="1"/>
  <c r="C600" i="3" a="1"/>
  <c r="L331" i="3" a="1"/>
  <c r="C208" i="3" a="1"/>
  <c r="K73" i="3" a="1"/>
  <c r="L457" i="3" a="1"/>
  <c r="C393" i="3" a="1"/>
  <c r="G614" i="3" a="1"/>
  <c r="C366" i="2"/>
  <c r="I273" i="3" a="1"/>
  <c r="B212" i="2"/>
  <c r="D265" i="3" a="1"/>
  <c r="D262" i="2"/>
  <c r="C391" i="3" a="1"/>
  <c r="O73" i="3" a="1"/>
  <c r="D176" i="3" a="1"/>
  <c r="D140" i="3" a="1"/>
  <c r="B549" i="3" a="1"/>
  <c r="D31" i="3" a="1"/>
  <c r="N440" i="3" a="1"/>
  <c r="C283" i="3" a="1"/>
  <c r="A514" i="3" a="1"/>
  <c r="P106" i="3" a="1"/>
  <c r="C458" i="2"/>
  <c r="O638" i="3" a="1"/>
  <c r="M336" i="3" a="1"/>
  <c r="I445" i="3" a="1"/>
  <c r="P202" i="3" a="1"/>
  <c r="D22" i="2"/>
  <c r="D455" i="3" a="1"/>
  <c r="D416" i="3" a="1"/>
  <c r="B528" i="3" a="1"/>
  <c r="C623" i="2"/>
  <c r="C30" i="3" a="1"/>
  <c r="B593" i="2"/>
  <c r="H341" i="3" a="1"/>
  <c r="K581" i="3" a="1"/>
  <c r="C524" i="3" a="1"/>
  <c r="B573" i="3" a="1"/>
  <c r="L120" i="3" a="1"/>
  <c r="C390" i="3" a="1"/>
  <c r="D84" i="3" a="1"/>
  <c r="O79" i="3" a="1"/>
  <c r="C197" i="3" a="1"/>
  <c r="E164" i="2" a="1"/>
  <c r="A22" i="3" a="1"/>
  <c r="O30" i="3" a="1"/>
  <c r="B604" i="2"/>
  <c r="P212" i="3" a="1"/>
  <c r="M282" i="3" a="1"/>
  <c r="D16" i="2"/>
  <c r="B605" i="2"/>
  <c r="C447" i="2"/>
  <c r="D436" i="3" a="1"/>
  <c r="C458" i="3" a="1"/>
  <c r="E395" i="2" a="1"/>
  <c r="B429" i="2"/>
  <c r="B98" i="2"/>
  <c r="H200" i="3" a="1"/>
  <c r="C316" i="2"/>
  <c r="C442" i="2"/>
  <c r="C200" i="3" a="1"/>
  <c r="D87" i="2"/>
  <c r="I215" i="3" a="1"/>
  <c r="I166" i="3" a="1"/>
  <c r="B280" i="3" a="1"/>
  <c r="K113" i="3" a="1"/>
  <c r="D589" i="2"/>
  <c r="C482" i="3" a="1"/>
  <c r="B7" i="3" a="1"/>
  <c r="I540" i="3" a="1"/>
  <c r="C306" i="3" a="1"/>
  <c r="I394" i="3" a="1"/>
  <c r="D161" i="2"/>
  <c r="M386" i="3" a="1"/>
  <c r="O128" i="3" a="1"/>
  <c r="I524" i="3" a="1"/>
  <c r="B288" i="3" a="1"/>
  <c r="D601" i="3" a="1"/>
  <c r="N266" i="3" a="1"/>
  <c r="D618" i="3" a="1"/>
  <c r="B551" i="3" a="1"/>
  <c r="I205" i="3" a="1"/>
  <c r="C500" i="3" a="1"/>
  <c r="C111" i="3" a="1"/>
  <c r="B566" i="3" a="1"/>
  <c r="B617" i="3" a="1"/>
  <c r="D296" i="3" a="1"/>
  <c r="N289" i="3" a="1"/>
  <c r="D73" i="2"/>
  <c r="G88" i="3" a="1"/>
  <c r="G178" i="3" a="1"/>
  <c r="A80" i="3" a="1"/>
  <c r="G61" i="3" a="1"/>
  <c r="G366" i="3" a="1"/>
  <c r="E73" i="2" a="1"/>
  <c r="M433" i="3" a="1"/>
  <c r="C380" i="2"/>
  <c r="C380" i="3" s="1" a="1"/>
  <c r="K400" i="3" a="1"/>
  <c r="E183" i="2" a="1"/>
  <c r="K197" i="3" a="1"/>
  <c r="A234" i="3" a="1"/>
  <c r="C243" i="2"/>
  <c r="C243" i="3" s="1" a="1"/>
  <c r="H289" i="3" a="1"/>
  <c r="P335" i="3" a="1"/>
  <c r="O444" i="3" a="1"/>
  <c r="M409" i="3" a="1"/>
  <c r="E485" i="2" a="1"/>
  <c r="H4" i="3" a="1"/>
  <c r="A411" i="3" a="1"/>
  <c r="D125" i="3" a="1"/>
  <c r="B400" i="2"/>
  <c r="F6" i="3" a="1"/>
  <c r="A594" i="3" a="1"/>
  <c r="F428" i="3" a="1"/>
  <c r="P247" i="3" a="1"/>
  <c r="H202" i="3" a="1"/>
  <c r="A333" i="3" a="1"/>
  <c r="N94" i="3" a="1"/>
  <c r="M177" i="3" a="1"/>
  <c r="F603" i="3" a="1"/>
  <c r="B441" i="2"/>
  <c r="B441" i="3" s="1" a="1"/>
  <c r="L14" i="3" a="1"/>
  <c r="B271" i="2"/>
  <c r="L95" i="3" a="1"/>
  <c r="M552" i="3" a="1"/>
  <c r="D480" i="2"/>
  <c r="A431" i="3" a="1"/>
  <c r="C333" i="2"/>
  <c r="I472" i="3" a="1"/>
  <c r="I90" i="3" a="1"/>
  <c r="M638" i="3" a="1"/>
  <c r="M494" i="3" a="1"/>
  <c r="C424" i="3" a="1"/>
  <c r="C469" i="2"/>
  <c r="C469" i="3" s="1" a="1"/>
  <c r="D118" i="2"/>
  <c r="L168" i="3" a="1"/>
  <c r="C114" i="3" a="1"/>
  <c r="A400" i="3" a="1"/>
  <c r="B45" i="2"/>
  <c r="F384" i="3" a="1"/>
  <c r="N439" i="3" a="1"/>
  <c r="K273" i="3" a="1"/>
  <c r="L262" i="3" a="1"/>
  <c r="K66" i="3" a="1"/>
  <c r="H90" i="3" a="1"/>
  <c r="E20" i="2" a="1"/>
  <c r="E211" i="2" a="1"/>
  <c r="A366" i="3" a="1"/>
  <c r="G14" i="3" a="1"/>
  <c r="H446" i="3" a="1"/>
  <c r="B516" i="2"/>
  <c r="B28" i="2"/>
  <c r="F267" i="3" a="1"/>
  <c r="H46" i="3" a="1"/>
  <c r="D531" i="3" a="1"/>
  <c r="A350" i="3" a="1"/>
  <c r="B552" i="3" a="1"/>
  <c r="N382" i="3" a="1"/>
  <c r="L264" i="3" a="1"/>
  <c r="N259" i="3" a="1"/>
  <c r="P441" i="3" a="1"/>
  <c r="I484" i="3" a="1"/>
  <c r="H199" i="3" a="1"/>
  <c r="E535" i="2" a="1"/>
  <c r="D253" i="2"/>
  <c r="G111" i="3" a="1"/>
  <c r="K304" i="3" a="1"/>
  <c r="M297" i="3" a="1"/>
  <c r="G399" i="3" a="1"/>
  <c r="M448" i="3" a="1"/>
  <c r="I533" i="3" a="1"/>
  <c r="F181" i="3" a="1"/>
  <c r="D460" i="2"/>
  <c r="K31" i="3" a="1"/>
  <c r="M385" i="3" a="1"/>
  <c r="N9" i="3" a="1"/>
  <c r="H508" i="3" a="1"/>
  <c r="P49" i="3" a="1"/>
  <c r="A105" i="3" a="1"/>
  <c r="M423" i="3" a="1"/>
  <c r="I95" i="3" a="1"/>
  <c r="P72" i="3" a="1"/>
  <c r="P23" i="3" a="1"/>
  <c r="L367" i="3" a="1"/>
  <c r="M281" i="3" a="1"/>
  <c r="C568" i="2"/>
  <c r="C568" i="3" s="1" a="1"/>
  <c r="G54" i="3" a="1"/>
  <c r="E126" i="2" a="1"/>
  <c r="E11" i="2" a="1"/>
  <c r="K429" i="3" a="1"/>
  <c r="F235" i="3" a="1"/>
  <c r="D466" i="3" a="1"/>
  <c r="O331" i="3" a="1"/>
  <c r="B425" i="2"/>
  <c r="O59" i="3" a="1"/>
  <c r="N541" i="3" a="1"/>
  <c r="C498" i="2"/>
  <c r="O425" i="3" a="1"/>
  <c r="E422" i="2" a="1"/>
  <c r="M318" i="3" a="1"/>
  <c r="M62" i="3" a="1"/>
  <c r="I466" i="3" a="1"/>
  <c r="O237" i="3" a="1"/>
  <c r="E571" i="2" a="1"/>
  <c r="A74" i="3" a="1"/>
  <c r="C503" i="3" a="1"/>
  <c r="O316" i="3" a="1"/>
  <c r="B330" i="2"/>
  <c r="K160" i="3" a="1"/>
  <c r="D126" i="2"/>
  <c r="G464" i="3" a="1"/>
  <c r="I253" i="3" a="1"/>
  <c r="I446" i="3" a="1"/>
  <c r="H633" i="3" a="1"/>
  <c r="D348" i="3" a="1"/>
  <c r="L438" i="3" a="1"/>
  <c r="P147" i="3" a="1"/>
  <c r="O561" i="3" a="1"/>
  <c r="K302" i="3" a="1"/>
  <c r="E411" i="2" a="1"/>
  <c r="E86" i="2" a="1"/>
  <c r="B420" i="3" a="1"/>
  <c r="A344" i="3" a="1"/>
  <c r="D510" i="2"/>
  <c r="B247" i="2"/>
  <c r="B247" i="3" s="1" a="1"/>
  <c r="O361" i="3" a="1"/>
  <c r="F231" i="3" a="1"/>
  <c r="N634" i="3" a="1"/>
  <c r="B246" i="2"/>
  <c r="B61" i="3" a="1"/>
  <c r="P361" i="3" a="1"/>
  <c r="E71" i="2" a="1"/>
  <c r="G49" i="3" a="1"/>
  <c r="C201" i="3" a="1"/>
  <c r="C219" i="3" a="1"/>
  <c r="K467" i="3" a="1"/>
  <c r="I614" i="3" a="1"/>
  <c r="C315" i="3" a="1"/>
  <c r="O50" i="3" a="1"/>
  <c r="C78" i="2"/>
  <c r="I367" i="3" a="1"/>
  <c r="N72" i="3" a="1"/>
  <c r="D205" i="2"/>
  <c r="E550" i="2" a="1"/>
  <c r="H102" i="3" a="1"/>
  <c r="H406" i="3" a="1"/>
  <c r="G499" i="3" a="1"/>
  <c r="F59" i="3" a="1"/>
  <c r="M191" i="3" a="1"/>
  <c r="A486" i="3" a="1"/>
  <c r="F513" i="3" a="1"/>
  <c r="A83" i="3" a="1"/>
  <c r="H82" i="3" a="1"/>
  <c r="F595" i="3" a="1"/>
  <c r="G249" i="3" a="1"/>
  <c r="N396" i="3" a="1"/>
  <c r="C516" i="2"/>
  <c r="F519" i="3" a="1"/>
  <c r="O466" i="3" a="1"/>
  <c r="O29" i="3" a="1"/>
  <c r="A13" i="3" a="1"/>
  <c r="P92" i="3" a="1"/>
  <c r="O615" i="3" a="1"/>
  <c r="E319" i="2" a="1"/>
  <c r="D329" i="2"/>
  <c r="B591" i="2"/>
  <c r="N231" i="3" a="1"/>
  <c r="P64" i="3" a="1"/>
  <c r="P156" i="3" a="1"/>
  <c r="E563" i="2" a="1"/>
  <c r="D297" i="2"/>
  <c r="E404" i="2" a="1"/>
  <c r="L386" i="3" a="1"/>
  <c r="L303" i="3" a="1"/>
  <c r="I585" i="3" a="1"/>
  <c r="D224" i="3" a="1"/>
  <c r="A460" i="3" a="1"/>
  <c r="I195" i="3" a="1"/>
  <c r="G167" i="3" a="1"/>
  <c r="C367" i="2"/>
  <c r="B376" i="2"/>
  <c r="L486" i="3" a="1"/>
  <c r="E537" i="2" a="1"/>
  <c r="A25" i="3" a="1"/>
  <c r="M621" i="3" a="1"/>
  <c r="D241" i="3" a="1"/>
  <c r="G53" i="3" a="1"/>
  <c r="F215" i="3" a="1"/>
  <c r="C54" i="3" a="1"/>
  <c r="G318" i="3" a="1"/>
  <c r="D205" i="3" a="1"/>
  <c r="N402" i="3" a="1"/>
  <c r="C319" i="2"/>
  <c r="G592" i="3" a="1"/>
  <c r="N73" i="3" a="1"/>
  <c r="C277" i="2"/>
  <c r="G304" i="3" a="1"/>
  <c r="O391" i="3" a="1"/>
  <c r="F116" i="3" a="1"/>
  <c r="A407" i="3" a="1"/>
  <c r="O38" i="3" a="1"/>
  <c r="H88" i="3" a="1"/>
  <c r="D477" i="2"/>
  <c r="C192" i="2"/>
  <c r="B45" i="3" a="1"/>
  <c r="D576" i="2"/>
  <c r="P249" i="3" a="1"/>
  <c r="C318" i="3" a="1"/>
  <c r="M486" i="3" a="1"/>
  <c r="I291" i="3" a="1"/>
  <c r="I416" i="3" a="1"/>
  <c r="L463" i="3" a="1"/>
  <c r="H115" i="3" a="1"/>
  <c r="D464" i="2"/>
  <c r="F463" i="3" a="1"/>
  <c r="C288" i="2"/>
  <c r="I461" i="3" a="1"/>
  <c r="D284" i="2"/>
  <c r="P25" i="3" a="1"/>
  <c r="G58" i="3" a="1"/>
  <c r="F470" i="3" a="1"/>
  <c r="I545" i="3" a="1"/>
  <c r="E7" i="2" a="1"/>
  <c r="B503" i="3" a="1"/>
  <c r="N369" i="3" a="1"/>
  <c r="H33" i="3" a="1"/>
  <c r="N502" i="3" a="1"/>
  <c r="H433" i="3" a="1"/>
  <c r="B628" i="3" a="1"/>
  <c r="G578" i="3" a="1"/>
  <c r="P514" i="3" a="1"/>
  <c r="L542" i="3" a="1"/>
  <c r="F504" i="3" a="1"/>
  <c r="B152" i="2"/>
  <c r="A288" i="3" a="1"/>
  <c r="E290" i="2" a="1"/>
  <c r="D568" i="3" a="1"/>
  <c r="F565" i="3" a="1"/>
  <c r="B42" i="2"/>
  <c r="D67" i="2"/>
  <c r="A462" i="3" a="1"/>
  <c r="D297" i="3" a="1"/>
  <c r="A211" i="3" a="1"/>
  <c r="H260" i="3" a="1"/>
  <c r="P516" i="3" a="1"/>
  <c r="A322" i="3" a="1"/>
  <c r="B310" i="2"/>
  <c r="K414" i="3" a="1"/>
  <c r="N132" i="3" a="1"/>
  <c r="M14" i="3" a="1"/>
  <c r="D133" i="3" a="1"/>
  <c r="H142" i="3" a="1"/>
  <c r="O40" i="3" a="1"/>
  <c r="B205" i="2"/>
  <c r="B205" i="3" s="1" a="1"/>
  <c r="I480" i="3" a="1"/>
  <c r="G379" i="3" a="1"/>
  <c r="P324" i="3" a="1"/>
  <c r="B330" i="3" a="1"/>
  <c r="A185" i="3" a="1"/>
  <c r="D552" i="3" a="1"/>
  <c r="B299" i="3" a="1"/>
  <c r="O191" i="3" a="1"/>
  <c r="M341" i="3" a="1"/>
  <c r="F323" i="3" a="1"/>
  <c r="G125" i="3" a="1"/>
  <c r="N420" i="3" a="1"/>
  <c r="G128" i="3" a="1"/>
  <c r="O227" i="3" a="1"/>
  <c r="H302" i="3" a="1"/>
  <c r="A386" i="3" a="1"/>
  <c r="P186" i="3" a="1"/>
  <c r="D334" i="2"/>
  <c r="D366" i="2"/>
  <c r="H94" i="3" a="1"/>
  <c r="G493" i="3" a="1"/>
  <c r="M41" i="3" a="1"/>
  <c r="B639" i="3" a="1"/>
  <c r="B319" i="2"/>
  <c r="N68" i="3" a="1"/>
  <c r="C325" i="3" a="1"/>
  <c r="B393" i="2"/>
  <c r="O91" i="3" a="1"/>
  <c r="L595" i="3" a="1"/>
  <c r="K149" i="3" a="1"/>
  <c r="D591" i="2"/>
  <c r="B520" i="2"/>
  <c r="B520" i="3" s="1" a="1"/>
  <c r="P540" i="3" a="1"/>
  <c r="B607" i="2"/>
  <c r="E46" i="2" a="1"/>
  <c r="F610" i="3" a="1"/>
  <c r="C597" i="3" a="1"/>
  <c r="K406" i="3" a="1"/>
  <c r="M497" i="3" a="1"/>
  <c r="D179" i="3" a="1"/>
  <c r="N477" i="3" a="1"/>
  <c r="D244" i="3" a="1"/>
  <c r="M394" i="3" a="1"/>
  <c r="O406" i="3" a="1"/>
  <c r="C399" i="2"/>
  <c r="E494" i="2" a="1"/>
  <c r="O390" i="3" a="1"/>
  <c r="A268" i="3" a="1"/>
  <c r="P440" i="3" a="1"/>
  <c r="C530" i="2"/>
  <c r="L525" i="3" a="1"/>
  <c r="B585" i="2"/>
  <c r="B585" i="3" s="1" a="1"/>
  <c r="O560" i="3" a="1"/>
  <c r="O66" i="3" a="1"/>
  <c r="C463" i="3" a="1"/>
  <c r="N385" i="3" a="1"/>
  <c r="B387" i="3" a="1"/>
  <c r="D89" i="3" a="1"/>
  <c r="D398" i="3" a="1"/>
  <c r="E95" i="2" a="1"/>
  <c r="P18" i="3" a="1"/>
  <c r="O306" i="3" a="1"/>
  <c r="M103" i="3" a="1"/>
  <c r="G6" i="3" a="1"/>
  <c r="G222" i="3" a="1"/>
  <c r="N262" i="3" a="1"/>
  <c r="A567" i="3" a="1"/>
  <c r="G383" i="3" a="1"/>
  <c r="D375" i="2"/>
  <c r="O421" i="3" a="1"/>
  <c r="N536" i="3" a="1"/>
  <c r="D632" i="3" a="1"/>
  <c r="D54" i="3" a="1"/>
  <c r="C389" i="2"/>
  <c r="D467" i="2"/>
  <c r="E26" i="3" a="1"/>
  <c r="D199" i="3" a="1"/>
  <c r="L434" i="3" a="1"/>
  <c r="C611" i="3" a="1"/>
  <c r="A106" i="3" a="1"/>
  <c r="D227" i="3" a="1"/>
  <c r="F571" i="3" a="1"/>
  <c r="L420" i="3" a="1"/>
  <c r="C434" i="3" a="1"/>
  <c r="N458" i="3" a="1"/>
  <c r="D346" i="3" a="1"/>
  <c r="A44" i="3" a="1"/>
  <c r="A540" i="3" a="1"/>
  <c r="B352" i="2"/>
  <c r="M412" i="3" a="1"/>
  <c r="K34" i="3" a="1"/>
  <c r="C247" i="2"/>
  <c r="B157" i="2"/>
  <c r="D79" i="3" a="1"/>
  <c r="D329" i="3" a="1"/>
  <c r="C79" i="2"/>
  <c r="C79" i="3" s="1" a="1"/>
  <c r="C556" i="2"/>
  <c r="P556" i="3" a="1"/>
  <c r="F287" i="3" a="1"/>
  <c r="B252" i="3" a="1"/>
  <c r="M20" i="3" a="1"/>
  <c r="F625" i="3" a="1"/>
  <c r="C264" i="3" a="1"/>
  <c r="I170" i="3" a="1"/>
  <c r="L570" i="3" a="1"/>
  <c r="B595" i="3" a="1"/>
  <c r="N599" i="3" a="1"/>
  <c r="D600" i="3" a="1"/>
  <c r="P475" i="3" a="1"/>
  <c r="C327" i="2"/>
  <c r="N494" i="3" a="1"/>
  <c r="O513" i="3" a="1"/>
  <c r="B109" i="3" a="1"/>
  <c r="I143" i="3" a="1"/>
  <c r="B604" i="3" a="1"/>
  <c r="C559" i="3" a="1"/>
  <c r="B624" i="3" a="1"/>
  <c r="C268" i="3" a="1"/>
  <c r="C63" i="3" a="1"/>
  <c r="D138" i="3" a="1"/>
  <c r="D99" i="3" a="1"/>
  <c r="D589" i="3" a="1"/>
  <c r="M112" i="3" a="1"/>
  <c r="C91" i="3" a="1"/>
  <c r="D25" i="3" a="1"/>
  <c r="A81" i="3" a="1"/>
  <c r="C28" i="2"/>
  <c r="H108" i="3" a="1"/>
  <c r="P352" i="3" a="1"/>
  <c r="B34" i="3" a="1"/>
  <c r="A248" i="3" a="1"/>
  <c r="L46" i="3" a="1"/>
  <c r="B456" i="2"/>
  <c r="D167" i="3" a="1"/>
  <c r="D96" i="3" a="1"/>
  <c r="K596" i="3" a="1"/>
  <c r="B467" i="3" a="1"/>
  <c r="M59" i="3" a="1"/>
  <c r="O83" i="3" a="1"/>
  <c r="B55" i="2"/>
  <c r="B575" i="3" a="1"/>
  <c r="B57" i="3" a="1"/>
  <c r="L581" i="3" a="1"/>
  <c r="B170" i="2"/>
  <c r="O521" i="3" a="1"/>
  <c r="D370" i="3" a="1"/>
  <c r="D381" i="2"/>
  <c r="E627" i="2" a="1"/>
  <c r="C410" i="2"/>
  <c r="N281" i="3" a="1"/>
  <c r="O411" i="3" a="1"/>
  <c r="B324" i="3" a="1"/>
  <c r="B273" i="3" a="1"/>
  <c r="O205" i="3" a="1"/>
  <c r="P357" i="3" a="1"/>
  <c r="B59" i="3" a="1"/>
  <c r="K350" i="3" a="1"/>
  <c r="C305" i="2"/>
  <c r="A465" i="3" a="1"/>
  <c r="D468" i="3" a="1"/>
  <c r="C307" i="2"/>
  <c r="H79" i="3" a="1"/>
  <c r="H481" i="3" a="1"/>
  <c r="A224" i="3" a="1"/>
  <c r="A19" i="3" a="1"/>
  <c r="M247" i="3" a="1"/>
  <c r="H104" i="3" a="1"/>
  <c r="L246" i="3" a="1"/>
  <c r="N384" i="3" a="1"/>
  <c r="O324" i="3" a="1"/>
  <c r="E160" i="2" a="1"/>
  <c r="D300" i="2"/>
  <c r="F179" i="3" a="1"/>
  <c r="D317" i="3" a="1"/>
  <c r="C152" i="2"/>
  <c r="C339" i="2"/>
  <c r="G75" i="3" a="1"/>
  <c r="N486" i="3" a="1"/>
  <c r="H561" i="3" a="1"/>
  <c r="M358" i="3" a="1"/>
  <c r="N109" i="3" a="1"/>
  <c r="C575" i="3" a="1"/>
  <c r="B427" i="3" a="1"/>
  <c r="C275" i="2"/>
  <c r="D532" i="2"/>
  <c r="F202" i="3" a="1"/>
  <c r="E212" i="2" a="1"/>
  <c r="H137" i="3" a="1"/>
  <c r="B65" i="3" a="1"/>
  <c r="O430" i="3" a="1"/>
  <c r="I577" i="3" a="1"/>
  <c r="C495" i="2"/>
  <c r="B435" i="2"/>
  <c r="P375" i="3" a="1"/>
  <c r="O272" i="3" a="1"/>
  <c r="L69" i="3" a="1"/>
  <c r="C397" i="2"/>
  <c r="B25" i="3" a="1"/>
  <c r="P273" i="3" a="1"/>
  <c r="E219" i="2" a="1"/>
  <c r="G409" i="3" a="1"/>
  <c r="B582" i="2"/>
  <c r="C223" i="3" a="1"/>
  <c r="C290" i="3" a="1"/>
  <c r="F401" i="3" a="1"/>
  <c r="E445" i="2" a="1"/>
  <c r="B214" i="2"/>
  <c r="B75" i="2"/>
  <c r="F198" i="3" a="1"/>
  <c r="P548" i="3" a="1"/>
  <c r="B257" i="3" a="1"/>
  <c r="C623" i="3" a="1"/>
  <c r="C262" i="3" a="1"/>
  <c r="B382" i="3" a="1"/>
  <c r="C301" i="3" a="1"/>
  <c r="H509" i="3" a="1"/>
  <c r="K555" i="3" a="1"/>
  <c r="D450" i="3" a="1"/>
  <c r="M253" i="3" a="1"/>
  <c r="D539" i="3" a="1"/>
  <c r="I393" i="3" a="1"/>
  <c r="P53" i="3" a="1"/>
  <c r="D631" i="2"/>
  <c r="L61" i="3" a="1"/>
  <c r="N172" i="3" a="1"/>
  <c r="G293" i="3" a="1"/>
  <c r="K509" i="3" a="1"/>
  <c r="A53" i="3" a="1"/>
  <c r="B33" i="3" a="1"/>
  <c r="P145" i="3" a="1"/>
  <c r="M147" i="3" a="1"/>
  <c r="F138" i="3" a="1"/>
  <c r="D634" i="2"/>
  <c r="I33" i="3" a="1"/>
  <c r="C168" i="2"/>
  <c r="A29" i="3" a="1"/>
  <c r="A110" i="3" a="1"/>
  <c r="K131" i="3" a="1"/>
  <c r="D124" i="3" a="1"/>
  <c r="B331" i="3" a="1"/>
  <c r="B408" i="3" a="1"/>
  <c r="B607" i="3" a="1"/>
  <c r="C508" i="3" a="1"/>
  <c r="B296" i="3" a="1"/>
  <c r="B326" i="3" a="1"/>
  <c r="D243" i="3" a="1"/>
  <c r="D336" i="3" a="1"/>
  <c r="B18" i="2"/>
  <c r="L385" i="3" a="1"/>
  <c r="D420" i="3" a="1"/>
  <c r="H431" i="3" a="1"/>
  <c r="K537" i="3" a="1"/>
  <c r="B446" i="2"/>
  <c r="B333" i="3" a="1"/>
  <c r="F344" i="3" a="1"/>
  <c r="N417" i="3" a="1"/>
  <c r="F572" i="3" a="1"/>
  <c r="C16" i="2"/>
  <c r="C546" i="3" a="1"/>
  <c r="A404" i="3" a="1"/>
  <c r="M559" i="3" a="1"/>
  <c r="D175" i="2"/>
  <c r="A278" i="3" a="1"/>
  <c r="G103" i="3" a="1"/>
  <c r="P320" i="3" a="1"/>
  <c r="C112" i="3" a="1"/>
  <c r="C286" i="3" a="1"/>
  <c r="K97" i="3" a="1"/>
  <c r="D558" i="3" a="1"/>
  <c r="P481" i="3" a="1"/>
  <c r="B510" i="3" a="1"/>
  <c r="C256" i="3" a="1"/>
  <c r="B275" i="3" a="1"/>
  <c r="C251" i="3" a="1"/>
  <c r="B608" i="3" a="1"/>
  <c r="F583" i="3" a="1"/>
  <c r="N169" i="3" a="1"/>
  <c r="N84" i="3" a="1"/>
  <c r="L244" i="3" a="1"/>
  <c r="E577" i="2" a="1"/>
  <c r="K562" i="3" a="1"/>
  <c r="C507" i="2"/>
  <c r="B453" i="3" a="1"/>
  <c r="B154" i="3" a="1"/>
  <c r="M116" i="3" a="1"/>
  <c r="O558" i="3" a="1"/>
  <c r="O84" i="3" a="1"/>
  <c r="B439" i="2"/>
  <c r="D210" i="3" a="1"/>
  <c r="B277" i="2"/>
  <c r="F534" i="3" a="1"/>
  <c r="H358" i="3" a="1"/>
  <c r="L276" i="3" a="1"/>
  <c r="O586" i="3" a="1"/>
  <c r="P234" i="3" a="1"/>
  <c r="C260" i="3" a="1"/>
  <c r="O333" i="3" a="1"/>
  <c r="B146" i="3" a="1"/>
  <c r="D376" i="2"/>
  <c r="B303" i="2"/>
  <c r="M79" i="3" a="1"/>
  <c r="G112" i="3" a="1"/>
  <c r="G261" i="3" a="1"/>
  <c r="C621" i="2"/>
  <c r="C459" i="2"/>
  <c r="L176" i="3" a="1"/>
  <c r="C222" i="2"/>
  <c r="H532" i="3" a="1"/>
  <c r="A186" i="3" a="1"/>
  <c r="D121" i="2"/>
  <c r="C462" i="3" a="1"/>
  <c r="D489" i="3" a="1"/>
  <c r="G480" i="3" a="1"/>
  <c r="K411" i="3" a="1"/>
  <c r="B64" i="2"/>
  <c r="B64" i="3" s="1" a="1"/>
  <c r="D368" i="2"/>
  <c r="L311" i="3" a="1"/>
  <c r="H452" i="3" a="1"/>
  <c r="K580" i="3" a="1"/>
  <c r="C412" i="2"/>
  <c r="B307" i="3" a="1"/>
  <c r="K420" i="3" a="1"/>
  <c r="C637" i="2"/>
  <c r="B619" i="2"/>
  <c r="G631" i="3" a="1"/>
  <c r="C266" i="3" a="1"/>
  <c r="H438" i="3" a="1"/>
  <c r="M446" i="3" a="1"/>
  <c r="H428" i="3" a="1"/>
  <c r="C510" i="3" a="1"/>
  <c r="A215" i="3" a="1"/>
  <c r="A618" i="3" a="1"/>
  <c r="M399" i="3" a="1"/>
  <c r="C265" i="3" a="1"/>
  <c r="M4" i="3" a="1"/>
  <c r="L286" i="3" a="1"/>
  <c r="F597" i="3" a="1"/>
  <c r="H14" i="3" a="1"/>
  <c r="B473" i="3" a="1"/>
  <c r="C422" i="2"/>
  <c r="D439" i="2"/>
  <c r="B437" i="2"/>
  <c r="B437" i="3" s="1" a="1"/>
  <c r="G290" i="3" a="1"/>
  <c r="F485" i="3" a="1"/>
  <c r="D515" i="2"/>
  <c r="B309" i="2"/>
  <c r="B327" i="3" a="1"/>
  <c r="D566" i="3" a="1"/>
  <c r="D467" i="3" a="1"/>
  <c r="C71" i="3" a="1"/>
  <c r="D626" i="3" a="1"/>
  <c r="D242" i="2"/>
  <c r="N425" i="3" a="1"/>
  <c r="O74" i="3" a="1"/>
  <c r="P578" i="3" a="1"/>
  <c r="C82" i="3" a="1"/>
  <c r="D56" i="2"/>
  <c r="A122" i="3" a="1"/>
  <c r="K591" i="3" a="1"/>
  <c r="B85" i="2"/>
  <c r="B85" i="3" s="1" a="1"/>
  <c r="O366" i="3" a="1"/>
  <c r="G233" i="3" a="1"/>
  <c r="I448" i="3" a="1"/>
  <c r="K547" i="3" a="1"/>
  <c r="B142" i="2"/>
  <c r="O287" i="3" a="1"/>
  <c r="K245" i="3" a="1"/>
  <c r="A212" i="3" a="1"/>
  <c r="K484" i="3" a="1"/>
  <c r="A554" i="3" a="1"/>
  <c r="L224" i="3" a="1"/>
  <c r="N176" i="3" a="1"/>
  <c r="H238" i="3" a="1"/>
  <c r="P59" i="3" a="1"/>
  <c r="K616" i="3" a="1"/>
  <c r="F353" i="3" a="1"/>
  <c r="P581" i="3" a="1"/>
  <c r="P616" i="3" a="1"/>
  <c r="C215" i="2"/>
  <c r="C215" i="3" s="1" a="1"/>
  <c r="C309" i="2"/>
  <c r="C309" i="3" s="1" a="1"/>
  <c r="E634" i="2" a="1"/>
  <c r="K631" i="3" a="1"/>
  <c r="G574" i="3" a="1"/>
  <c r="K275" i="3" a="1"/>
  <c r="B596" i="2"/>
  <c r="G326" i="3" a="1"/>
  <c r="B153" i="2"/>
  <c r="B153" i="3" s="1" a="1"/>
  <c r="I230" i="3" a="1"/>
  <c r="N120" i="3" a="1"/>
  <c r="K489" i="3" a="1"/>
  <c r="D46" i="3" a="1"/>
  <c r="C531" i="2"/>
  <c r="F312" i="3" a="1"/>
  <c r="H575" i="3" a="1"/>
  <c r="K141" i="3" a="1"/>
  <c r="D403" i="3" a="1"/>
  <c r="H618" i="3" a="1"/>
  <c r="H239" i="3" a="1"/>
  <c r="F498" i="3" a="1"/>
  <c r="E433" i="2" a="1"/>
  <c r="O394" i="3" a="1"/>
  <c r="A272" i="3" a="1"/>
  <c r="B547" i="3" a="1"/>
  <c r="C96" i="2"/>
  <c r="C96" i="3" s="1" a="1"/>
  <c r="D623" i="3" a="1"/>
  <c r="M158" i="3" a="1"/>
  <c r="E84" i="2" a="1"/>
  <c r="K290" i="3" a="1"/>
  <c r="C359" i="2"/>
  <c r="C359" i="3" s="1" a="1"/>
  <c r="G19" i="3" a="1"/>
  <c r="G426" i="3" a="1"/>
  <c r="O567" i="3" a="1"/>
  <c r="I48" i="3" a="1"/>
  <c r="C135" i="2"/>
  <c r="H58" i="3" a="1"/>
  <c r="B526" i="2"/>
  <c r="L80" i="3" a="1"/>
  <c r="H503" i="3" a="1"/>
  <c r="A310" i="3" a="1"/>
  <c r="O143" i="3" a="1"/>
  <c r="G511" i="3" a="1"/>
  <c r="L423" i="3" a="1"/>
  <c r="H93" i="3" a="1"/>
  <c r="D434" i="2"/>
  <c r="A73" i="3" a="1"/>
  <c r="O417" i="3" a="1"/>
  <c r="H506" i="3" a="1"/>
  <c r="C588" i="3" a="1"/>
  <c r="F445" i="3" a="1"/>
  <c r="H76" i="3" a="1"/>
  <c r="E198" i="2" a="1"/>
  <c r="L307" i="3" a="1"/>
  <c r="B599" i="2"/>
  <c r="B599" i="3" s="1" a="1"/>
  <c r="K198" i="3" a="1"/>
  <c r="G465" i="3" a="1"/>
  <c r="E247" i="2" a="1"/>
  <c r="C45" i="2"/>
  <c r="C45" i="3" s="1" a="1"/>
  <c r="H65" i="3" a="1"/>
  <c r="A384" i="3" a="1"/>
  <c r="N515" i="3" a="1"/>
  <c r="K16" i="3" a="1"/>
  <c r="G322" i="3" a="1"/>
  <c r="P365" i="3" a="1"/>
  <c r="K185" i="3" a="1"/>
  <c r="P328" i="3" a="1"/>
  <c r="B116" i="3" a="1"/>
  <c r="C232" i="2"/>
  <c r="O564" i="3" a="1"/>
  <c r="I130" i="3" a="1"/>
  <c r="E333" i="2" a="1"/>
  <c r="K41" i="3" a="1"/>
  <c r="B195" i="2"/>
  <c r="A209" i="3" a="1"/>
  <c r="D129" i="2"/>
  <c r="L335" i="3" a="1"/>
  <c r="D406" i="2"/>
  <c r="K575" i="3" a="1"/>
  <c r="E235" i="2" a="1"/>
  <c r="P632" i="3" a="1"/>
  <c r="C349" i="3" a="1"/>
  <c r="N431" i="3" a="1"/>
  <c r="D113" i="2"/>
  <c r="E468" i="2" a="1"/>
  <c r="D365" i="2"/>
  <c r="F626" i="3" a="1"/>
  <c r="D130" i="2"/>
  <c r="A223" i="3" a="1"/>
  <c r="M60" i="3" a="1"/>
  <c r="B576" i="2"/>
  <c r="B576" i="3" s="1" a="1"/>
  <c r="C601" i="3" a="1"/>
  <c r="M171" i="3" a="1"/>
  <c r="A233" i="3" a="1"/>
  <c r="M478" i="3" a="1"/>
  <c r="D5" i="3" a="1"/>
  <c r="F207" i="3" a="1"/>
  <c r="E199" i="2" a="1"/>
  <c r="D212" i="2"/>
  <c r="L603" i="3" a="1"/>
  <c r="K229" i="3" a="1"/>
  <c r="G279" i="3" a="1"/>
  <c r="A636" i="3" a="1"/>
  <c r="G405" i="3" a="1"/>
  <c r="L496" i="3" a="1"/>
  <c r="B357" i="3" a="1"/>
  <c r="N230" i="3" a="1"/>
  <c r="B125" i="2"/>
  <c r="B125" i="3" s="1" a="1"/>
  <c r="B69" i="2"/>
  <c r="B69" i="3" s="1" a="1"/>
  <c r="E349" i="2" a="1"/>
  <c r="A600" i="3" a="1"/>
  <c r="G316" i="3" a="1"/>
  <c r="I128" i="3" a="1"/>
  <c r="I103" i="3" a="1"/>
  <c r="A94" i="3" a="1"/>
  <c r="B502" i="3" a="1"/>
  <c r="L221" i="3" a="1"/>
  <c r="F205" i="3" a="1"/>
  <c r="G155" i="3" a="1"/>
  <c r="C636" i="2"/>
  <c r="D633" i="3" a="1"/>
  <c r="O495" i="3" a="1"/>
  <c r="E421" i="2" a="1"/>
  <c r="L531" i="3" a="1"/>
  <c r="A570" i="3" a="1"/>
  <c r="D452" i="2"/>
  <c r="M181" i="3" a="1"/>
  <c r="B13" i="3" a="1"/>
  <c r="H425" i="3" a="1"/>
  <c r="D557" i="3" a="1"/>
  <c r="P636" i="3" a="1"/>
  <c r="D411" i="3" a="1"/>
  <c r="C631" i="2"/>
  <c r="C631" i="3" s="1" a="1"/>
  <c r="L332" i="3" a="1"/>
  <c r="F456" i="3" a="1"/>
  <c r="B466" i="3" a="1"/>
  <c r="N323" i="3" a="1"/>
  <c r="A587" i="3" a="1"/>
  <c r="D308" i="3" a="1"/>
  <c r="O240" i="3" a="1"/>
  <c r="C285" i="2"/>
  <c r="O308" i="3" a="1"/>
  <c r="O127" i="3" a="1"/>
  <c r="L192" i="3" a="1"/>
  <c r="F471" i="3" a="1"/>
  <c r="N416" i="3" a="1"/>
  <c r="N167" i="3" a="1"/>
  <c r="I298" i="3" a="1"/>
  <c r="D78" i="2"/>
  <c r="C520" i="2"/>
  <c r="G206" i="3" a="1"/>
  <c r="B422" i="2"/>
  <c r="C381" i="2"/>
  <c r="H210" i="3" a="1"/>
  <c r="B318" i="3" a="1"/>
  <c r="P511" i="3" a="1"/>
  <c r="B458" i="3" a="1"/>
  <c r="H223" i="3" a="1"/>
  <c r="M75" i="3" a="1"/>
  <c r="I94" i="3" a="1"/>
  <c r="F564" i="3" a="1"/>
  <c r="H355" i="3" a="1"/>
  <c r="F531" i="3" a="1"/>
  <c r="L228" i="3" a="1"/>
  <c r="D598" i="2"/>
  <c r="L167" i="3" a="1"/>
  <c r="C558" i="3" a="1"/>
  <c r="B499" i="3" a="1"/>
  <c r="C238" i="2"/>
  <c r="L342" i="3" a="1"/>
  <c r="P73" i="3" a="1"/>
  <c r="D577" i="2"/>
  <c r="G495" i="3" a="1"/>
  <c r="A345" i="3" a="1"/>
  <c r="D220" i="2"/>
  <c r="P220" i="3" a="1"/>
  <c r="N77" i="3" a="1"/>
  <c r="L92" i="3" a="1"/>
  <c r="I97" i="3" a="1"/>
  <c r="D512" i="3" a="1"/>
  <c r="B195" i="3" a="1"/>
  <c r="N136" i="3" a="1"/>
  <c r="A263" i="3" a="1"/>
  <c r="B496" i="3" a="1"/>
  <c r="A57" i="3" a="1"/>
  <c r="N483" i="3" a="1"/>
  <c r="M24" i="3" a="1"/>
  <c r="C241" i="2"/>
  <c r="M328" i="3" a="1"/>
  <c r="C489" i="2"/>
  <c r="N202" i="3" a="1"/>
  <c r="D42" i="2"/>
  <c r="B558" i="3" a="1"/>
  <c r="B243" i="3" a="1"/>
  <c r="L637" i="3" a="1"/>
  <c r="B452" i="2"/>
  <c r="F107" i="3" a="1"/>
  <c r="B537" i="2"/>
  <c r="B537" i="3" s="1" a="1"/>
  <c r="I370" i="3" a="1"/>
  <c r="E250" i="2" a="1"/>
  <c r="L227" i="3" a="1"/>
  <c r="K69" i="3" a="1"/>
  <c r="O118" i="3" a="1"/>
  <c r="B67" i="2"/>
  <c r="P618" i="3" a="1"/>
  <c r="E511" i="2" a="1"/>
  <c r="A578" i="3" a="1"/>
  <c r="I54" i="3" a="1"/>
  <c r="E281" i="2" a="1"/>
  <c r="C579" i="2"/>
  <c r="C579" i="3" s="1" a="1"/>
  <c r="D573" i="2"/>
  <c r="P515" i="3" a="1"/>
  <c r="K26" i="3" a="1"/>
  <c r="D350" i="3" a="1"/>
  <c r="O616" i="3" a="1"/>
  <c r="H485" i="3" a="1"/>
  <c r="B31" i="2"/>
  <c r="M290" i="3" a="1"/>
  <c r="P190" i="3" a="1"/>
  <c r="D605" i="2"/>
  <c r="B391" i="2"/>
  <c r="B391" i="3" s="1" a="1"/>
  <c r="F553" i="3" a="1"/>
  <c r="K30" i="3" a="1"/>
  <c r="G433" i="3" a="1"/>
  <c r="C341" i="2"/>
  <c r="C341" i="3" s="1" a="1"/>
  <c r="M230" i="3" a="1"/>
  <c r="I372" i="3" a="1"/>
  <c r="E414" i="2" a="1"/>
  <c r="L140" i="3" a="1"/>
  <c r="E549" i="2" a="1"/>
  <c r="D330" i="3" a="1"/>
  <c r="G143" i="3" a="1"/>
  <c r="H477" i="3" a="1"/>
  <c r="L293" i="3" a="1"/>
  <c r="D127" i="2"/>
  <c r="F510" i="3" a="1"/>
  <c r="C496" i="2"/>
  <c r="C496" i="3" s="1" a="1"/>
  <c r="H59" i="3" a="1"/>
  <c r="B600" i="3" a="1"/>
  <c r="N42" i="3" a="1"/>
  <c r="I179" i="3" a="1"/>
  <c r="F367" i="3" a="1"/>
  <c r="A576" i="3" a="1"/>
  <c r="C123" i="2"/>
  <c r="C123" i="3" s="1" a="1"/>
  <c r="D321" i="2"/>
  <c r="M472" i="3" a="1"/>
  <c r="C385" i="2"/>
  <c r="G303" i="3" a="1"/>
  <c r="N631" i="3" a="1"/>
  <c r="F577" i="3" a="1"/>
  <c r="B533" i="2"/>
  <c r="B533" i="3" s="1" a="1"/>
  <c r="K329" i="3" a="1"/>
  <c r="H55" i="3" a="1"/>
  <c r="C107" i="3" a="1"/>
  <c r="A61" i="3" a="1"/>
  <c r="I53" i="3" a="1"/>
  <c r="H272" i="3" a="1"/>
  <c r="C373" i="2"/>
  <c r="C373" i="3" s="1" a="1"/>
  <c r="A76" i="3" a="1"/>
  <c r="D586" i="2"/>
  <c r="K578" i="3" a="1"/>
  <c r="O110" i="3" a="1"/>
  <c r="A512" i="3" a="1"/>
  <c r="H580" i="3" a="1"/>
  <c r="H429" i="3" a="1"/>
  <c r="E367" i="2" a="1"/>
  <c r="E139" i="2" a="1"/>
  <c r="N617" i="3" a="1"/>
  <c r="O177" i="3" a="1"/>
  <c r="L336" i="3" a="1"/>
  <c r="H364" i="3" a="1"/>
  <c r="P226" i="3" a="1"/>
  <c r="D328" i="2"/>
  <c r="B89" i="2"/>
  <c r="B89" i="3" s="1" a="1"/>
  <c r="C73" i="3" a="1"/>
  <c r="F114" i="3" a="1"/>
  <c r="L625" i="3" a="1"/>
  <c r="A266" i="3" a="1"/>
  <c r="B622" i="2"/>
  <c r="G573" i="3" a="1"/>
  <c r="G577" i="3" a="1"/>
  <c r="M357" i="3" a="1"/>
  <c r="O454" i="3" a="1"/>
  <c r="E513" i="2" a="1"/>
  <c r="L483" i="3" a="1"/>
  <c r="P90" i="3" a="1"/>
  <c r="C240" i="3" a="1"/>
  <c r="I485" i="3" a="1"/>
  <c r="A222" i="3" a="1"/>
  <c r="G410" i="3" a="1"/>
  <c r="I588" i="3" a="1"/>
  <c r="N491" i="3" a="1"/>
  <c r="A133" i="3" a="1"/>
  <c r="M554" i="3" a="1"/>
  <c r="E548" i="2" a="1"/>
  <c r="O184" i="3" a="1"/>
  <c r="D294" i="3" a="1"/>
  <c r="F261" i="3" a="1"/>
  <c r="F492" i="3" a="1"/>
  <c r="K356" i="3" a="1"/>
  <c r="I389" i="3" a="1"/>
  <c r="E296" i="2" a="1"/>
  <c r="H550" i="3" a="1"/>
  <c r="P427" i="3" a="1"/>
  <c r="G146" i="3" a="1"/>
  <c r="O595" i="3" a="1"/>
  <c r="D65" i="3" a="1"/>
  <c r="F628" i="3" a="1"/>
  <c r="P493" i="3" a="1"/>
  <c r="B227" i="3" a="1"/>
  <c r="D233" i="3" a="1"/>
  <c r="M279" i="3" a="1"/>
  <c r="N441" i="3" a="1"/>
  <c r="H392" i="3" a="1"/>
  <c r="G12" i="3" a="1"/>
  <c r="B97" i="3" a="1"/>
  <c r="N273" i="3" a="1"/>
  <c r="D206" i="3" a="1"/>
  <c r="F175" i="3" a="1"/>
  <c r="C261" i="2"/>
  <c r="H466" i="3" a="1"/>
  <c r="M565" i="3" a="1"/>
  <c r="D172" i="3" a="1"/>
  <c r="P551" i="3" a="1"/>
  <c r="D288" i="3" a="1"/>
  <c r="H396" i="3" a="1"/>
  <c r="F580" i="3" a="1"/>
  <c r="M527" i="3" a="1"/>
  <c r="I202" i="3" a="1"/>
  <c r="O348" i="3" a="1"/>
  <c r="B73" i="3" a="1"/>
  <c r="O115" i="3" a="1"/>
  <c r="N59" i="3" a="1"/>
  <c r="M466" i="3" a="1"/>
  <c r="O89" i="3" a="1"/>
  <c r="D62" i="2"/>
  <c r="A50" i="3" a="1"/>
  <c r="I349" i="3" a="1"/>
  <c r="B565" i="3" a="1"/>
  <c r="C384" i="2"/>
  <c r="D17" i="3" a="1"/>
  <c r="L439" i="3" a="1"/>
  <c r="K485" i="3" a="1"/>
  <c r="L327" i="3" a="1"/>
  <c r="B377" i="3" a="1"/>
  <c r="L99" i="3" a="1"/>
  <c r="H182" i="3" a="1"/>
  <c r="D510" i="3" a="1"/>
  <c r="F57" i="3" a="1"/>
  <c r="N63" i="3" a="1"/>
  <c r="A298" i="3" a="1"/>
  <c r="B508" i="3" a="1"/>
  <c r="B222" i="2"/>
  <c r="I508" i="3" a="1"/>
  <c r="F165" i="3" a="1"/>
  <c r="O611" i="3" a="1"/>
  <c r="O65" i="3" a="1"/>
  <c r="G486" i="3" a="1"/>
  <c r="O335" i="3" a="1"/>
  <c r="P196" i="3" a="1"/>
  <c r="K461" i="3" a="1"/>
  <c r="G572" i="3" a="1"/>
  <c r="E151" i="2" a="1"/>
  <c r="O458" i="3" a="1"/>
  <c r="P191" i="3" a="1"/>
  <c r="P567" i="3" a="1"/>
  <c r="B39" i="2"/>
  <c r="C205" i="3" a="1"/>
  <c r="D360" i="3" a="1"/>
  <c r="G99" i="3" a="1"/>
  <c r="D388" i="3" a="1"/>
  <c r="P459" i="3" a="1"/>
  <c r="K67" i="3" a="1"/>
  <c r="G221" i="3" a="1"/>
  <c r="O570" i="3" a="1"/>
  <c r="A176" i="3" a="1"/>
  <c r="B622" i="3" a="1"/>
  <c r="G220" i="3" a="1"/>
  <c r="G162" i="3" a="1"/>
  <c r="D315" i="2"/>
  <c r="C617" i="2"/>
  <c r="E503" i="2" a="1"/>
  <c r="L102" i="3" a="1"/>
  <c r="B207" i="3" a="1"/>
  <c r="N538" i="3" a="1"/>
  <c r="I183" i="3" a="1"/>
  <c r="D90" i="3" a="1"/>
  <c r="I492" i="3" a="1"/>
  <c r="A97" i="3" a="1"/>
  <c r="F630" i="3" a="1"/>
  <c r="D358" i="3" a="1"/>
  <c r="D340" i="3" a="1"/>
  <c r="G308" i="3" a="1"/>
  <c r="D394" i="2"/>
  <c r="L365" i="3" a="1"/>
  <c r="I397" i="3" a="1"/>
  <c r="I340" i="3" a="1"/>
  <c r="C14" i="3" a="1"/>
  <c r="M18" i="3" a="1"/>
  <c r="B550" i="3" a="1"/>
  <c r="P447" i="3" a="1"/>
  <c r="L609" i="3" a="1"/>
  <c r="D198" i="2"/>
  <c r="L319" i="3" a="1"/>
  <c r="D209" i="3" a="1"/>
  <c r="B592" i="3" a="1"/>
  <c r="B345" i="3" a="1"/>
  <c r="N78" i="3" a="1"/>
  <c r="D584" i="2"/>
  <c r="E185" i="2" a="1"/>
  <c r="C383" i="2"/>
  <c r="G300" i="3" a="1"/>
  <c r="N221" i="3" a="1"/>
  <c r="O604" i="3" a="1"/>
  <c r="D187" i="3" a="1"/>
  <c r="P612" i="3" a="1"/>
  <c r="P564" i="3" a="1"/>
  <c r="O17" i="3" a="1"/>
  <c r="L470" i="3" a="1"/>
  <c r="E328" i="2" a="1"/>
  <c r="K463" i="3" a="1"/>
  <c r="O608" i="3" a="1"/>
  <c r="O591" i="3" a="1"/>
  <c r="B560" i="2"/>
  <c r="B560" i="3" s="1" a="1"/>
  <c r="H323" i="3" a="1"/>
  <c r="H483" i="3" a="1"/>
  <c r="L52" i="3" a="1"/>
  <c r="L261" i="3" a="1"/>
  <c r="P588" i="3" a="1"/>
  <c r="H549" i="3" a="1"/>
  <c r="C18" i="3" a="1"/>
  <c r="B54" i="2"/>
  <c r="K137" i="3" a="1"/>
  <c r="G312" i="3" a="1"/>
  <c r="K482" i="3" a="1"/>
  <c r="O359" i="3" a="1"/>
  <c r="H322" i="3" a="1"/>
  <c r="C19" i="3" a="1"/>
  <c r="D145" i="3" a="1"/>
  <c r="H567" i="3" a="1"/>
  <c r="D173" i="3" a="1"/>
  <c r="B305" i="3" a="1"/>
  <c r="D278" i="3" a="1"/>
  <c r="D413" i="3" a="1"/>
  <c r="D597" i="3" a="1"/>
  <c r="D136" i="2"/>
  <c r="H45" i="3" a="1"/>
  <c r="P182" i="3" a="1"/>
  <c r="D419" i="3" a="1"/>
  <c r="C157" i="3" a="1"/>
  <c r="P161" i="3" a="1"/>
  <c r="M10" i="3" a="1"/>
  <c r="B588" i="3" a="1"/>
  <c r="C364" i="2"/>
  <c r="C11" i="3" a="1"/>
  <c r="P95" i="3" a="1"/>
  <c r="C259" i="3" a="1"/>
  <c r="N233" i="3" a="1"/>
  <c r="D41" i="3" a="1"/>
  <c r="O626" i="3" a="1"/>
  <c r="K205" i="3" a="1"/>
  <c r="D13" i="2"/>
  <c r="C108" i="3" a="1"/>
  <c r="O523" i="3" a="1"/>
  <c r="L371" i="3" a="1"/>
  <c r="E307" i="2" a="1"/>
  <c r="H630" i="3" a="1"/>
  <c r="D39" i="2"/>
  <c r="D437" i="3" a="1"/>
  <c r="D304" i="3" a="1"/>
  <c r="L329" i="3" a="1"/>
  <c r="G549" i="3" a="1"/>
  <c r="F11" i="3" a="1"/>
  <c r="D147" i="3" a="1"/>
  <c r="M242" i="3" a="1"/>
  <c r="O634" i="3" a="1"/>
  <c r="D290" i="3" a="1"/>
  <c r="N463" i="3" a="1"/>
  <c r="B209" i="2"/>
  <c r="B209" i="3" s="1" a="1"/>
  <c r="D637" i="2"/>
  <c r="A449" i="3" a="1"/>
  <c r="D122" i="2"/>
  <c r="C29" i="2"/>
  <c r="L576" i="3" a="1"/>
  <c r="P575" i="3" a="1"/>
  <c r="A137" i="3" a="1"/>
  <c r="C544" i="3" a="1"/>
  <c r="C218" i="3" a="1"/>
  <c r="C230" i="3" a="1"/>
  <c r="B192" i="3" a="1"/>
  <c r="M66" i="3" a="1"/>
  <c r="B223" i="3" a="1"/>
  <c r="D449" i="3" a="1"/>
  <c r="C379" i="3" a="1"/>
  <c r="D615" i="3" a="1"/>
  <c r="D184" i="3" a="1"/>
  <c r="D324" i="3" a="1"/>
  <c r="I411" i="3" a="1"/>
  <c r="I362" i="3" a="1"/>
  <c r="D229" i="3" a="1"/>
  <c r="B200" i="3" a="1"/>
  <c r="K393" i="3" a="1"/>
  <c r="K524" i="3" a="1"/>
  <c r="D255" i="3" a="1"/>
  <c r="C198" i="2"/>
  <c r="C198" i="3" s="1" a="1"/>
  <c r="O461" i="3" a="1"/>
  <c r="D219" i="3" a="1"/>
  <c r="B451" i="3" a="1"/>
  <c r="K182" i="3" a="1"/>
  <c r="A283" i="3" a="1"/>
  <c r="I126" i="3" a="1"/>
  <c r="M509" i="3" a="1"/>
  <c r="P412" i="3" a="1"/>
  <c r="D493" i="3" a="1"/>
  <c r="D7" i="2"/>
  <c r="P248" i="3" a="1"/>
  <c r="D490" i="3" a="1"/>
  <c r="H330" i="3" a="1"/>
  <c r="D108" i="2"/>
  <c r="D53" i="3" a="1"/>
  <c r="K539" i="3" a="1"/>
  <c r="C141" i="3" a="1"/>
  <c r="G86" i="3" a="1"/>
  <c r="H465" i="3" a="1"/>
  <c r="F247" i="3" a="1"/>
  <c r="D639" i="3" a="1"/>
  <c r="N258" i="3" a="1"/>
  <c r="O326" i="3" a="1"/>
  <c r="B445" i="2"/>
  <c r="P396" i="3" a="1"/>
  <c r="A269" i="3" a="1"/>
  <c r="B349" i="3" a="1"/>
  <c r="C101" i="3" a="1"/>
  <c r="C184" i="3" a="1"/>
  <c r="C222" i="3" a="1"/>
  <c r="B41" i="3" a="1"/>
  <c r="B449" i="3" a="1"/>
  <c r="B281" i="3" a="1"/>
  <c r="C182" i="3" a="1"/>
  <c r="C569" i="3" a="1"/>
  <c r="C543" i="3" a="1"/>
  <c r="D453" i="3" a="1"/>
  <c r="D366" i="3" a="1"/>
  <c r="D183" i="3" a="1"/>
  <c r="K169" i="3" a="1"/>
  <c r="P521" i="3" a="1"/>
  <c r="H405" i="3" a="1"/>
  <c r="G336" i="3" a="1"/>
  <c r="G331" i="3" a="1"/>
  <c r="E197" i="2" a="1"/>
  <c r="D363" i="2"/>
  <c r="D152" i="3" a="1"/>
  <c r="F297" i="3" a="1"/>
  <c r="H53" i="3" a="1"/>
  <c r="F429" i="3" a="1"/>
  <c r="L519" i="3" a="1"/>
  <c r="P255" i="3" a="1"/>
  <c r="C402" i="2"/>
  <c r="F605" i="3" a="1"/>
  <c r="M201" i="3" a="1"/>
  <c r="P124" i="3" a="1"/>
  <c r="F585" i="3" a="1"/>
  <c r="C445" i="2"/>
  <c r="C445" i="3" s="1" a="1"/>
  <c r="H166" i="3" a="1"/>
  <c r="C15" i="2"/>
  <c r="C15" i="3" s="1" a="1"/>
  <c r="P133" i="3" a="1"/>
  <c r="N454" i="3" a="1"/>
  <c r="H521" i="3" a="1"/>
  <c r="G408" i="3" a="1"/>
  <c r="D636" i="3" a="1"/>
  <c r="O219" i="3" a="1"/>
  <c r="P120" i="3" a="1"/>
  <c r="K233" i="3" a="1"/>
  <c r="C394" i="2"/>
  <c r="B22" i="2"/>
  <c r="L341" i="3" a="1"/>
  <c r="B171" i="2"/>
  <c r="B171" i="3" s="1" a="1"/>
  <c r="C615" i="2"/>
  <c r="C615" i="3" s="1" a="1"/>
  <c r="F129" i="3" a="1"/>
  <c r="M518" i="3" a="1"/>
  <c r="I15" i="3" a="1"/>
  <c r="H543" i="3" a="1"/>
  <c r="L184" i="3" a="1"/>
  <c r="K313" i="3" a="1"/>
  <c r="B590" i="2"/>
  <c r="A621" i="3" a="1"/>
  <c r="H44" i="3" a="1"/>
  <c r="F69" i="3" a="1"/>
  <c r="P501" i="3" a="1"/>
  <c r="A595" i="3" a="1"/>
  <c r="H337" i="3" a="1"/>
  <c r="O114" i="3" a="1"/>
  <c r="P238" i="3" a="1"/>
  <c r="G248" i="3" a="1"/>
  <c r="E114" i="2" a="1"/>
  <c r="M45" i="3" a="1"/>
  <c r="E54" i="2" a="1"/>
  <c r="K619" i="3" a="1"/>
  <c r="M538" i="3" a="1"/>
  <c r="O562" i="3" a="1"/>
  <c r="B498" i="2"/>
  <c r="N12" i="3" a="1"/>
  <c r="K112" i="3" a="1"/>
  <c r="O279" i="3" a="1"/>
  <c r="H598" i="3" a="1"/>
  <c r="M293" i="3" a="1"/>
  <c r="N225" i="3" a="1"/>
  <c r="P79" i="3" a="1"/>
  <c r="M635" i="3" a="1"/>
  <c r="L51" i="3" a="1"/>
  <c r="A232" i="3" a="1"/>
  <c r="A116" i="3" a="1"/>
  <c r="G35" i="3" a="1"/>
  <c r="H352" i="3" a="1"/>
  <c r="K58" i="3" a="1"/>
  <c r="A531" i="3" a="1"/>
  <c r="B618" i="2"/>
  <c r="B618" i="3" s="1" a="1"/>
  <c r="F434" i="3" a="1"/>
  <c r="I257" i="3" a="1"/>
  <c r="K24" i="3" a="1"/>
  <c r="H627" i="3" a="1"/>
  <c r="D29" i="3" a="1"/>
  <c r="A418" i="3" a="1"/>
  <c r="D263" i="2"/>
  <c r="K602" i="3" a="1"/>
  <c r="C608" i="2"/>
  <c r="I289" i="3" a="1"/>
  <c r="K265" i="3" a="1"/>
  <c r="D492" i="3" a="1"/>
  <c r="N175" i="3" a="1"/>
  <c r="M415" i="3" a="1"/>
  <c r="G565" i="3" a="1"/>
  <c r="D495" i="2"/>
  <c r="I142" i="3" a="1"/>
  <c r="C237" i="2"/>
  <c r="C237" i="3" s="1" a="1"/>
  <c r="L503" i="3" a="1"/>
  <c r="L532" i="3" a="1"/>
  <c r="A403" i="3" a="1"/>
  <c r="M95" i="3" a="1"/>
  <c r="K104" i="3" a="1"/>
  <c r="P345" i="3" a="1"/>
  <c r="I280" i="3" a="1"/>
  <c r="E196" i="2" a="1"/>
  <c r="B465" i="3" a="1"/>
  <c r="K40" i="3" a="1"/>
  <c r="H128" i="3" a="1"/>
  <c r="C372" i="2"/>
  <c r="F505" i="3" a="1"/>
  <c r="D168" i="2"/>
  <c r="I243" i="3" a="1"/>
  <c r="H278" i="3" a="1"/>
  <c r="B378" i="2"/>
  <c r="H161" i="3" a="1"/>
  <c r="G419" i="3" a="1"/>
  <c r="K95" i="3" a="1"/>
  <c r="N457" i="3" a="1"/>
  <c r="H591" i="3" a="1"/>
  <c r="F393" i="3" a="1"/>
  <c r="M265" i="3" a="1"/>
  <c r="N41" i="3" a="1"/>
  <c r="A63" i="3" a="1"/>
  <c r="H86" i="3" a="1"/>
  <c r="I161" i="3" a="1"/>
  <c r="H395" i="3" a="1"/>
  <c r="C532" i="2"/>
  <c r="D569" i="2"/>
  <c r="P574" i="3" a="1"/>
  <c r="C431" i="2"/>
  <c r="B455" i="2"/>
  <c r="B455" i="3" s="1" a="1"/>
  <c r="M356" i="3" a="1"/>
  <c r="M65" i="3" a="1"/>
  <c r="D502" i="2"/>
  <c r="G289" i="3" a="1"/>
  <c r="C130" i="2"/>
  <c r="L444" i="3" a="1"/>
  <c r="A609" i="3" a="1"/>
  <c r="I629" i="3" a="1"/>
  <c r="H329" i="3" a="1"/>
  <c r="L440" i="3" a="1"/>
  <c r="A129" i="3" a="1"/>
  <c r="D178" i="3" a="1"/>
  <c r="L491" i="3" a="1"/>
  <c r="H297" i="3" a="1"/>
  <c r="C109" i="3" a="1"/>
  <c r="M244" i="3" a="1"/>
  <c r="C148" i="3" a="1"/>
  <c r="D203" i="3" a="1"/>
  <c r="C406" i="3" a="1"/>
  <c r="B306" i="3" a="1"/>
  <c r="H69" i="3" a="1"/>
  <c r="G121" i="3" a="1"/>
  <c r="D107" i="2"/>
  <c r="L460" i="3" a="1"/>
  <c r="I56" i="3" a="1"/>
  <c r="D311" i="3" a="1"/>
  <c r="N392" i="3" a="1"/>
  <c r="C119" i="3" a="1"/>
  <c r="D159" i="2"/>
  <c r="H436" i="3" a="1"/>
  <c r="M88" i="3" a="1"/>
  <c r="G469" i="3" a="1"/>
  <c r="P348" i="3" a="1"/>
  <c r="B21" i="2"/>
  <c r="E72" i="2" a="1"/>
  <c r="M522" i="3" a="1"/>
  <c r="M575" i="3" a="1"/>
  <c r="D404" i="2"/>
  <c r="G135" i="3" a="1"/>
  <c r="A214" i="3" a="1"/>
  <c r="N271" i="3" a="1"/>
  <c r="B289" i="3" a="1"/>
  <c r="I491" i="3" a="1"/>
  <c r="D463" i="2"/>
  <c r="D331" i="2"/>
  <c r="C608" i="3" a="1"/>
  <c r="D349" i="2"/>
  <c r="B175" i="3" a="1"/>
  <c r="P6" i="3" a="1"/>
  <c r="C413" i="2"/>
  <c r="C413" i="3" s="1" a="1"/>
  <c r="C605" i="3" a="1"/>
  <c r="I281" i="3" a="1"/>
  <c r="C421" i="3" a="1"/>
  <c r="D611" i="2"/>
  <c r="A38" i="3" a="1"/>
  <c r="G264" i="3" a="1"/>
  <c r="A271" i="3" a="1"/>
  <c r="M82" i="3" a="1"/>
  <c r="I374" i="3" a="1"/>
  <c r="C239" i="3" a="1"/>
  <c r="M184" i="3" a="1"/>
  <c r="A538" i="3" a="1"/>
  <c r="C98" i="3" a="1"/>
  <c r="B521" i="2"/>
  <c r="B521" i="3" s="1" a="1"/>
  <c r="C183" i="2"/>
  <c r="C183" i="3" s="1" a="1"/>
  <c r="H136" i="3" a="1"/>
  <c r="I178" i="3" a="1"/>
  <c r="E115" i="2" a="1"/>
  <c r="C415" i="3" a="1"/>
  <c r="D254" i="3" a="1"/>
  <c r="L6" i="3" a="1"/>
  <c r="B621" i="2"/>
  <c r="E334" i="2" a="1"/>
  <c r="C217" i="3" a="1"/>
  <c r="I602" i="3" a="1"/>
  <c r="C465" i="2"/>
  <c r="O26" i="3" a="1"/>
  <c r="M28" i="3" a="1"/>
  <c r="H569" i="3" a="1"/>
  <c r="F216" i="3" a="1"/>
  <c r="E287" i="2" a="1"/>
  <c r="H83" i="3" a="1"/>
  <c r="M188" i="3" a="1"/>
  <c r="K178" i="3" a="1"/>
  <c r="D498" i="3" a="1"/>
  <c r="I640" i="3" a="1"/>
  <c r="O518" i="3" a="1"/>
  <c r="A189" i="3" a="1"/>
  <c r="L389" i="3" a="1"/>
  <c r="D507" i="3" a="1"/>
  <c r="K492" i="3" a="1"/>
  <c r="C281" i="3" a="1"/>
  <c r="D547" i="3" a="1"/>
  <c r="E480" i="2" a="1"/>
  <c r="F587" i="3" a="1"/>
  <c r="D21" i="3" a="1"/>
  <c r="C206" i="3" a="1"/>
  <c r="E242" i="2" a="1"/>
  <c r="D440" i="3" a="1"/>
  <c r="C479" i="2"/>
  <c r="B127" i="3" a="1"/>
  <c r="K564" i="3" a="1"/>
  <c r="M419" i="3" a="1"/>
  <c r="N555" i="3" a="1"/>
  <c r="H459" i="3" a="1"/>
  <c r="D534" i="2"/>
  <c r="E277" i="2" a="1"/>
  <c r="D301" i="3" a="1"/>
  <c r="C229" i="3" a="1"/>
  <c r="P568" i="3" a="1"/>
  <c r="C258" i="2"/>
  <c r="D543" i="3" a="1"/>
  <c r="B272" i="2"/>
  <c r="D604" i="2"/>
  <c r="I433" i="3" a="1"/>
  <c r="C49" i="3" a="1"/>
  <c r="B425" i="3" a="1"/>
  <c r="F258" i="3" a="1"/>
  <c r="E225" i="2" a="1"/>
  <c r="D325" i="2"/>
  <c r="D356" i="3" a="1"/>
  <c r="F98" i="3" a="1"/>
  <c r="A69" i="3" a="1"/>
  <c r="G160" i="3" a="1"/>
  <c r="P117" i="3" a="1"/>
  <c r="C618" i="3" a="1"/>
  <c r="H244" i="3" a="1"/>
  <c r="E595" i="2" a="1"/>
  <c r="F45" i="3" a="1"/>
  <c r="M489" i="3" a="1"/>
  <c r="B22" i="3" a="1"/>
  <c r="A41" i="3" a="1"/>
  <c r="F440" i="3" a="1"/>
  <c r="K196" i="3" a="1"/>
  <c r="E12" i="2" a="1"/>
  <c r="B489" i="2"/>
  <c r="B489" i="3" s="1" a="1"/>
  <c r="D434" i="3" a="1"/>
  <c r="F591" i="3" a="1"/>
  <c r="D128" i="2"/>
  <c r="K502" i="3" a="1"/>
  <c r="D39" i="3" a="1"/>
  <c r="N116" i="3" a="1"/>
  <c r="E412" i="2" a="1"/>
  <c r="M245" i="3" a="1"/>
  <c r="C277" i="3" a="1"/>
  <c r="E14" i="2" a="1"/>
  <c r="F43" i="3" a="1"/>
  <c r="M622" i="3" a="1"/>
  <c r="H636" i="3" a="1"/>
  <c r="C178" i="3" a="1"/>
  <c r="O41" i="3" a="1"/>
  <c r="O4" i="3" a="1"/>
  <c r="F581" i="3" a="1"/>
  <c r="I222" i="3" a="1"/>
  <c r="C403" i="2"/>
  <c r="B70" i="3" a="1"/>
  <c r="N633" i="3" a="1"/>
  <c r="D326" i="2"/>
  <c r="B100" i="2"/>
  <c r="D375" i="3" a="1"/>
  <c r="B623" i="3" a="1"/>
  <c r="P334" i="3" a="1"/>
  <c r="B72" i="3" a="1"/>
  <c r="B163" i="3" a="1"/>
  <c r="D373" i="3" a="1"/>
  <c r="B242" i="3" a="1"/>
  <c r="B511" i="2"/>
  <c r="C10" i="2"/>
  <c r="K408" i="3" a="1"/>
  <c r="C340" i="3" a="1"/>
  <c r="D42" i="3" a="1"/>
  <c r="O593" i="3" a="1"/>
  <c r="E371" i="2" a="1"/>
  <c r="O126" i="3" a="1"/>
  <c r="E639" i="2" a="1"/>
  <c r="K138" i="3" a="1"/>
  <c r="A166" i="3" a="1"/>
  <c r="N239" i="3" a="1"/>
  <c r="L148" i="3" a="1"/>
  <c r="B310" i="3" a="1"/>
  <c r="K124" i="3" a="1"/>
  <c r="D230" i="2"/>
  <c r="E217" i="2" a="1"/>
  <c r="D108" i="3" a="1"/>
  <c r="C312" i="3" a="1"/>
  <c r="C276" i="3" a="1"/>
  <c r="B199" i="3" a="1"/>
  <c r="B170" i="3" a="1"/>
  <c r="D193" i="3" a="1"/>
  <c r="D534" i="3" a="1"/>
  <c r="L5" i="3" a="1"/>
  <c r="M562" i="3" a="1"/>
  <c r="O494" i="3" a="1"/>
  <c r="M180" i="3" a="1"/>
  <c r="M271" i="3" a="1"/>
  <c r="G64" i="3" a="1"/>
  <c r="F193" i="3" a="1"/>
  <c r="E275" i="2" a="1"/>
  <c r="O178" i="3" a="1"/>
  <c r="N226" i="3" a="1"/>
  <c r="I152" i="3" a="1"/>
  <c r="F636" i="3" a="1"/>
  <c r="N526" i="3" a="1"/>
  <c r="P75" i="3" a="1"/>
  <c r="I390" i="3" a="1"/>
  <c r="N60" i="3" a="1"/>
  <c r="E567" i="2" a="1"/>
  <c r="L513" i="3" a="1"/>
  <c r="E558" i="2" a="1"/>
  <c r="A34" i="3" a="1"/>
  <c r="D560" i="2"/>
  <c r="F134" i="3" a="1"/>
  <c r="K433" i="3" a="1"/>
  <c r="E624" i="2" a="1"/>
  <c r="E257" i="2" a="1"/>
  <c r="P432" i="3" a="1"/>
  <c r="M617" i="3" a="1"/>
  <c r="C153" i="2"/>
  <c r="C153" i="3" s="1" a="1"/>
  <c r="C371" i="2"/>
  <c r="C371" i="3" s="1" a="1"/>
  <c r="C401" i="2"/>
  <c r="A493" i="3" a="1"/>
  <c r="M363" i="3" a="1"/>
  <c r="O547" i="3" a="1"/>
  <c r="M457" i="3" a="1"/>
  <c r="B297" i="2"/>
  <c r="O6" i="3" a="1"/>
  <c r="L323" i="3" a="1"/>
  <c r="H54" i="3" a="1"/>
  <c r="C313" i="3" a="1"/>
  <c r="M71" i="3" a="1"/>
  <c r="M350" i="3" a="1"/>
  <c r="C252" i="2"/>
  <c r="C252" i="3" s="1" a="1"/>
  <c r="O202" i="3" a="1"/>
  <c r="A568" i="3" a="1"/>
  <c r="E318" i="2" a="1"/>
  <c r="I587" i="3" a="1"/>
  <c r="I8" i="3" a="1"/>
  <c r="F240" i="3" a="1"/>
  <c r="C128" i="3" a="1"/>
  <c r="C70" i="2"/>
  <c r="I242" i="3" a="1"/>
  <c r="P239" i="3" a="1"/>
  <c r="A318" i="3" a="1"/>
  <c r="P7" i="3" a="1"/>
  <c r="K470" i="3" a="1"/>
  <c r="B516" i="3" a="1"/>
  <c r="C331" i="2"/>
  <c r="C331" i="3" s="1" a="1"/>
  <c r="P625" i="3" a="1"/>
  <c r="M566" i="3" a="1"/>
  <c r="C68" i="3" a="1"/>
  <c r="N528" i="3" a="1"/>
  <c r="B176" i="2"/>
  <c r="C147" i="2"/>
  <c r="C291" i="2"/>
  <c r="C291" i="3" s="1" a="1"/>
  <c r="K220" i="3" a="1"/>
  <c r="I224" i="3" a="1"/>
  <c r="P148" i="3" a="1"/>
  <c r="D537" i="3" a="1"/>
  <c r="I89" i="3" a="1"/>
  <c r="O171" i="3" a="1"/>
  <c r="G618" i="3" a="1"/>
  <c r="E19" i="2" a="1"/>
  <c r="L490" i="3" a="1"/>
  <c r="A429" i="3" a="1"/>
  <c r="G353" i="3" a="1"/>
  <c r="C38" i="2"/>
  <c r="C38" i="3" s="1" a="1"/>
  <c r="C550" i="2"/>
  <c r="C550" i="3" s="1" a="1"/>
  <c r="D355" i="2"/>
  <c r="C75" i="3" a="1"/>
  <c r="E637" i="2" a="1"/>
  <c r="D94" i="2"/>
  <c r="A503" i="3" a="1"/>
  <c r="G384" i="3" a="1"/>
  <c r="B173" i="2"/>
  <c r="B173" i="3" s="1" a="1"/>
  <c r="P77" i="3" a="1"/>
  <c r="N487" i="3" a="1"/>
  <c r="K621" i="3" a="1"/>
  <c r="F443" i="3" a="1"/>
  <c r="A130" i="3" a="1"/>
  <c r="I589" i="3" a="1"/>
  <c r="D559" i="3" a="1"/>
  <c r="F121" i="3" a="1"/>
  <c r="F150" i="3" a="1"/>
  <c r="G559" i="3" a="1"/>
  <c r="N589" i="3" a="1"/>
  <c r="K190" i="3" a="1"/>
  <c r="M513" i="3" a="1"/>
  <c r="B612" i="3" a="1"/>
  <c r="G193" i="3" a="1"/>
  <c r="D383" i="2"/>
  <c r="F560" i="3" a="1"/>
  <c r="C362" i="2"/>
  <c r="C362" i="3" s="1" a="1"/>
  <c r="B121" i="3" a="1"/>
  <c r="B128" i="3" a="1"/>
  <c r="D174" i="2"/>
  <c r="F168" i="3" a="1"/>
  <c r="A376" i="3" a="1"/>
  <c r="F318" i="3" a="1"/>
  <c r="B492" i="2"/>
  <c r="P299" i="3" a="1"/>
  <c r="A250" i="3" a="1"/>
  <c r="M211" i="3" a="1"/>
  <c r="F25" i="3" a="1"/>
  <c r="H41" i="3" a="1"/>
  <c r="C149" i="3" a="1"/>
  <c r="P354" i="3" a="1"/>
  <c r="K94" i="3" a="1"/>
  <c r="B350" i="3" a="1"/>
  <c r="O85" i="3" a="1"/>
  <c r="P466" i="3" a="1"/>
  <c r="K172" i="3" a="1"/>
  <c r="D10" i="3" a="1"/>
  <c r="E601" i="2" a="1"/>
  <c r="O96" i="3" a="1"/>
  <c r="M29" i="3" a="1"/>
  <c r="P274" i="3" a="1"/>
  <c r="F173" i="3" a="1"/>
  <c r="E386" i="2" a="1"/>
  <c r="H407" i="3" a="1"/>
  <c r="I264" i="3" a="1"/>
  <c r="L403" i="3" a="1"/>
  <c r="B638" i="3" a="1"/>
  <c r="B139" i="3" a="1"/>
  <c r="E623" i="2" a="1"/>
  <c r="F67" i="3" a="1"/>
  <c r="P553" i="3" a="1"/>
  <c r="G271" i="3" a="1"/>
  <c r="A475" i="3" a="1"/>
  <c r="B572" i="2"/>
  <c r="B572" i="3" s="1" a="1"/>
  <c r="F315" i="3" a="1"/>
  <c r="P286" i="3" a="1"/>
  <c r="O563" i="3" a="1"/>
  <c r="I288" i="3" a="1"/>
  <c r="I501" i="3" a="1"/>
  <c r="M250" i="3" a="1"/>
  <c r="M361" i="3" a="1"/>
  <c r="C589" i="3" a="1"/>
  <c r="N180" i="3" a="1"/>
  <c r="B526" i="3" a="1"/>
  <c r="H356" i="3" a="1"/>
  <c r="C308" i="2"/>
  <c r="D433" i="3" a="1"/>
  <c r="G473" i="3" a="1"/>
  <c r="B447" i="2"/>
  <c r="C185" i="3" a="1"/>
  <c r="B340" i="2"/>
  <c r="C100" i="2"/>
  <c r="D571" i="2"/>
  <c r="B142" i="3" a="1"/>
  <c r="O15" i="3" a="1"/>
  <c r="K191" i="3" a="1"/>
  <c r="L398" i="3" a="1"/>
  <c r="K232" i="3" a="1"/>
  <c r="B424" i="3" a="1"/>
  <c r="B180" i="2"/>
  <c r="B180" i="3" s="1" a="1"/>
  <c r="C56" i="2"/>
  <c r="D526" i="3" a="1"/>
  <c r="O289" i="3" a="1"/>
  <c r="N178" i="3" a="1"/>
  <c r="I138" i="3" a="1"/>
  <c r="C619" i="3" a="1"/>
  <c r="D47" i="3" a="1"/>
  <c r="C335" i="2"/>
  <c r="B46" i="3" a="1"/>
  <c r="P158" i="3" a="1"/>
  <c r="D120" i="3" a="1"/>
  <c r="D376" i="3" a="1"/>
  <c r="D198" i="3" a="1"/>
  <c r="L554" i="3" a="1"/>
  <c r="L212" i="3" a="1"/>
  <c r="C414" i="2"/>
  <c r="C414" i="3" s="1" a="1"/>
  <c r="I275" i="3" a="1"/>
  <c r="O397" i="3" a="1"/>
  <c r="D374" i="3" a="1"/>
  <c r="B179" i="3" a="1"/>
  <c r="D575" i="3" a="1"/>
  <c r="C347" i="2"/>
  <c r="C347" i="3" s="1" a="1"/>
  <c r="G345" i="3" a="1"/>
  <c r="F119" i="3" a="1"/>
  <c r="F158" i="3" a="1"/>
  <c r="B244" i="3" a="1"/>
  <c r="O90" i="3" a="1"/>
  <c r="C368" i="3" a="1"/>
  <c r="B555" i="2"/>
  <c r="C360" i="3" a="1"/>
  <c r="I313" i="3" a="1"/>
  <c r="F144" i="3" a="1"/>
  <c r="I11" i="3" a="1"/>
  <c r="H544" i="3" a="1"/>
  <c r="H277" i="3" a="1"/>
  <c r="K333" i="3" a="1"/>
  <c r="A164" i="3" a="1"/>
  <c r="M391" i="3" a="1"/>
  <c r="K582" i="3" a="1"/>
  <c r="F558" i="3" a="1"/>
  <c r="C384" i="3" a="1"/>
  <c r="K605" i="3" a="1"/>
  <c r="F360" i="3" a="1"/>
  <c r="A23" i="3" a="1"/>
  <c r="E382" i="2" a="1"/>
  <c r="C231" i="3" a="1"/>
  <c r="M26" i="3" a="1"/>
  <c r="B3" i="3" a="1"/>
  <c r="I557" i="3" a="1"/>
  <c r="B135" i="3" a="1"/>
  <c r="B152" i="3" a="1"/>
  <c r="K558" i="3" a="1"/>
  <c r="B62" i="2"/>
  <c r="I136" i="3" a="1"/>
  <c r="C121" i="3" a="1"/>
  <c r="H604" i="3" a="1"/>
  <c r="B219" i="3" a="1"/>
  <c r="H229" i="3" a="1"/>
  <c r="O161" i="3" a="1"/>
  <c r="K92" i="3" a="1"/>
  <c r="D302" i="3" a="1"/>
  <c r="F276" i="3" a="1"/>
  <c r="F343" i="3" a="1"/>
  <c r="D591" i="3" a="1"/>
  <c r="C204" i="2"/>
  <c r="C204" i="3" s="1" a="1"/>
  <c r="N485" i="3" a="1"/>
  <c r="C31" i="3" a="1"/>
  <c r="O537" i="3" a="1"/>
  <c r="K498" i="3" a="1"/>
  <c r="B224" i="2"/>
  <c r="B14" i="2"/>
  <c r="D245" i="2"/>
  <c r="D190" i="3" a="1"/>
  <c r="D258" i="3" a="1"/>
  <c r="D37" i="2"/>
  <c r="A5" i="3" a="1"/>
  <c r="H463" i="3" a="1"/>
  <c r="C110" i="3" a="1"/>
  <c r="E611" i="2" a="1"/>
  <c r="F398" i="3" a="1"/>
  <c r="I285" i="3" a="1"/>
  <c r="G463" i="3" a="1"/>
  <c r="C196" i="3" a="1"/>
  <c r="N347" i="3" a="1"/>
  <c r="P69" i="3" a="1"/>
  <c r="C285" i="3" a="1"/>
  <c r="C52" i="2"/>
  <c r="B561" i="2"/>
  <c r="B386" i="2"/>
  <c r="H140" i="3" a="1"/>
  <c r="H185" i="3" a="1"/>
  <c r="C308" i="3" a="1"/>
  <c r="D334" i="3" a="1"/>
  <c r="M235" i="3" a="1"/>
  <c r="L492" i="3" a="1"/>
  <c r="A545" i="3" a="1"/>
  <c r="D456" i="2"/>
  <c r="D422" i="3" a="1"/>
  <c r="D532" i="3" a="1"/>
  <c r="C383" i="3" a="1"/>
  <c r="B140" i="3" a="1"/>
  <c r="C59" i="3" a="1"/>
  <c r="B633" i="3" a="1"/>
  <c r="C295" i="3" a="1"/>
  <c r="C452" i="3" a="1"/>
  <c r="D635" i="3" a="1"/>
  <c r="D161" i="3" a="1"/>
  <c r="A448" i="3" a="1"/>
  <c r="M618" i="3" a="1"/>
  <c r="P565" i="3" a="1"/>
  <c r="L488" i="3" a="1"/>
  <c r="K402" i="3" a="1"/>
  <c r="L424" i="3" a="1"/>
  <c r="L165" i="3" a="1"/>
  <c r="M99" i="3" a="1"/>
  <c r="P449" i="3" a="1"/>
  <c r="A282" i="3" a="1"/>
  <c r="E100" i="2" a="1"/>
  <c r="D70" i="2"/>
  <c r="A481" i="3" a="1"/>
  <c r="A196" i="3" a="1"/>
  <c r="C297" i="2"/>
  <c r="C297" i="3" s="1" a="1"/>
  <c r="E562" i="2" a="1"/>
  <c r="H391" i="3" a="1"/>
  <c r="P380" i="3" a="1"/>
  <c r="I318" i="3" a="1"/>
  <c r="A191" i="3" a="1"/>
  <c r="G440" i="3" a="1"/>
  <c r="L406" i="3" a="1"/>
  <c r="D363" i="3" a="1"/>
  <c r="P269" i="3" a="1"/>
  <c r="D323" i="2"/>
  <c r="B137" i="2"/>
  <c r="A603" i="3" a="1"/>
  <c r="C175" i="2"/>
  <c r="L290" i="3" a="1"/>
  <c r="F115" i="3" a="1"/>
  <c r="O212" i="3" a="1"/>
  <c r="G37" i="3" a="1"/>
  <c r="B362" i="2"/>
  <c r="B362" i="3" s="1" a="1"/>
  <c r="N151" i="3" a="1"/>
  <c r="L454" i="3" a="1"/>
  <c r="F47" i="3" a="1"/>
  <c r="I98" i="3" a="1"/>
  <c r="M89" i="3" a="1"/>
  <c r="B418" i="2"/>
  <c r="F123" i="3" a="1"/>
  <c r="D32" i="2"/>
  <c r="F526" i="3" a="1"/>
  <c r="A64" i="3" a="1"/>
  <c r="D473" i="2"/>
  <c r="E635" i="2" a="1"/>
  <c r="B258" i="2"/>
  <c r="B258" i="3" s="1" a="1"/>
  <c r="H313" i="3" a="1"/>
  <c r="P58" i="3" a="1"/>
  <c r="G218" i="3" a="1"/>
  <c r="C549" i="2"/>
  <c r="C549" i="3" s="1" a="1"/>
  <c r="G378" i="3" a="1"/>
  <c r="C66" i="2"/>
  <c r="M434" i="3" a="1"/>
  <c r="N451" i="3" a="1"/>
  <c r="D322" i="3" a="1"/>
  <c r="G531" i="3" a="1"/>
  <c r="B6" i="2"/>
  <c r="O376" i="3" a="1"/>
  <c r="F268" i="3" a="1"/>
  <c r="F48" i="3" a="1"/>
  <c r="A114" i="3" a="1"/>
  <c r="O336" i="3" a="1"/>
  <c r="I497" i="3" a="1"/>
  <c r="N268" i="3" a="1"/>
  <c r="I574" i="3" a="1"/>
  <c r="G200" i="3" a="1"/>
  <c r="M508" i="3" a="1"/>
  <c r="F516" i="3" a="1"/>
  <c r="O2" i="3" a="1"/>
  <c r="K143" i="3" a="1"/>
  <c r="E597" i="2" a="1"/>
  <c r="D524" i="3" a="1"/>
  <c r="I425" i="3" a="1"/>
  <c r="A551" i="3" a="1"/>
  <c r="D446" i="3" a="1"/>
  <c r="M298" i="3" a="1"/>
  <c r="B483" i="3" a="1"/>
  <c r="C405" i="2"/>
  <c r="A170" i="3" a="1"/>
  <c r="C248" i="2"/>
  <c r="C248" i="3" s="1" a="1"/>
  <c r="G330" i="3" a="1"/>
  <c r="O138" i="3" a="1"/>
  <c r="C404" i="3" a="1"/>
  <c r="N71" i="3" a="1"/>
  <c r="B108" i="2"/>
  <c r="P435" i="3" a="1"/>
  <c r="O392" i="3" a="1"/>
  <c r="P76" i="3" a="1"/>
  <c r="O22" i="3" a="1"/>
  <c r="H296" i="3" a="1"/>
  <c r="O211" i="3" a="1"/>
  <c r="B434" i="2"/>
  <c r="B434" i="3" s="1" a="1"/>
  <c r="K61" i="3" a="1"/>
  <c r="P308" i="3" a="1"/>
  <c r="O147" i="3" a="1"/>
  <c r="G616" i="3" a="1"/>
  <c r="D143" i="2"/>
  <c r="I482" i="3" a="1"/>
  <c r="K577" i="3" a="1"/>
  <c r="E556" i="2" a="1"/>
  <c r="L592" i="3" a="1"/>
  <c r="M530" i="3" a="1"/>
  <c r="C555" i="2"/>
  <c r="A443" i="3" a="1"/>
  <c r="M607" i="3" a="1"/>
  <c r="G333" i="3" a="1"/>
  <c r="H361" i="3" a="1"/>
  <c r="P244" i="3" a="1"/>
  <c r="N179" i="3" a="1"/>
  <c r="H418" i="3" a="1"/>
  <c r="E233" i="2" a="1"/>
  <c r="D406" i="3" a="1"/>
  <c r="D417" i="3" a="1"/>
  <c r="P500" i="3" a="1"/>
  <c r="O501" i="3" a="1"/>
  <c r="M120" i="3" a="1"/>
  <c r="H12" i="3" a="1"/>
  <c r="K118" i="3" a="1"/>
  <c r="C630" i="2"/>
  <c r="C630" i="3" s="1" a="1"/>
  <c r="E158" i="2" a="1"/>
  <c r="C174" i="2"/>
  <c r="P398" i="3" a="1"/>
  <c r="B240" i="2"/>
  <c r="B240" i="3" s="1" a="1"/>
  <c r="N334" i="3" a="1"/>
  <c r="H262" i="3" a="1"/>
  <c r="D540" i="3" a="1"/>
  <c r="C27" i="3" a="1"/>
  <c r="B409" i="3" a="1"/>
  <c r="N545" i="3" a="1"/>
  <c r="B476" i="3" a="1"/>
  <c r="D216" i="2"/>
  <c r="E390" i="2" a="1"/>
  <c r="A606" i="3" a="1"/>
  <c r="M218" i="3" a="1"/>
  <c r="F476" i="3" a="1"/>
  <c r="C584" i="2"/>
  <c r="D44" i="2"/>
  <c r="A117" i="3" a="1"/>
  <c r="O23" i="3" a="1"/>
  <c r="H340" i="3" a="1"/>
  <c r="H25" i="3" a="1"/>
  <c r="P301" i="3" a="1"/>
  <c r="B415" i="2"/>
  <c r="B415" i="3" s="1" a="1"/>
  <c r="P162" i="3" a="1"/>
  <c r="K500" i="3" a="1"/>
  <c r="L318" i="3" a="1"/>
  <c r="A184" i="3" a="1"/>
  <c r="M259" i="3" a="1"/>
  <c r="D279" i="3" a="1"/>
  <c r="L121" i="3" a="1"/>
  <c r="K325" i="3" a="1"/>
  <c r="K65" i="3" a="1"/>
  <c r="P400" i="3" a="1"/>
  <c r="H559" i="3" a="1"/>
  <c r="C372" i="3" a="1"/>
  <c r="D553" i="2"/>
  <c r="C24" i="2"/>
  <c r="C467" i="3" a="1"/>
  <c r="C492" i="2"/>
  <c r="E28" i="2" a="1"/>
  <c r="D605" i="3" a="1"/>
  <c r="C161" i="3" a="1"/>
  <c r="D620" i="3" a="1"/>
  <c r="F507" i="3" a="1"/>
  <c r="M124" i="3" a="1"/>
  <c r="A135" i="3" a="1"/>
  <c r="P499" i="3" a="1"/>
  <c r="P199" i="3" a="1"/>
  <c r="G370" i="3" a="1"/>
  <c r="B36" i="2"/>
  <c r="B36" i="3" s="1" a="1"/>
  <c r="C560" i="2"/>
  <c r="C560" i="3" s="1" a="1"/>
  <c r="F126" i="3" a="1"/>
  <c r="O188" i="3" a="1"/>
  <c r="P605" i="3" a="1"/>
  <c r="B68" i="3" a="1"/>
  <c r="O77" i="3" a="1"/>
  <c r="B278" i="2"/>
  <c r="B278" i="3" s="1" a="1"/>
  <c r="B541" i="3" a="1"/>
  <c r="P606" i="3" a="1"/>
  <c r="L579" i="3" a="1"/>
  <c r="D129" i="3" a="1"/>
  <c r="F409" i="3" a="1"/>
  <c r="G157" i="3" a="1"/>
  <c r="H149" i="3" a="1"/>
  <c r="C61" i="2"/>
  <c r="C61" i="3" s="1" a="1"/>
  <c r="P571" i="3" a="1"/>
  <c r="H513" i="3" a="1"/>
  <c r="B542" i="2"/>
  <c r="C419" i="3" a="1"/>
  <c r="F540" i="3" a="1"/>
  <c r="C411" i="3" a="1"/>
  <c r="B168" i="2"/>
  <c r="D267" i="2"/>
  <c r="K444" i="3" a="1"/>
  <c r="H533" i="3" a="1"/>
  <c r="C235" i="3" a="1"/>
  <c r="D121" i="3" a="1"/>
  <c r="F292" i="3" a="1"/>
  <c r="B196" i="2"/>
  <c r="B196" i="3" s="1" a="1"/>
  <c r="P378" i="3" a="1"/>
  <c r="M11" i="3" a="1"/>
  <c r="A613" i="3" a="1"/>
  <c r="H255" i="3" a="1"/>
  <c r="B27" i="2"/>
  <c r="B27" i="3" s="1" a="1"/>
  <c r="M229" i="3" a="1"/>
  <c r="P50" i="3" a="1"/>
  <c r="G216" i="3" a="1"/>
  <c r="L156" i="3" a="1"/>
  <c r="A535" i="3" a="1"/>
  <c r="H360" i="3" a="1"/>
  <c r="I583" i="3" a="1"/>
  <c r="L234" i="3" a="1"/>
  <c r="H619" i="3" a="1"/>
  <c r="C448" i="2"/>
  <c r="C448" i="3" s="1" a="1"/>
  <c r="I518" i="3" a="1"/>
  <c r="C146" i="2"/>
  <c r="N248" i="3" a="1"/>
  <c r="I63" i="3" a="1"/>
  <c r="C478" i="3" a="1"/>
  <c r="E458" i="2" a="1"/>
  <c r="I568" i="3" a="1"/>
  <c r="M637" i="3" a="1"/>
  <c r="H399" i="3" a="1"/>
  <c r="M208" i="3" a="1"/>
  <c r="K627" i="3" a="1"/>
  <c r="B569" i="3" a="1"/>
  <c r="K13" i="3" a="1"/>
  <c r="B295" i="2"/>
  <c r="H8" i="3" a="1"/>
  <c r="M296" i="3" a="1"/>
  <c r="P167" i="3" a="1"/>
  <c r="M582" i="3" a="1"/>
  <c r="M337" i="3" a="1"/>
  <c r="C246" i="2"/>
  <c r="C246" i="3" s="1" a="1"/>
  <c r="B166" i="2"/>
  <c r="B166" i="3" s="1" a="1"/>
  <c r="F351" i="3" a="1"/>
  <c r="A562" i="3" a="1"/>
  <c r="G619" i="3" a="1"/>
  <c r="E420" i="2" a="1"/>
  <c r="N305" i="3" a="1"/>
  <c r="D402" i="2"/>
  <c r="G275" i="3" a="1"/>
  <c r="G628" i="3" a="1"/>
  <c r="D385" i="2"/>
  <c r="P96" i="3" a="1"/>
  <c r="D509" i="3" a="1"/>
  <c r="E373" i="2" a="1"/>
  <c r="L577" i="3" a="1"/>
  <c r="I122" i="3" a="1"/>
  <c r="G586" i="3" a="1"/>
  <c r="M231" i="3" a="1"/>
  <c r="F394" i="3" a="1"/>
  <c r="E554" i="2" a="1"/>
  <c r="E131" i="2" a="1"/>
  <c r="F493" i="3" a="1"/>
  <c r="M450" i="3" a="1"/>
  <c r="G7" i="3" a="1"/>
  <c r="G138" i="3" a="1"/>
  <c r="H174" i="3" a="1"/>
  <c r="B44" i="2"/>
  <c r="L334" i="3" a="1"/>
  <c r="F197" i="3" a="1"/>
  <c r="B577" i="2"/>
  <c r="B577" i="3" s="1" a="1"/>
  <c r="N436" i="3" a="1"/>
  <c r="C612" i="3" a="1"/>
  <c r="E269" i="2" a="1"/>
  <c r="C504" i="3" a="1"/>
  <c r="P353" i="3" a="1"/>
  <c r="A425" i="3" a="1"/>
  <c r="D513" i="3" a="1"/>
  <c r="I261" i="3" a="1"/>
  <c r="N343" i="3" a="1"/>
  <c r="D361" i="3" a="1"/>
  <c r="K142" i="3" a="1"/>
  <c r="I594" i="3" a="1"/>
  <c r="G133" i="3" a="1"/>
  <c r="D503" i="3" a="1"/>
  <c r="E405" i="2" a="1"/>
  <c r="M338" i="3" a="1"/>
  <c r="P42" i="3" a="1"/>
  <c r="E140" i="2" a="1"/>
  <c r="C232" i="3" a="1"/>
  <c r="P22" i="3" a="1"/>
  <c r="C37" i="3" a="1"/>
  <c r="L358" i="3" a="1"/>
  <c r="D188" i="3" a="1"/>
  <c r="E87" i="2" a="1"/>
  <c r="O426" i="3" a="1"/>
  <c r="L580" i="3" a="1"/>
  <c r="N62" i="3" a="1"/>
  <c r="I515" i="3" a="1"/>
  <c r="D352" i="2"/>
  <c r="M354" i="3" a="1"/>
  <c r="D266" i="3" a="1"/>
  <c r="I316" i="3" a="1"/>
  <c r="G226" i="3" a="1"/>
  <c r="D269" i="2"/>
  <c r="D528" i="3" a="1"/>
  <c r="A630" i="3" a="1"/>
  <c r="F326" i="3" a="1"/>
  <c r="F474" i="3" a="1"/>
  <c r="G70" i="3" a="1"/>
  <c r="A422" i="3" a="1"/>
  <c r="M474" i="3" a="1"/>
  <c r="M514" i="3" a="1"/>
  <c r="F227" i="3" a="1"/>
  <c r="F164" i="3" a="1"/>
  <c r="E251" i="2" a="1"/>
  <c r="C377" i="3" a="1"/>
  <c r="I68" i="3" a="1"/>
  <c r="L18" i="3" a="1"/>
  <c r="P142" i="3" a="1"/>
  <c r="D78" i="3" a="1"/>
  <c r="B198" i="3" a="1"/>
  <c r="D481" i="3" a="1"/>
  <c r="D638" i="2"/>
  <c r="D479" i="2"/>
  <c r="L404" i="3" a="1"/>
  <c r="C473" i="3" a="1"/>
  <c r="L634" i="3" a="1"/>
  <c r="D9" i="3" a="1"/>
  <c r="A451" i="3" a="1"/>
  <c r="C553" i="3" a="1"/>
  <c r="B590" i="3" a="1"/>
  <c r="D390" i="3" a="1"/>
  <c r="N304" i="3" a="1"/>
  <c r="O52" i="3" a="1"/>
  <c r="B12" i="3" a="1"/>
  <c r="C94" i="3" a="1"/>
  <c r="A537" i="3" a="1"/>
  <c r="K476" i="3" a="1"/>
  <c r="B35" i="3" a="1"/>
  <c r="B334" i="3" a="1"/>
  <c r="F18" i="3" a="1"/>
  <c r="B355" i="3" a="1"/>
  <c r="O46" i="3" a="1"/>
  <c r="K78" i="3" a="1"/>
  <c r="C163" i="2"/>
  <c r="P436" i="3" a="1"/>
  <c r="O245" i="3" a="1"/>
  <c r="L90" i="3" a="1"/>
  <c r="K603" i="3" a="1"/>
  <c r="D95" i="3" a="1"/>
  <c r="N123" i="3" a="1"/>
  <c r="E324" i="2" a="1"/>
  <c r="N314" i="3" a="1"/>
  <c r="P474" i="3" a="1"/>
  <c r="A467" i="3" a="1"/>
  <c r="O402" i="3" a="1"/>
  <c r="C602" i="2"/>
  <c r="L419" i="3" a="1"/>
  <c r="P29" i="3" a="1"/>
  <c r="D146" i="3" a="1"/>
  <c r="F49" i="3" a="1"/>
  <c r="E578" i="2" a="1"/>
  <c r="B204" i="3" a="1"/>
  <c r="F46" i="3" a="1"/>
  <c r="P173" i="3" a="1"/>
  <c r="P406" i="3" a="1"/>
  <c r="B32" i="2"/>
  <c r="M67" i="3" a="1"/>
  <c r="B358" i="2"/>
  <c r="M560" i="3" a="1"/>
  <c r="B469" i="3" a="1"/>
  <c r="O363" i="3" a="1"/>
  <c r="E443" i="2" a="1"/>
  <c r="I248" i="3" a="1"/>
  <c r="C441" i="2"/>
  <c r="M25" i="3" a="1"/>
  <c r="K355" i="3" a="1"/>
  <c r="B315" i="2"/>
  <c r="C66" i="3" a="1"/>
  <c r="I635" i="3" a="1"/>
  <c r="I572" i="3" a="1"/>
  <c r="A488" i="3" a="1"/>
  <c r="N624" i="3" a="1"/>
  <c r="B292" i="3" a="1"/>
  <c r="B546" i="3" a="1"/>
  <c r="G212" i="3" a="1"/>
  <c r="K449" i="3" a="1"/>
  <c r="B501" i="3" a="1"/>
  <c r="A286" i="3" a="1"/>
  <c r="K458" i="3" a="1"/>
  <c r="N638" i="3" a="1"/>
  <c r="M183" i="3" a="1"/>
  <c r="F305" i="3" a="1"/>
  <c r="C78" i="3" a="1"/>
  <c r="D71" i="3" a="1"/>
  <c r="G55" i="3" a="1"/>
  <c r="E478" i="2" a="1"/>
  <c r="D599" i="2"/>
  <c r="I613" i="3" a="1"/>
  <c r="D215" i="3" a="1"/>
  <c r="B136" i="3" a="1"/>
  <c r="C530" i="3" a="1"/>
  <c r="C238" i="3" a="1"/>
  <c r="B340" i="3" a="1"/>
  <c r="B265" i="3" a="1"/>
  <c r="B6" i="3" a="1"/>
  <c r="D315" i="3" a="1"/>
  <c r="F469" i="3" a="1"/>
  <c r="D458" i="2"/>
  <c r="K506" i="3" a="1"/>
  <c r="H625" i="3" a="1"/>
  <c r="A28" i="3" a="1"/>
  <c r="L164" i="3" a="1"/>
  <c r="P20" i="3" a="1"/>
  <c r="H385" i="3" a="1"/>
  <c r="A593" i="3" a="1"/>
  <c r="A14" i="3" a="1"/>
  <c r="B474" i="3" a="1"/>
  <c r="N595" i="3" a="1"/>
  <c r="P445" i="3" a="1"/>
  <c r="P246" i="3" a="1"/>
  <c r="H30" i="3" a="1"/>
  <c r="N53" i="3" a="1"/>
  <c r="H609" i="3" a="1"/>
  <c r="K442" i="3" a="1"/>
  <c r="A238" i="3" a="1"/>
  <c r="N453" i="3" a="1"/>
  <c r="G497" i="3" a="1"/>
  <c r="D82" i="2"/>
  <c r="E216" i="2" a="1"/>
  <c r="N443" i="3" a="1"/>
  <c r="O395" i="3" a="1"/>
  <c r="O339" i="3" a="1"/>
  <c r="C329" i="3" a="1"/>
  <c r="D40" i="2"/>
  <c r="O3" i="3" a="1"/>
  <c r="E457" i="2" a="1"/>
  <c r="C361" i="2"/>
  <c r="C361" i="3" s="1" a="1"/>
  <c r="I325" i="3" a="1"/>
  <c r="A67" i="3" a="1"/>
  <c r="H22" i="3" a="1"/>
  <c r="H639" i="3" a="1"/>
  <c r="D544" i="2"/>
  <c r="F79" i="3" a="1"/>
  <c r="C350" i="2"/>
  <c r="C350" i="3" s="1" a="1"/>
  <c r="P121" i="3" a="1"/>
  <c r="B535" i="2"/>
  <c r="B535" i="3" s="1" a="1"/>
  <c r="L502" i="3" a="1"/>
  <c r="I188" i="3" a="1"/>
  <c r="E377" i="2" a="1"/>
  <c r="H437" i="3" a="1"/>
  <c r="F355" i="3" a="1"/>
  <c r="G109" i="3" a="1"/>
  <c r="B88" i="2"/>
  <c r="B88" i="3" s="1" a="1"/>
  <c r="P509" i="3" a="1"/>
  <c r="G189" i="3" a="1"/>
  <c r="D519" i="2"/>
  <c r="D425" i="3" a="1"/>
  <c r="B354" i="2"/>
  <c r="B354" i="3" s="1" a="1"/>
  <c r="K252" i="3" a="1"/>
  <c r="B9" i="3" a="1"/>
  <c r="P339" i="3" a="1"/>
  <c r="C609" i="2"/>
  <c r="C609" i="3" s="1" a="1"/>
  <c r="N571" i="3" a="1"/>
  <c r="N215" i="3" a="1"/>
  <c r="D389" i="3" a="1"/>
  <c r="P426" i="3" a="1"/>
  <c r="M529" i="3" a="1"/>
  <c r="C392" i="2"/>
  <c r="N594" i="3" a="1"/>
  <c r="N244" i="3" a="1"/>
  <c r="P539" i="3" a="1"/>
  <c r="B583" i="3" a="1"/>
  <c r="M319" i="3" a="1"/>
  <c r="A16" i="3" a="1"/>
  <c r="O330" i="3" a="1"/>
  <c r="N419" i="3" a="1"/>
  <c r="B373" i="2"/>
  <c r="B373" i="3" s="1" a="1"/>
  <c r="G339" i="3" a="1"/>
  <c r="B574" i="3" a="1"/>
  <c r="C474" i="3" a="1"/>
  <c r="L588" i="3" a="1"/>
  <c r="D384" i="2"/>
  <c r="D499" i="2"/>
  <c r="B388" i="2"/>
  <c r="B388" i="3" s="1" a="1"/>
  <c r="L376" i="3" a="1"/>
  <c r="G569" i="3" a="1"/>
  <c r="C236" i="3" a="1"/>
  <c r="C187" i="3" a="1"/>
  <c r="G570" i="3" a="1"/>
  <c r="B29" i="3" a="1"/>
  <c r="C603" i="2"/>
  <c r="C603" i="3" s="1" a="1"/>
  <c r="F111" i="3" a="1"/>
  <c r="B169" i="3" a="1"/>
  <c r="B548" i="2"/>
  <c r="E49" i="2" a="1"/>
  <c r="M417" i="3" a="1"/>
  <c r="A428" i="3" a="1"/>
  <c r="M443" i="3" a="1"/>
  <c r="C97" i="2"/>
  <c r="C97" i="3" s="1" a="1"/>
  <c r="L125" i="3" a="1"/>
  <c r="P112" i="3" a="1"/>
  <c r="I6" i="3" a="1"/>
  <c r="D578" i="2"/>
  <c r="B404" i="3" a="1"/>
  <c r="M442" i="3" a="1"/>
  <c r="M373" i="3" a="1"/>
  <c r="O20" i="3" a="1"/>
  <c r="N632" i="3" a="1"/>
  <c r="K561" i="3" a="1"/>
  <c r="L343" i="3" a="1"/>
  <c r="F152" i="3" a="1"/>
  <c r="H285" i="3" a="1"/>
  <c r="D86" i="3" a="1"/>
  <c r="O438" i="3" a="1"/>
  <c r="K93" i="3" a="1"/>
  <c r="F125" i="3" a="1"/>
  <c r="B479" i="3" a="1"/>
  <c r="A360" i="3" a="1"/>
  <c r="E246" i="2" a="1"/>
  <c r="D6" i="3" a="1"/>
  <c r="I463" i="3" a="1"/>
  <c r="F441" i="3" a="1"/>
  <c r="F464" i="3" a="1"/>
  <c r="C418" i="2"/>
  <c r="C418" i="3" s="1" a="1"/>
  <c r="C143" i="3" a="1"/>
  <c r="C488" i="3" a="1"/>
  <c r="D349" i="3" a="1"/>
  <c r="B271" i="3" a="1"/>
  <c r="H218" i="3" a="1"/>
  <c r="A308" i="3" a="1"/>
  <c r="I465" i="3" a="1"/>
  <c r="O405" i="3" a="1"/>
  <c r="D335" i="3" a="1"/>
  <c r="H126" i="3" a="1"/>
  <c r="K237" i="3" a="1"/>
  <c r="N99" i="3" a="1"/>
  <c r="O185" i="3" a="1"/>
  <c r="E159" i="2" a="1"/>
  <c r="K584" i="3" a="1"/>
  <c r="P40" i="3" a="1"/>
  <c r="I607" i="3" a="1"/>
  <c r="D357" i="2"/>
  <c r="B428" i="2"/>
  <c r="D153" i="2"/>
  <c r="B430" i="2"/>
  <c r="F346" i="3" a="1"/>
  <c r="I511" i="3" a="1"/>
  <c r="P183" i="3" a="1"/>
  <c r="D538" i="3" a="1"/>
  <c r="P105" i="3" a="1"/>
  <c r="B412" i="2"/>
  <c r="B615" i="3" a="1"/>
  <c r="B206" i="3" a="1"/>
  <c r="D162" i="3" a="1"/>
  <c r="B245" i="2"/>
  <c r="P169" i="3" a="1"/>
  <c r="O511" i="3" a="1"/>
  <c r="B178" i="3" a="1"/>
  <c r="L31" i="3" a="1"/>
  <c r="D394" i="3" a="1"/>
  <c r="B250" i="3" a="1"/>
  <c r="P505" i="3" a="1"/>
  <c r="K630" i="3" a="1"/>
  <c r="M342" i="3" a="1"/>
  <c r="C145" i="3" a="1"/>
  <c r="D463" i="3" a="1"/>
  <c r="E469" i="2" a="1"/>
  <c r="A435" i="3" a="1"/>
  <c r="O200" i="3" a="1"/>
  <c r="B208" i="3" a="1"/>
  <c r="L145" i="3" a="1"/>
  <c r="E351" i="2" a="1"/>
  <c r="A504" i="3" a="1"/>
  <c r="A558" i="3" a="1"/>
  <c r="D83" i="2"/>
  <c r="N559" i="3" a="1"/>
  <c r="D98" i="3" a="1"/>
  <c r="P44" i="3" a="1"/>
  <c r="G472" i="3" a="1"/>
  <c r="G234" i="3" a="1"/>
  <c r="D544" i="3" a="1"/>
  <c r="B359" i="3" a="1"/>
  <c r="C172" i="3" a="1"/>
  <c r="D415" i="3" a="1"/>
  <c r="D123" i="2"/>
  <c r="B632" i="3" a="1"/>
  <c r="C245" i="3" a="1"/>
  <c r="B189" i="3" a="1"/>
  <c r="G265" i="3" a="1"/>
  <c r="K272" i="3" a="1"/>
  <c r="C598" i="3" a="1"/>
  <c r="D64" i="3" a="1"/>
  <c r="F260" i="3" a="1"/>
  <c r="A100" i="3" a="1"/>
  <c r="C604" i="3" a="1"/>
  <c r="L55" i="3" a="1"/>
  <c r="F478" i="3" a="1"/>
  <c r="D619" i="3" a="1"/>
  <c r="B251" i="3" a="1"/>
  <c r="B197" i="3" a="1"/>
  <c r="B284" i="3" a="1"/>
  <c r="B312" i="3" a="1"/>
  <c r="B514" i="3" a="1"/>
  <c r="C58" i="3" a="1"/>
  <c r="D45" i="3" a="1"/>
  <c r="D571" i="3" a="1"/>
  <c r="D631" i="3" a="1"/>
  <c r="D72" i="2"/>
  <c r="C48" i="2"/>
  <c r="K365" i="3" a="1"/>
  <c r="A367" i="3" a="1"/>
  <c r="D579" i="2"/>
  <c r="B517" i="2"/>
  <c r="B517" i="3" s="1" a="1"/>
  <c r="N303" i="3" a="1"/>
  <c r="K579" i="3" a="1"/>
  <c r="N568" i="3" a="1"/>
  <c r="P38" i="3" a="1"/>
  <c r="H154" i="3" a="1"/>
  <c r="F41" i="3" a="1"/>
  <c r="L291" i="3" a="1"/>
  <c r="G144" i="3" a="1"/>
  <c r="M77" i="3" a="1"/>
  <c r="B440" i="2"/>
  <c r="B440" i="3" s="1" a="1"/>
  <c r="D207" i="2"/>
  <c r="B113" i="2"/>
  <c r="B113" i="3" s="1" a="1"/>
  <c r="L624" i="3" a="1"/>
  <c r="G635" i="3" a="1"/>
  <c r="O176" i="3" a="1"/>
  <c r="A544" i="3" a="1"/>
  <c r="H528" i="3" a="1"/>
  <c r="N376" i="3" a="1"/>
  <c r="E52" i="2" a="1"/>
  <c r="D217" i="2"/>
  <c r="O217" i="3" a="1"/>
  <c r="N174" i="3" a="1"/>
  <c r="C317" i="2"/>
  <c r="C317" i="3" s="1" a="1"/>
  <c r="C13" i="3" a="1"/>
  <c r="C613" i="2"/>
  <c r="C613" i="3" s="1" a="1"/>
  <c r="D160" i="2"/>
  <c r="F313" i="3" a="1"/>
  <c r="C227" i="2"/>
  <c r="C227" i="3" s="1" a="1"/>
  <c r="B79" i="2"/>
  <c r="B79" i="3" s="1" a="1"/>
  <c r="E559" i="2" a="1"/>
  <c r="P464" i="3" a="1"/>
  <c r="L461" i="3" a="1"/>
  <c r="K269" i="3" a="1"/>
  <c r="I506" i="3" a="1"/>
  <c r="D177" i="2"/>
  <c r="P141" i="3" a="1"/>
  <c r="M84" i="3" a="1"/>
  <c r="A246" i="3" a="1"/>
  <c r="G509" i="3" a="1"/>
  <c r="D293" i="3" a="1"/>
  <c r="A330" i="3" a="1"/>
  <c r="F325" i="3" a="1"/>
  <c r="H555" i="3" a="1"/>
  <c r="E228" i="2" a="1"/>
  <c r="H493" i="3" a="1"/>
  <c r="N307" i="3" a="1"/>
  <c r="F70" i="3" a="1"/>
  <c r="G560" i="3" a="1"/>
  <c r="L613" i="3" a="1"/>
  <c r="P223" i="3" a="1"/>
  <c r="K331" i="3" a="1"/>
  <c r="E552" i="2" a="1"/>
  <c r="A294" i="3" a="1"/>
  <c r="E31" i="2" a="1"/>
  <c r="P152" i="3" a="1"/>
  <c r="N479" i="3" a="1"/>
  <c r="P19" i="3" a="1"/>
  <c r="C396" i="2"/>
  <c r="C396" i="3" s="1" a="1"/>
  <c r="K135" i="3" a="1"/>
  <c r="I441" i="3" a="1"/>
  <c r="E195" i="2" a="1"/>
  <c r="O350" i="3" a="1"/>
  <c r="C326" i="2"/>
  <c r="N375" i="3" a="1"/>
  <c r="B495" i="2"/>
  <c r="P250" i="3" a="1"/>
  <c r="F8" i="3" a="1"/>
  <c r="G625" i="3" a="1"/>
  <c r="C193" i="3" a="1"/>
  <c r="M189" i="3" a="1"/>
  <c r="A573" i="3" a="1"/>
  <c r="C501" i="2"/>
  <c r="B239" i="3" a="1"/>
  <c r="I383" i="3" a="1"/>
  <c r="N504" i="3" a="1"/>
  <c r="O16" i="3" a="1"/>
  <c r="C140" i="2"/>
  <c r="A588" i="3" a="1"/>
  <c r="B30" i="2"/>
  <c r="B30" i="3" s="1" a="1"/>
  <c r="G179" i="3" a="1"/>
  <c r="E332" i="2" a="1"/>
  <c r="I221" i="3" a="1"/>
  <c r="N228" i="3" a="1"/>
  <c r="B84" i="3" a="1"/>
  <c r="B343" i="2"/>
  <c r="B343" i="3" s="1" a="1"/>
  <c r="C634" i="2"/>
  <c r="G77" i="3" a="1"/>
  <c r="P566" i="3" a="1"/>
  <c r="C3" i="3" a="1"/>
  <c r="D485" i="2"/>
  <c r="E529" i="2" a="1"/>
  <c r="F172" i="3" a="1"/>
  <c r="L127" i="3" a="1"/>
  <c r="O259" i="3" a="1"/>
  <c r="N158" i="3" a="1"/>
  <c r="E152" i="2" a="1"/>
  <c r="I211" i="3" a="1"/>
  <c r="M590" i="3" a="1"/>
  <c r="O451" i="3" a="1"/>
  <c r="A281" i="3" a="1"/>
  <c r="K109" i="3" a="1"/>
  <c r="C93" i="2"/>
  <c r="N232" i="3" a="1"/>
  <c r="E27" i="2" a="1"/>
  <c r="P10" i="3" a="1"/>
  <c r="N581" i="3" a="1"/>
  <c r="N324" i="3" a="1"/>
  <c r="I172" i="3" a="1"/>
  <c r="C537" i="3" a="1"/>
  <c r="G530" i="3" a="1"/>
  <c r="P203" i="3" a="1"/>
  <c r="K293" i="3" a="1"/>
  <c r="A141" i="3" a="1"/>
  <c r="F171" i="3" a="1"/>
  <c r="K540" i="3" a="1"/>
  <c r="M620" i="3" a="1"/>
  <c r="M287" i="3" a="1"/>
  <c r="M468" i="3" a="1"/>
  <c r="P67" i="3" a="1"/>
  <c r="P260" i="3" a="1"/>
  <c r="O193" i="3" a="1"/>
  <c r="B522" i="2"/>
  <c r="A358" i="3" a="1"/>
  <c r="C144" i="3" a="1"/>
  <c r="O429" i="3" a="1"/>
  <c r="A161" i="3" a="1"/>
  <c r="B567" i="2"/>
  <c r="B567" i="3" s="1" a="1"/>
  <c r="M456" i="3" a="1"/>
  <c r="I505" i="3" a="1"/>
  <c r="M222" i="3" a="1"/>
  <c r="G177" i="3" a="1"/>
  <c r="I81" i="3" a="1"/>
  <c r="M316" i="3" a="1"/>
  <c r="K439" i="3" a="1"/>
  <c r="N184" i="3" a="1"/>
  <c r="L535" i="3" a="1"/>
  <c r="K634" i="3" a="1"/>
  <c r="P503" i="3" a="1"/>
  <c r="D252" i="2"/>
  <c r="G3" i="3" a="1"/>
  <c r="K301" i="3" a="1"/>
  <c r="C48" i="3" a="1"/>
  <c r="O174" i="3" a="1"/>
  <c r="L551" i="3" a="1"/>
  <c r="I569" i="3" a="1"/>
  <c r="F496" i="3" a="1"/>
  <c r="F588" i="3" a="1"/>
  <c r="D582" i="2"/>
  <c r="D391" i="3" a="1"/>
  <c r="C490" i="2"/>
  <c r="C490" i="3" s="1" a="1"/>
  <c r="N566" i="3" a="1"/>
  <c r="A633" i="3" a="1"/>
  <c r="F294" i="3" a="1"/>
  <c r="I512" i="3" a="1"/>
  <c r="E375" i="2" a="1"/>
  <c r="G595" i="3" a="1"/>
  <c r="E547" i="2" a="1"/>
  <c r="B527" i="2"/>
  <c r="B378" i="3" a="1"/>
  <c r="D236" i="3" a="1"/>
  <c r="P640" i="3" a="1"/>
  <c r="E544" i="2" a="1"/>
  <c r="L464" i="3" a="1"/>
  <c r="C370" i="3" a="1"/>
  <c r="B230" i="2"/>
  <c r="B515" i="2"/>
  <c r="I355" i="3" a="1"/>
  <c r="D497" i="3" a="1"/>
  <c r="B313" i="3" a="1"/>
  <c r="C561" i="3" a="1"/>
  <c r="A75" i="3" a="1"/>
  <c r="E432" i="2" a="1"/>
  <c r="A559" i="3" a="1"/>
  <c r="P518" i="3" a="1"/>
  <c r="O581" i="3" a="1"/>
  <c r="D432" i="3" a="1"/>
  <c r="A163" i="3" a="1"/>
  <c r="B115" i="3" a="1"/>
  <c r="H514" i="3" a="1"/>
  <c r="A637" i="3" a="1"/>
  <c r="M500" i="3" a="1"/>
  <c r="O210" i="3" a="1"/>
  <c r="O370" i="3" a="1"/>
  <c r="C282" i="3" a="1"/>
  <c r="G158" i="3" a="1"/>
  <c r="A393" i="3" a="1"/>
  <c r="P129" i="3" a="1"/>
  <c r="F110" i="3" a="1"/>
  <c r="L586" i="3" a="1"/>
  <c r="I139" i="3" a="1"/>
  <c r="G555" i="3" a="1"/>
  <c r="I104" i="3" a="1"/>
  <c r="B26" i="3" a="1"/>
  <c r="H458" i="3" a="1"/>
  <c r="O223" i="3" a="1"/>
  <c r="O601" i="3" a="1"/>
  <c r="O635" i="3" a="1"/>
  <c r="D583" i="3" a="1"/>
  <c r="B277" i="3" a="1"/>
  <c r="D318" i="2"/>
  <c r="B621" i="3" a="1"/>
  <c r="E175" i="2" a="1"/>
  <c r="C221" i="3" a="1"/>
  <c r="O617" i="3" a="1"/>
  <c r="A194" i="3" a="1"/>
  <c r="I531" i="3" a="1"/>
  <c r="P15" i="3" a="1"/>
  <c r="L549" i="3" a="1"/>
  <c r="K389" i="3" a="1"/>
  <c r="E248" i="2" a="1"/>
  <c r="P349" i="3" a="1"/>
  <c r="E446" i="2" a="1"/>
  <c r="D412" i="3" a="1"/>
  <c r="C562" i="2"/>
  <c r="H147" i="3" a="1"/>
  <c r="B50" i="3" a="1"/>
  <c r="D504" i="3" a="1"/>
  <c r="B375" i="3" a="1"/>
  <c r="D518" i="2"/>
  <c r="K548" i="3" a="1"/>
  <c r="G242" i="3" a="1"/>
  <c r="F371" i="3" a="1"/>
  <c r="C635" i="3" a="1"/>
  <c r="N582" i="3" a="1"/>
  <c r="K259" i="3" a="1"/>
  <c r="L387" i="3" a="1"/>
  <c r="D117" i="3" a="1"/>
  <c r="A351" i="3" a="1"/>
  <c r="P444" i="3" a="1"/>
  <c r="D134" i="3" a="1"/>
  <c r="D596" i="2"/>
  <c r="M334" i="3" a="1"/>
  <c r="O93" i="3" a="1"/>
  <c r="O440" i="3" a="1"/>
  <c r="A260" i="3" a="1"/>
  <c r="O508" i="3" a="1"/>
  <c r="G343" i="3" a="1"/>
  <c r="C99" i="3" a="1"/>
  <c r="O619" i="3" a="1"/>
  <c r="N429" i="3" a="1"/>
  <c r="O87" i="3" a="1"/>
  <c r="C378" i="3" a="1"/>
  <c r="N49" i="3" a="1"/>
  <c r="A62" i="3" a="1"/>
  <c r="C554" i="3" a="1"/>
  <c r="D154" i="3" a="1"/>
  <c r="F31" i="3" a="1"/>
  <c r="B39" i="3" a="1"/>
  <c r="K471" i="3" a="1"/>
  <c r="F298" i="3" a="1"/>
  <c r="N55" i="3" a="1"/>
  <c r="B380" i="3" a="1"/>
  <c r="D452" i="3" a="1"/>
  <c r="D514" i="3" a="1"/>
  <c r="I538" i="3" a="1"/>
  <c r="G505" i="3" a="1"/>
  <c r="A78" i="3" a="1"/>
  <c r="H551" i="3" a="1"/>
  <c r="P143" i="3" a="1"/>
  <c r="D291" i="3" a="1"/>
  <c r="C541" i="3" a="1"/>
  <c r="L391" i="3" a="1"/>
  <c r="B21" i="3" a="1"/>
  <c r="N418" i="3" a="1"/>
  <c r="G436" i="3" a="1"/>
  <c r="B400" i="3" a="1"/>
  <c r="P187" i="3" a="1"/>
  <c r="C460" i="3" a="1"/>
  <c r="D122" i="3" a="1"/>
  <c r="H310" i="3" a="1"/>
  <c r="G371" i="3" a="1"/>
  <c r="C319" i="3" a="1"/>
  <c r="P277" i="3" a="1"/>
  <c r="M134" i="3" a="1"/>
  <c r="K306" i="3" a="1"/>
  <c r="C171" i="3" a="1"/>
  <c r="B328" i="3" a="1"/>
  <c r="D368" i="3" a="1"/>
  <c r="F206" i="3" a="1"/>
  <c r="B413" i="2"/>
  <c r="N351" i="3" a="1"/>
  <c r="B637" i="2"/>
  <c r="C156" i="3" a="1"/>
  <c r="B99" i="2"/>
  <c r="B430" i="3" a="1"/>
  <c r="D515" i="3" a="1"/>
  <c r="C489" i="3" a="1"/>
  <c r="C124" i="3" a="1"/>
  <c r="C32" i="3" a="1"/>
  <c r="B5" i="3" a="1"/>
  <c r="B55" i="3" a="1"/>
  <c r="D581" i="3" a="1"/>
  <c r="D136" i="3" a="1"/>
  <c r="D256" i="3" a="1"/>
  <c r="C289" i="2"/>
  <c r="C289" i="3" s="1" a="1"/>
  <c r="P488" i="3" a="1"/>
  <c r="I347" i="3" a="1"/>
  <c r="I434" i="3" a="1"/>
  <c r="G57" i="3" a="1"/>
  <c r="C337" i="2"/>
  <c r="C337" i="3" s="1" a="1"/>
  <c r="F32" i="3" a="1"/>
  <c r="F53" i="3" a="1"/>
  <c r="A264" i="3" a="1"/>
  <c r="B188" i="2"/>
  <c r="B188" i="3" s="1" a="1"/>
  <c r="L50" i="3" a="1"/>
  <c r="M140" i="3" a="1"/>
  <c r="C485" i="2"/>
  <c r="C485" i="3" s="1" a="1"/>
  <c r="P530" i="3" a="1"/>
  <c r="D469" i="2"/>
  <c r="P362" i="3" a="1"/>
  <c r="O448" i="3" a="1"/>
  <c r="G551" i="3" a="1"/>
  <c r="H266" i="3" a="1"/>
  <c r="B635" i="2"/>
  <c r="B635" i="3" s="1" a="1"/>
  <c r="K368" i="3" a="1"/>
  <c r="E59" i="2" a="1"/>
  <c r="B609" i="3" a="1"/>
  <c r="A138" i="3" a="1"/>
  <c r="D555" i="2"/>
  <c r="E102" i="2" a="1"/>
  <c r="F632" i="3" a="1"/>
  <c r="K171" i="3" a="1"/>
  <c r="L338" i="3" a="1"/>
  <c r="C40" i="2"/>
  <c r="L59" i="3" a="1"/>
  <c r="E618" i="2" a="1"/>
  <c r="P9" i="3" a="1"/>
  <c r="H282" i="3" a="1"/>
  <c r="E104" i="2" a="1"/>
  <c r="G44" i="3" a="1"/>
  <c r="C333" i="3" a="1"/>
  <c r="C539" i="2"/>
  <c r="D612" i="3" a="1"/>
  <c r="F264" i="3" a="1"/>
  <c r="G72" i="3" a="1"/>
  <c r="D194" i="2"/>
  <c r="I376" i="3" a="1"/>
  <c r="A392" i="3" a="1"/>
  <c r="K323" i="3" a="1"/>
  <c r="G9" i="3" a="1"/>
  <c r="O204" i="3" a="1"/>
  <c r="L515" i="3" a="1"/>
  <c r="G389" i="3" a="1"/>
  <c r="I546" i="3" a="1"/>
  <c r="O25" i="3" a="1"/>
  <c r="D253" i="3" a="1"/>
  <c r="M193" i="3" a="1"/>
  <c r="H424" i="3" a="1"/>
  <c r="L453" i="3" a="1"/>
  <c r="E286" i="2" a="1"/>
  <c r="I160" i="3" a="1"/>
  <c r="F559" i="3" a="1"/>
  <c r="C62" i="2"/>
  <c r="C62" i="3" s="1" a="1"/>
  <c r="K253" i="3" a="1"/>
  <c r="E288" i="2" a="1"/>
  <c r="H563" i="3" a="1"/>
  <c r="D364" i="2"/>
  <c r="N163" i="3" a="1"/>
  <c r="N264" i="3" a="1"/>
  <c r="B613" i="3" a="1"/>
  <c r="D287" i="3" a="1"/>
  <c r="F35" i="3" a="1"/>
  <c r="N563" i="3" a="1"/>
  <c r="B423" i="3" a="1"/>
  <c r="K391" i="3" a="1"/>
  <c r="C585" i="2"/>
  <c r="C585" i="3" s="1" a="1"/>
  <c r="L633" i="3" a="1"/>
  <c r="H32" i="3" a="1"/>
  <c r="M390" i="3" a="1"/>
  <c r="F299" i="3" a="1"/>
  <c r="E315" i="2" a="1"/>
  <c r="N89" i="3" a="1"/>
  <c r="O500" i="3" a="1"/>
  <c r="H80" i="3" a="1"/>
  <c r="B487" i="3" a="1"/>
  <c r="I623" i="3" a="1"/>
  <c r="B174" i="2"/>
  <c r="B174" i="3" s="1" a="1"/>
  <c r="B470" i="2"/>
  <c r="B470" i="3" s="1" a="1"/>
  <c r="H206" i="3" a="1"/>
  <c r="E214" i="2" a="1"/>
  <c r="I5" i="3" a="1"/>
  <c r="N137" i="3" a="1"/>
  <c r="M519" i="3" a="1"/>
  <c r="B538" i="3" a="1"/>
  <c r="E309" i="2" a="1"/>
  <c r="D248" i="2"/>
  <c r="D328" i="3" a="1"/>
  <c r="I616" i="3" a="1"/>
  <c r="G107" i="3" a="1"/>
  <c r="D342" i="2"/>
  <c r="C33" i="2"/>
  <c r="O310" i="3" a="1"/>
  <c r="N368" i="3" a="1"/>
  <c r="H16" i="3" a="1"/>
  <c r="D603" i="2"/>
  <c r="O343" i="3" a="1"/>
  <c r="B181" i="3" a="1"/>
  <c r="C6" i="2"/>
  <c r="C6" i="3" s="1" a="1"/>
  <c r="C35" i="2"/>
  <c r="P138" i="3" a="1"/>
  <c r="D135" i="2"/>
  <c r="B311" i="2"/>
  <c r="B311" i="3" s="1" a="1"/>
  <c r="O168" i="3" a="1"/>
  <c r="D282" i="3" a="1"/>
  <c r="K426" i="3" a="1"/>
  <c r="L115" i="3" a="1"/>
  <c r="I26" i="3" a="1"/>
  <c r="F262" i="3" a="1"/>
  <c r="H450" i="3" a="1"/>
  <c r="H271" i="3" a="1"/>
  <c r="N623" i="3" a="1"/>
  <c r="D323" i="3" a="1"/>
  <c r="B390" i="3" a="1"/>
  <c r="M113" i="3" a="1"/>
  <c r="I625" i="3" a="1"/>
  <c r="B217" i="3" a="1"/>
  <c r="B52" i="3" a="1"/>
  <c r="B130" i="3" a="1"/>
  <c r="G214" i="3" a="1"/>
  <c r="D367" i="3" a="1"/>
  <c r="B222" i="3" a="1"/>
  <c r="D590" i="2"/>
  <c r="P153" i="3" a="1"/>
  <c r="O639" i="3" a="1"/>
  <c r="H173" i="3" a="1"/>
  <c r="H287" i="3" a="1"/>
  <c r="C175" i="3" a="1"/>
  <c r="C484" i="3" a="1"/>
  <c r="C476" i="2"/>
  <c r="H468" i="3" a="1"/>
  <c r="K514" i="3" a="1"/>
  <c r="N125" i="3" a="1"/>
  <c r="B563" i="3" a="1"/>
  <c r="N3" i="3" a="1"/>
  <c r="D397" i="3" a="1"/>
  <c r="I49" i="3" a="1"/>
  <c r="A389" i="3" a="1"/>
  <c r="D305" i="2"/>
  <c r="K421" i="3" a="1"/>
  <c r="E510" i="2" a="1"/>
  <c r="B51" i="3" a="1"/>
  <c r="H525" i="3" a="1"/>
  <c r="A494" i="3" a="1"/>
  <c r="A295" i="3" a="1"/>
  <c r="N117" i="3" a="1"/>
  <c r="G596" i="3" a="1"/>
  <c r="E606" i="2" a="1"/>
  <c r="G541" i="3" a="1"/>
  <c r="I618" i="3" a="1"/>
  <c r="E64" i="2" a="1"/>
  <c r="D130" i="3" a="1"/>
  <c r="B159" i="3" a="1"/>
  <c r="A406" i="3" a="1"/>
  <c r="B261" i="3" a="1"/>
  <c r="M550" i="3" a="1"/>
  <c r="N470" i="3" a="1"/>
  <c r="K292" i="3" a="1"/>
  <c r="L320" i="3" a="1"/>
  <c r="C401" i="3" a="1"/>
  <c r="M166" i="3" a="1"/>
  <c r="O482" i="3" a="1"/>
  <c r="C55" i="3" a="1"/>
  <c r="C545" i="2"/>
  <c r="C545" i="3" s="1" a="1"/>
  <c r="B481" i="2"/>
  <c r="D208" i="3" a="1"/>
  <c r="B428" i="3" a="1"/>
  <c r="B589" i="2"/>
  <c r="D273" i="3" a="1"/>
  <c r="P358" i="3" a="1"/>
  <c r="B522" i="3" a="1"/>
  <c r="L177" i="3" a="1"/>
  <c r="E584" i="2" a="1"/>
  <c r="A227" i="3" a="1"/>
  <c r="D171" i="3" a="1"/>
  <c r="D19" i="2"/>
  <c r="P315" i="3" a="1"/>
  <c r="D494" i="2"/>
  <c r="C67" i="3" a="1"/>
  <c r="C92" i="2"/>
  <c r="B596" i="3" a="1"/>
  <c r="B294" i="2"/>
  <c r="O412" i="3" a="1"/>
  <c r="D268" i="2"/>
  <c r="O575" i="3" a="1"/>
  <c r="B316" i="3" a="1"/>
  <c r="P546" i="3" a="1"/>
  <c r="D586" i="3" a="1"/>
  <c r="L292" i="3" a="1"/>
  <c r="B297" i="3" a="1"/>
  <c r="B216" i="3" a="1"/>
  <c r="C602" i="3" a="1"/>
  <c r="C634" i="3" a="1"/>
  <c r="D609" i="3" a="1"/>
  <c r="D494" i="3" a="1"/>
  <c r="E322" i="2" a="1"/>
  <c r="A377" i="3" a="1"/>
  <c r="E166" i="2" a="1"/>
  <c r="M402" i="3" a="1"/>
  <c r="O349" i="3" a="1"/>
  <c r="O399" i="3" a="1"/>
  <c r="C127" i="2"/>
  <c r="C127" i="3" s="1" a="1"/>
  <c r="O315" i="3" a="1"/>
  <c r="D607" i="2"/>
  <c r="O37" i="3" a="1"/>
  <c r="L306" i="3" a="1"/>
  <c r="L315" i="3" a="1"/>
  <c r="N510" i="3" a="1"/>
  <c r="F131" i="3" a="1"/>
  <c r="F221" i="3" a="1"/>
  <c r="F554" i="3" a="1"/>
  <c r="P123" i="3" a="1"/>
  <c r="O606" i="3" a="1"/>
  <c r="M56" i="3" a="1"/>
  <c r="K110" i="3" a="1"/>
  <c r="C451" i="2"/>
  <c r="C451" i="3" s="1" a="1"/>
  <c r="L619" i="3" a="1"/>
  <c r="C334" i="3" a="1"/>
  <c r="C270" i="3" a="1"/>
  <c r="D486" i="2"/>
  <c r="H479" i="3" a="1"/>
  <c r="H60" i="3" a="1"/>
  <c r="G170" i="3" a="1"/>
  <c r="C190" i="2"/>
  <c r="C190" i="3" s="1" a="1"/>
  <c r="C20" i="2"/>
  <c r="C20" i="3" s="1" a="1"/>
  <c r="A560" i="3" a="1"/>
  <c r="G529" i="3" a="1"/>
  <c r="E502" i="2" a="1"/>
  <c r="I40" i="3" a="1"/>
  <c r="C468" i="3" a="1"/>
  <c r="M176" i="3" a="1"/>
  <c r="K410" i="3" a="1"/>
  <c r="G2" i="3" a="1"/>
  <c r="I228" i="3" a="1"/>
  <c r="K29" i="3" a="1"/>
  <c r="B164" i="3" a="1"/>
  <c r="B304" i="2"/>
  <c r="B304" i="3" s="1" a="1"/>
  <c r="D313" i="2"/>
  <c r="I134" i="3" a="1"/>
  <c r="E582" i="2" a="1"/>
  <c r="C60" i="2"/>
  <c r="C60" i="3" s="1" a="1"/>
  <c r="B504" i="3" a="1"/>
  <c r="N50" i="3" a="1"/>
  <c r="D546" i="3" a="1"/>
  <c r="E173" i="2" a="1"/>
  <c r="N148" i="3" a="1"/>
  <c r="O437" i="3" a="1"/>
  <c r="M378" i="3" a="1"/>
  <c r="A497" i="3" a="1"/>
  <c r="O203" i="3" a="1"/>
  <c r="D20" i="2"/>
  <c r="P188" i="3" a="1"/>
  <c r="K431" i="3" a="1"/>
  <c r="M401" i="3" a="1"/>
  <c r="L13" i="3" a="1"/>
  <c r="A251" i="3" a="1"/>
  <c r="N103" i="3" a="1"/>
  <c r="F614" i="3" a="1"/>
  <c r="I119" i="3" a="1"/>
  <c r="D332" i="3" a="1"/>
  <c r="G94" i="3" a="1"/>
  <c r="C497" i="3" a="1"/>
  <c r="D18" i="3" a="1"/>
  <c r="D585" i="2"/>
  <c r="E619" i="2" a="1"/>
  <c r="D36" i="2"/>
  <c r="C323" i="3" a="1"/>
  <c r="C254" i="2"/>
  <c r="M302" i="3" a="1"/>
  <c r="H110" i="3" a="1"/>
  <c r="N325" i="3" a="1"/>
  <c r="N551" i="3" a="1"/>
  <c r="D536" i="2"/>
  <c r="C115" i="2"/>
  <c r="C456" i="3" a="1"/>
  <c r="H339" i="3" a="1"/>
  <c r="N569" i="3" a="1"/>
  <c r="N308" i="3" a="1"/>
  <c r="H50" i="3" a="1"/>
  <c r="B325" i="3" a="1"/>
  <c r="D170" i="3" a="1"/>
  <c r="A172" i="3" a="1"/>
  <c r="N398" i="3" a="1"/>
  <c r="D393" i="3" a="1"/>
  <c r="B389" i="3" a="1"/>
  <c r="H243" i="3" a="1"/>
  <c r="P506" i="3" a="1"/>
  <c r="O369" i="3" a="1"/>
  <c r="B67" i="3" a="1"/>
  <c r="L412" i="3" a="1"/>
  <c r="C348" i="3" a="1"/>
  <c r="O640" i="3" a="1"/>
  <c r="K622" i="3" a="1"/>
  <c r="A174" i="3" a="1"/>
  <c r="D23" i="3" a="1"/>
  <c r="B410" i="3" a="1"/>
  <c r="A580" i="3" a="1"/>
  <c r="F435" i="3" a="1"/>
  <c r="L413" i="3" a="1"/>
  <c r="D252" i="3" a="1"/>
  <c r="A258" i="3" a="1"/>
  <c r="A378" i="3" a="1"/>
  <c r="F92" i="3" a="1"/>
  <c r="D213" i="3" a="1"/>
  <c r="B78" i="2"/>
  <c r="D220" i="3" a="1"/>
  <c r="B76" i="3" a="1"/>
  <c r="I12" i="3" a="1"/>
  <c r="I494" i="3" a="1"/>
  <c r="H367" i="3" a="1"/>
  <c r="B232" i="3" a="1"/>
  <c r="C519" i="3" a="1"/>
  <c r="F147" i="3" a="1"/>
  <c r="B374" i="2"/>
  <c r="B374" i="3" s="1" a="1"/>
  <c r="B149" i="3" a="1"/>
  <c r="K159" i="3" a="1"/>
  <c r="C540" i="2"/>
  <c r="C540" i="3" s="1" a="1"/>
  <c r="B91" i="3" a="1"/>
  <c r="C363" i="3" a="1"/>
  <c r="D435" i="3" a="1"/>
  <c r="F281" i="3" a="1"/>
  <c r="B512" i="3" a="1"/>
  <c r="D410" i="3" a="1"/>
  <c r="C428" i="3" a="1"/>
  <c r="L382" i="3" a="1"/>
  <c r="N67" i="3" a="1"/>
  <c r="N256" i="3" a="1"/>
  <c r="D549" i="3" a="1"/>
  <c r="H113" i="3" a="1"/>
  <c r="D362" i="3" a="1"/>
  <c r="B213" i="3" a="1"/>
  <c r="D149" i="3" a="1"/>
  <c r="H57" i="3" a="1"/>
  <c r="D158" i="2"/>
  <c r="P484" i="3" a="1"/>
  <c r="C120" i="3" a="1"/>
  <c r="B339" i="3" a="1"/>
  <c r="D476" i="2"/>
  <c r="K441" i="3" a="1"/>
  <c r="A342" i="3" a="1"/>
  <c r="H476" i="3" a="1"/>
  <c r="B86" i="3" a="1"/>
  <c r="C287" i="3" a="1"/>
  <c r="B523" i="3" a="1"/>
  <c r="D202" i="2"/>
  <c r="C450" i="3" a="1"/>
  <c r="C292" i="3" a="1"/>
  <c r="N605" i="3" a="1"/>
  <c r="B568" i="2"/>
  <c r="C547" i="3" a="1"/>
  <c r="K148" i="3" a="1"/>
  <c r="L298" i="3" a="1"/>
  <c r="F289" i="3" a="1"/>
  <c r="H319" i="3" a="1"/>
  <c r="A627" i="3" a="1"/>
  <c r="B11" i="3" a="1"/>
  <c r="D506" i="3" a="1"/>
  <c r="B603" i="2"/>
  <c r="C100" i="3" a="1"/>
  <c r="G286" i="3" a="1"/>
  <c r="D60" i="3" a="1"/>
  <c r="L72" i="3" a="1"/>
  <c r="A162" i="3" a="1"/>
  <c r="M22" i="3" a="1"/>
  <c r="D159" i="3" a="1"/>
  <c r="P195" i="3" a="1"/>
  <c r="D35" i="3" a="1"/>
  <c r="B226" i="2"/>
  <c r="G199" i="3" a="1"/>
  <c r="C595" i="2"/>
  <c r="M92" i="3" a="1"/>
  <c r="G119" i="3" a="1"/>
  <c r="C532" i="3" a="1"/>
  <c r="G175" i="3" a="1"/>
  <c r="N362" i="3" a="1"/>
  <c r="O431" i="3" a="1"/>
  <c r="D533" i="2"/>
  <c r="C300" i="2"/>
  <c r="C300" i="3" s="1" a="1"/>
  <c r="B482" i="3" a="1"/>
  <c r="I606" i="3" a="1"/>
  <c r="D404" i="3" a="1"/>
  <c r="D414" i="2"/>
  <c r="M597" i="3" a="1"/>
  <c r="C620" i="2"/>
  <c r="F525" i="3" a="1"/>
  <c r="A128" i="3" a="1"/>
  <c r="F55" i="3" a="1"/>
  <c r="P583" i="3" a="1"/>
  <c r="E209" i="2" a="1"/>
  <c r="D378" i="3" a="1"/>
  <c r="D377" i="3" a="1"/>
  <c r="C342" i="3" a="1"/>
  <c r="C501" i="3" a="1"/>
  <c r="D263" i="3" a="1"/>
  <c r="D11" i="3" a="1"/>
  <c r="N292" i="3" a="1"/>
  <c r="O124" i="3" a="1"/>
  <c r="I225" i="3" a="1"/>
  <c r="N185" i="3" a="1"/>
  <c r="H434" i="3" a="1"/>
  <c r="N333" i="3" a="1"/>
  <c r="L471" i="3" a="1"/>
  <c r="N216" i="3" a="1"/>
  <c r="C628" i="2"/>
  <c r="C628" i="3" s="1" a="1"/>
  <c r="G587" i="3" a="1"/>
  <c r="B335" i="2"/>
  <c r="I85" i="3" a="1"/>
  <c r="P74" i="3" a="1"/>
  <c r="B150" i="2"/>
  <c r="C21" i="2"/>
  <c r="C21" i="3" s="1" a="1"/>
  <c r="M533" i="3" a="1"/>
  <c r="I430" i="3" a="1"/>
  <c r="P198" i="3" a="1"/>
  <c r="B144" i="2"/>
  <c r="B144" i="3" s="1" a="1"/>
  <c r="A327" i="3" a="1"/>
  <c r="G166" i="3" a="1"/>
  <c r="N298" i="3" a="1"/>
  <c r="K354" i="3" a="1"/>
  <c r="P455" i="3" a="1"/>
  <c r="H344" i="3" a="1"/>
  <c r="D431" i="3" a="1"/>
  <c r="F169" i="3" a="1"/>
  <c r="C475" i="3" a="1"/>
  <c r="F44" i="3" a="1"/>
  <c r="I72" i="3" a="1"/>
  <c r="K39" i="3" a="1"/>
  <c r="P598" i="3" a="1"/>
  <c r="C444" i="2"/>
  <c r="H250" i="3" a="1"/>
  <c r="D427" i="3" a="1"/>
  <c r="D298" i="3" a="1"/>
  <c r="I256" i="3" a="1"/>
  <c r="P368" i="3" a="1"/>
  <c r="H71" i="3" a="1"/>
  <c r="P433" i="3" a="1"/>
  <c r="I440" i="3" a="1"/>
  <c r="F163" i="3" a="1"/>
  <c r="L209" i="3" a="1"/>
  <c r="A349" i="3" a="1"/>
  <c r="L401" i="3" a="1"/>
  <c r="K612" i="3" a="1"/>
  <c r="K632" i="3" a="1"/>
  <c r="E347" i="2" a="1"/>
  <c r="H517" i="3" a="1"/>
  <c r="F195" i="3" a="1"/>
  <c r="N162" i="3" a="1"/>
  <c r="H638" i="3" a="1"/>
  <c r="O514" i="3" a="1"/>
  <c r="D281" i="2"/>
  <c r="A430" i="3" a="1"/>
  <c r="D454" i="3" a="1"/>
  <c r="E587" i="2" a="1"/>
  <c r="D192" i="2"/>
  <c r="D102" i="2"/>
  <c r="C593" i="3" a="1"/>
  <c r="G13" i="3" a="1"/>
  <c r="C398" i="3" a="1"/>
  <c r="N61" i="3" a="1"/>
  <c r="I353" i="3" a="1"/>
  <c r="C472" i="3" a="1"/>
  <c r="G425" i="3" a="1"/>
  <c r="M278" i="3" a="1"/>
  <c r="M295" i="3" a="1"/>
  <c r="E331" i="2" a="1"/>
  <c r="M503" i="3" a="1"/>
  <c r="I156" i="3" a="1"/>
  <c r="B215" i="3" a="1"/>
  <c r="B201" i="3" a="1"/>
  <c r="H571" i="3" a="1"/>
  <c r="K36" i="3" a="1"/>
  <c r="N46" i="3" a="1"/>
  <c r="O214" i="3" a="1"/>
  <c r="K315" i="3" a="1"/>
  <c r="I442" i="3" a="1"/>
  <c r="B372" i="2"/>
  <c r="B372" i="3" s="1" a="1"/>
  <c r="D196" i="3" a="1"/>
  <c r="L558" i="3" a="1"/>
  <c r="G354" i="3" a="1"/>
  <c r="M459" i="3" a="1"/>
  <c r="K235" i="3" a="1"/>
  <c r="B267" i="2"/>
  <c r="B267" i="3" s="1" a="1"/>
  <c r="D405" i="2"/>
  <c r="N198" i="3" a="1"/>
  <c r="D59" i="3" a="1"/>
  <c r="O408" i="3" a="1"/>
  <c r="B531" i="3" a="1"/>
  <c r="H252" i="3" a="1"/>
  <c r="P351" i="3" a="1"/>
  <c r="L395" i="3" a="1"/>
  <c r="H132" i="3" a="1"/>
  <c r="D386" i="2"/>
  <c r="N328" i="3" a="1"/>
  <c r="B190" i="3" a="1"/>
  <c r="I233" i="3" a="1"/>
  <c r="D593" i="2"/>
  <c r="B31" i="3" a="1"/>
  <c r="B266" i="3" a="1"/>
  <c r="P312" i="3" a="1"/>
  <c r="C369" i="2"/>
  <c r="C369" i="3" s="1" a="1"/>
  <c r="N600" i="3" a="1"/>
  <c r="B361" i="2"/>
  <c r="G489" i="3" a="1"/>
  <c r="C162" i="2"/>
  <c r="L360" i="3" a="1"/>
  <c r="F611" i="3" a="1"/>
  <c r="F300" i="3" a="1"/>
  <c r="D408" i="3" a="1"/>
  <c r="M505" i="3" a="1"/>
  <c r="D283" i="2"/>
  <c r="M23" i="3" a="1"/>
  <c r="D344" i="2"/>
  <c r="B402" i="3" a="1"/>
  <c r="D614" i="2"/>
  <c r="H336" i="3" a="1"/>
  <c r="E236" i="2" a="1"/>
  <c r="H89" i="3" a="1"/>
  <c r="L273" i="3" a="1"/>
  <c r="K139" i="3" a="1"/>
  <c r="B591" i="3" a="1"/>
  <c r="B344" i="3" a="1"/>
  <c r="N133" i="3" a="1"/>
  <c r="P637" i="3" a="1"/>
  <c r="K5" i="3" a="1"/>
  <c r="B367" i="3" a="1"/>
  <c r="F363" i="3" a="1"/>
  <c r="D189" i="2"/>
  <c r="P338" i="3" a="1"/>
  <c r="B614" i="3" a="1"/>
  <c r="K260" i="3" a="1"/>
  <c r="E496" i="2" a="1"/>
  <c r="P271" i="3" a="1"/>
  <c r="B405" i="3" a="1"/>
  <c r="C50" i="3" a="1"/>
  <c r="I251" i="3" a="1"/>
  <c r="M305" i="3" a="1"/>
  <c r="B562" i="3" a="1"/>
  <c r="E311" i="2" a="1"/>
  <c r="D474" i="3" a="1"/>
  <c r="D191" i="2"/>
  <c r="B336" i="3" a="1"/>
  <c r="H9" i="3" a="1"/>
  <c r="F386" i="3" a="1"/>
  <c r="G446" i="3" a="1"/>
  <c r="C272" i="3" a="1"/>
  <c r="M343" i="3" a="1"/>
  <c r="C574" i="3" a="1"/>
  <c r="B356" i="2"/>
  <c r="B356" i="3" s="1" a="1"/>
  <c r="P399" i="3" a="1"/>
  <c r="H77" i="3" a="1"/>
  <c r="K119" i="3" a="1"/>
  <c r="L16" i="3" a="1"/>
  <c r="N214" i="3" a="1"/>
  <c r="I462" i="3" a="1"/>
  <c r="B19" i="2"/>
  <c r="B322" i="3" a="1"/>
  <c r="E479" i="2" a="1"/>
  <c r="B422" i="3" a="1"/>
  <c r="H178" i="3" a="1"/>
  <c r="K155" i="3" a="1"/>
  <c r="E354" i="2" a="1"/>
  <c r="F293" i="3" a="1"/>
  <c r="O419" i="3" a="1"/>
  <c r="N142" i="3" a="1"/>
  <c r="B417" i="3" a="1"/>
  <c r="C439" i="2"/>
  <c r="L469" i="3" a="1"/>
  <c r="K42" i="3" a="1"/>
  <c r="D318" i="3" a="1"/>
  <c r="P446" i="3" a="1"/>
  <c r="P531" i="3" a="1"/>
  <c r="O111" i="3" a="1"/>
  <c r="C625" i="2"/>
  <c r="C625" i="3" s="1" a="1"/>
  <c r="C228" i="3" a="1"/>
  <c r="H611" i="3" a="1"/>
  <c r="L129" i="3" a="1"/>
  <c r="A15" i="3" a="1"/>
  <c r="C207" i="2"/>
  <c r="C207" i="3" s="1" a="1"/>
  <c r="M2" i="3" a="1"/>
  <c r="A287" i="3" a="1"/>
  <c r="O135" i="3" a="1"/>
  <c r="K626" i="3" a="1"/>
  <c r="C573" i="2"/>
  <c r="C573" i="3" s="1" a="1"/>
  <c r="F515" i="3" a="1"/>
  <c r="I295" i="3" a="1"/>
  <c r="E157" i="2" a="1"/>
  <c r="O62" i="3" a="1"/>
  <c r="N615" i="3" a="1"/>
  <c r="D482" i="3" a="1"/>
  <c r="P300" i="3" a="1"/>
  <c r="K8" i="3" a="1"/>
  <c r="K43" i="3" a="1"/>
  <c r="O98" i="3" a="1"/>
  <c r="D257" i="3" a="1"/>
  <c r="C425" i="2"/>
  <c r="C425" i="3" s="1" a="1"/>
  <c r="A71" i="3" a="1"/>
  <c r="F372" i="3" a="1"/>
  <c r="D418" i="2"/>
  <c r="B112" i="2"/>
  <c r="B112" i="3" s="1" a="1"/>
  <c r="G412" i="3" a="1"/>
  <c r="N410" i="3" a="1"/>
  <c r="D247" i="2"/>
  <c r="N152" i="3" a="1"/>
  <c r="A479" i="3" a="1"/>
  <c r="N428" i="3" a="1"/>
  <c r="O129" i="3" a="1"/>
  <c r="C322" i="3" a="1"/>
  <c r="P451" i="3" a="1"/>
  <c r="B28" i="3" a="1"/>
  <c r="L193" i="3" a="1"/>
  <c r="A203" i="3" a="1"/>
  <c r="D237" i="2"/>
  <c r="D554" i="3" a="1"/>
  <c r="K361" i="3" a="1"/>
  <c r="I368" i="3" a="1"/>
  <c r="G341" i="3" a="1"/>
  <c r="F185" i="3" a="1"/>
  <c r="I44" i="3" a="1"/>
  <c r="I333" i="3" a="1"/>
  <c r="B411" i="3" a="1"/>
  <c r="G89" i="3" a="1"/>
  <c r="M173" i="3" a="1"/>
  <c r="A402" i="3" a="1"/>
  <c r="N394" i="3" a="1"/>
  <c r="N465" i="3" a="1"/>
  <c r="O141" i="3" a="1"/>
  <c r="C53" i="3" a="1"/>
  <c r="B2" i="2"/>
  <c r="B2" i="3" s="1" a="1"/>
  <c r="D34" i="2"/>
  <c r="B66" i="3" a="1"/>
  <c r="D181" i="3" a="1"/>
  <c r="I427" i="3" a="1"/>
  <c r="F286" i="3" a="1"/>
  <c r="B158" i="2"/>
  <c r="C273" i="3" a="1"/>
  <c r="K320" i="3" a="1"/>
  <c r="I260" i="3" a="1"/>
  <c r="C255" i="3" a="1"/>
  <c r="D541" i="3" a="1"/>
  <c r="I371" i="3" a="1"/>
  <c r="B494" i="3" a="1"/>
  <c r="D283" i="3" a="1"/>
  <c r="B594" i="3" a="1"/>
  <c r="N635" i="3" a="1"/>
  <c r="P467" i="3" a="1"/>
  <c r="L219" i="3" a="1"/>
  <c r="B246" i="3" a="1"/>
  <c r="M573" i="3" a="1"/>
  <c r="B443" i="3" a="1"/>
  <c r="C440" i="3" a="1"/>
  <c r="B346" i="3" a="1"/>
  <c r="C12" i="2"/>
  <c r="K56" i="3" a="1"/>
  <c r="C44" i="2"/>
  <c r="B245" i="3" a="1"/>
  <c r="B413" i="3" a="1"/>
  <c r="D587" i="3" a="1"/>
  <c r="F629" i="3" a="1"/>
  <c r="M248" i="3" a="1"/>
  <c r="B60" i="2"/>
  <c r="B60" i="3" s="1" a="1"/>
  <c r="C169" i="2"/>
  <c r="C169" i="3" s="1" a="1"/>
  <c r="I299" i="3" a="1"/>
  <c r="M491" i="3" a="1"/>
  <c r="E507" i="2" a="1"/>
  <c r="I190" i="3" a="1"/>
  <c r="P11" i="3" a="1"/>
  <c r="F430" i="3" a="1"/>
  <c r="K440" i="3" a="1"/>
  <c r="K503" i="3" a="1"/>
  <c r="G142" i="3" a="1"/>
  <c r="C594" i="2"/>
  <c r="C594" i="3" s="1" a="1"/>
  <c r="G337" i="3" a="1"/>
  <c r="L607" i="3" a="1"/>
  <c r="C133" i="2"/>
  <c r="E553" i="2" a="1"/>
  <c r="D110" i="2"/>
  <c r="D211" i="3" a="1"/>
  <c r="C382" i="2"/>
  <c r="C382" i="3" s="1" a="1"/>
  <c r="C212" i="2"/>
  <c r="A450" i="3" a="1"/>
  <c r="M387" i="3" a="1"/>
  <c r="A387" i="3" a="1"/>
  <c r="G153" i="3" a="1"/>
  <c r="C195" i="3" a="1"/>
  <c r="B495" i="3" a="1"/>
  <c r="N286" i="3" a="1"/>
  <c r="O403" i="3" a="1"/>
  <c r="D104" i="3" a="1"/>
  <c r="B597" i="3" a="1"/>
  <c r="C40" i="3" a="1"/>
  <c r="F543" i="3" a="1"/>
  <c r="B185" i="3" a="1"/>
  <c r="N329" i="3" a="1"/>
  <c r="N331" i="3" a="1"/>
  <c r="N261" i="3" a="1"/>
  <c r="C607" i="2"/>
  <c r="C607" i="3" s="1" a="1"/>
  <c r="G114" i="3" a="1"/>
  <c r="D640" i="3" a="1"/>
  <c r="I504" i="3" a="1"/>
  <c r="B442" i="3" a="1"/>
  <c r="D392" i="3" a="1"/>
  <c r="I78" i="3" a="1"/>
  <c r="C93" i="3" a="1"/>
  <c r="C471" i="3" a="1"/>
  <c r="B118" i="3" a="1"/>
  <c r="K126" i="3" a="1"/>
  <c r="D428" i="3" a="1"/>
  <c r="D28" i="3" a="1"/>
  <c r="D613" i="3" a="1"/>
  <c r="I529" i="3" a="1"/>
  <c r="B605" i="3" a="1"/>
  <c r="O70" i="3" a="1"/>
  <c r="F524" i="3" a="1"/>
  <c r="M587" i="3" a="1"/>
  <c r="C365" i="3" a="1"/>
  <c r="B619" i="3" a="1"/>
  <c r="D226" i="3" a="1"/>
  <c r="D533" i="3" a="1"/>
  <c r="N340" i="3" a="1"/>
  <c r="A31" i="3" a="1"/>
  <c r="I266" i="3" a="1"/>
  <c r="G227" i="3" a="1"/>
  <c r="B524" i="2"/>
  <c r="B379" i="2"/>
  <c r="B379" i="3" s="1" a="1"/>
  <c r="C483" i="2"/>
  <c r="D15" i="3" a="1"/>
  <c r="C126" i="2"/>
  <c r="C126" i="3" s="1" a="1"/>
  <c r="F422" i="3" a="1"/>
  <c r="F436" i="3" a="1"/>
  <c r="F418" i="3" a="1"/>
  <c r="I171" i="3" a="1"/>
  <c r="A553" i="3" a="1"/>
  <c r="A226" i="3" a="1"/>
  <c r="F349" i="3" a="1"/>
  <c r="O351" i="3" a="1"/>
  <c r="O443" i="3" a="1"/>
  <c r="L561" i="3" a="1"/>
  <c r="M280" i="3" a="1"/>
  <c r="G516" i="3" a="1"/>
  <c r="P104" i="3" a="1"/>
  <c r="B77" i="2"/>
  <c r="A427" i="3" a="1"/>
  <c r="M368" i="3" a="1"/>
  <c r="B527" i="3" a="1"/>
  <c r="C293" i="3" a="1"/>
  <c r="D150" i="3" a="1"/>
  <c r="B376" i="3" a="1"/>
  <c r="O136" i="3" a="1"/>
  <c r="B238" i="3" a="1"/>
  <c r="D572" i="3" a="1"/>
  <c r="C147" i="3" a="1"/>
  <c r="D51" i="2"/>
  <c r="C405" i="3" a="1"/>
  <c r="C76" i="2"/>
  <c r="C76" i="3" s="1" a="1"/>
  <c r="C528" i="2"/>
  <c r="C528" i="3" s="1" a="1"/>
  <c r="E13" i="2" a="1"/>
  <c r="M561" i="3" a="1"/>
  <c r="B167" i="2"/>
  <c r="B167" i="3" s="1" a="1"/>
  <c r="K202" i="3" a="1"/>
  <c r="N424" i="3" a="1"/>
  <c r="K633" i="3" a="1"/>
  <c r="E99" i="2" a="1"/>
  <c r="A167" i="3" a="1"/>
  <c r="C177" i="2"/>
  <c r="B162" i="2"/>
  <c r="B162" i="3" s="1" a="1"/>
  <c r="D621" i="3" a="1"/>
  <c r="N193" i="3" a="1"/>
  <c r="G204" i="3" a="1"/>
  <c r="D280" i="2"/>
  <c r="K531" i="3" a="1"/>
  <c r="G501" i="3" a="1"/>
  <c r="N114" i="3" a="1"/>
  <c r="A432" i="3" a="1"/>
  <c r="F159" i="3" a="1"/>
  <c r="A572" i="3" a="1"/>
  <c r="B221" i="3" a="1"/>
  <c r="L179" i="3" a="1"/>
  <c r="N247" i="3" a="1"/>
  <c r="M195" i="3" a="1"/>
  <c r="P535" i="3" a="1"/>
  <c r="C234" i="3" a="1"/>
  <c r="E146" i="2" a="1"/>
  <c r="C438" i="3" a="1"/>
  <c r="L198" i="3" a="1"/>
  <c r="M53" i="3" a="1"/>
  <c r="K166" i="3" a="1"/>
  <c r="P66" i="3" a="1"/>
  <c r="C512" i="2"/>
  <c r="C512" i="3" s="1" a="1"/>
  <c r="D69" i="3" a="1"/>
  <c r="A4" i="3" a="1"/>
  <c r="K318" i="3" a="1"/>
  <c r="K157" i="3" a="1"/>
  <c r="I113" i="3" a="1"/>
  <c r="D235" i="2"/>
  <c r="D505" i="3" a="1"/>
  <c r="M215" i="3" a="1"/>
  <c r="A619" i="3" a="1"/>
  <c r="G98" i="3" a="1"/>
  <c r="H49" i="3" a="1"/>
  <c r="H208" i="3" a="1"/>
  <c r="D629" i="3" a="1"/>
  <c r="I553" i="3" a="1"/>
  <c r="O533" i="3" a="1"/>
  <c r="D606" i="2"/>
  <c r="L75" i="3" a="1"/>
  <c r="B155" i="3" a="1"/>
  <c r="G476" i="3" a="1"/>
  <c r="M179" i="3" a="1"/>
  <c r="O172" i="3" a="1"/>
  <c r="M609" i="3" a="1"/>
  <c r="D603" i="3" a="1"/>
  <c r="P131" i="3" a="1"/>
  <c r="C332" i="2"/>
  <c r="C580" i="3" a="1"/>
  <c r="N480" i="3" a="1"/>
  <c r="M449" i="3" a="1"/>
  <c r="L325" i="3" a="1"/>
  <c r="D567" i="3" a="1"/>
  <c r="A586" i="3" a="1"/>
  <c r="L572" i="3" a="1"/>
  <c r="E35" i="2" a="1"/>
  <c r="D500" i="3" a="1"/>
  <c r="O620" i="3" a="1"/>
  <c r="B263" i="3" a="1"/>
  <c r="D527" i="2"/>
  <c r="H629" i="3" a="1"/>
  <c r="C548" i="3" a="1"/>
  <c r="D519" i="3" a="1"/>
  <c r="B394" i="3" a="1"/>
  <c r="B568" i="3" a="1"/>
  <c r="D327" i="3" a="1"/>
  <c r="E312" i="2" a="1"/>
  <c r="O180" i="3" a="1"/>
  <c r="O155" i="3" a="1"/>
  <c r="B17" i="3" a="1"/>
  <c r="C102" i="3" a="1"/>
  <c r="G453" i="3" a="1"/>
  <c r="K594" i="3" a="1"/>
  <c r="F416" i="3" a="1"/>
  <c r="O32" i="3" a="1"/>
  <c r="G452" i="3" a="1"/>
  <c r="F56" i="3" a="1"/>
  <c r="O299" i="3" a="1"/>
  <c r="M372" i="3" a="1"/>
  <c r="B279" i="3" a="1"/>
  <c r="O579" i="3" a="1"/>
  <c r="O112" i="3" a="1"/>
  <c r="I82" i="3" a="1"/>
  <c r="G369" i="3" a="1"/>
  <c r="D271" i="2"/>
  <c r="B329" i="2"/>
  <c r="D570" i="2"/>
  <c r="C514" i="3" a="1"/>
  <c r="E534" i="2" a="1"/>
  <c r="F127" i="3" a="1"/>
  <c r="D522" i="2"/>
  <c r="O622" i="3" a="1"/>
  <c r="H552" i="3" a="1"/>
  <c r="G315" i="3" a="1"/>
  <c r="P582" i="3" a="1"/>
  <c r="B229" i="2"/>
  <c r="F403" i="3" a="1"/>
  <c r="C587" i="3" a="1"/>
  <c r="O194" i="3" a="1"/>
  <c r="N177" i="3" a="1"/>
  <c r="C617" i="3" a="1"/>
  <c r="C367" i="3" a="1"/>
  <c r="D192" i="3" a="1"/>
  <c r="D109" i="2"/>
  <c r="H373" i="3" a="1"/>
  <c r="C457" i="3" a="1"/>
  <c r="G613" i="3" a="1"/>
  <c r="D355" i="3" a="1"/>
  <c r="D106" i="3" a="1"/>
  <c r="A231" i="3" a="1"/>
  <c r="L106" i="3" a="1"/>
  <c r="L66" i="3" a="1"/>
  <c r="C43" i="3" a="1"/>
  <c r="O329" i="3" a="1"/>
  <c r="L274" i="3" a="1"/>
  <c r="N446" i="3" a="1"/>
  <c r="M524" i="3" a="1"/>
  <c r="B274" i="2"/>
  <c r="F542" i="3" a="1"/>
  <c r="B44" i="3" a="1"/>
  <c r="C394" i="3" a="1"/>
  <c r="A440" i="3" a="1"/>
  <c r="J26" i="3" a="1"/>
  <c r="G638" i="3" a="1"/>
  <c r="K353" i="3" a="1"/>
  <c r="C486" i="3" a="1"/>
  <c r="F243" i="3" a="1"/>
  <c r="B498" i="3" a="1"/>
  <c r="B87" i="3" a="1"/>
  <c r="C636" i="3" a="1"/>
  <c r="H301" i="3" a="1"/>
  <c r="D87" i="3" a="1"/>
  <c r="C386" i="3" a="1"/>
  <c r="B249" i="3" a="1"/>
  <c r="B540" i="3" a="1"/>
  <c r="D521" i="3" a="1"/>
  <c r="D225" i="3" a="1"/>
  <c r="N86" i="3" a="1"/>
  <c r="M567" i="3" a="1"/>
  <c r="E381" i="2" a="1"/>
  <c r="D143" i="3" a="1"/>
  <c r="N401" i="3" a="1"/>
  <c r="L612" i="3" a="1"/>
  <c r="D594" i="3" a="1"/>
  <c r="B431" i="3" a="1"/>
  <c r="E55" i="2" a="1"/>
  <c r="F64" i="3" a="1"/>
  <c r="C86" i="2"/>
  <c r="C86" i="3" s="1" a="1"/>
  <c r="B581" i="2"/>
  <c r="M436" i="3" a="1"/>
  <c r="O571" i="3" a="1"/>
  <c r="N160" i="3" a="1"/>
  <c r="K636" i="3" a="1"/>
  <c r="P108" i="3" a="1"/>
  <c r="O197" i="3" a="1"/>
  <c r="F65" i="3" a="1"/>
  <c r="B107" i="2"/>
  <c r="B107" i="3" s="1" a="1"/>
  <c r="C310" i="2"/>
  <c r="C310" i="3" s="1" a="1"/>
  <c r="C535" i="2"/>
  <c r="D573" i="3" a="1"/>
  <c r="G245" i="3" a="1"/>
  <c r="B264" i="2"/>
  <c r="D38" i="2"/>
  <c r="C539" i="3" a="1"/>
  <c r="D331" i="3" a="1"/>
  <c r="D548" i="2"/>
  <c r="O418" i="3" a="1"/>
  <c r="C509" i="3" a="1"/>
  <c r="P275" i="3" a="1"/>
  <c r="B101" i="3" a="1"/>
  <c r="L516" i="3" a="1"/>
  <c r="E62" i="2" a="1"/>
  <c r="D638" i="3" a="1"/>
  <c r="N572" i="3" a="1"/>
  <c r="I310" i="3" a="1"/>
  <c r="G104" i="3" a="1"/>
  <c r="A483" i="3" a="1"/>
  <c r="F392" i="3" a="1"/>
  <c r="G388" i="3" a="1"/>
  <c r="N379" i="3" a="1"/>
  <c r="A581" i="3" a="1"/>
  <c r="C436" i="2"/>
  <c r="C436" i="3" s="1" a="1"/>
  <c r="D475" i="3" a="1"/>
  <c r="B4" i="3" a="1"/>
  <c r="E204" i="2" a="1"/>
  <c r="G91" i="3" a="1"/>
  <c r="B584" i="2"/>
  <c r="H40" i="3" a="1"/>
  <c r="C173" i="2"/>
  <c r="C173" i="3" s="1" a="1"/>
  <c r="C159" i="2"/>
  <c r="C159" i="3" s="1" a="1"/>
  <c r="O222" i="3" a="1"/>
  <c r="G357" i="3" a="1"/>
  <c r="C520" i="3" a="1"/>
  <c r="K608" i="3" a="1"/>
  <c r="D109" i="3" a="1"/>
  <c r="K521" i="3" a="1"/>
  <c r="L128" i="3" a="1"/>
  <c r="C29" i="3" a="1"/>
  <c r="F226" i="3" a="1"/>
  <c r="D75" i="3" a="1"/>
  <c r="M115" i="3" a="1"/>
  <c r="D261" i="2"/>
  <c r="C352" i="2"/>
  <c r="H482" i="3" a="1"/>
  <c r="O484" i="3" a="1"/>
  <c r="P490" i="3" a="1"/>
  <c r="C89" i="3" a="1"/>
  <c r="N397" i="3" a="1"/>
  <c r="L216" i="3" a="1"/>
  <c r="L71" i="3" a="1"/>
  <c r="B37" i="2"/>
  <c r="B37" i="3" s="1" a="1"/>
  <c r="E408" i="2" a="1"/>
  <c r="I203" i="3" a="1"/>
  <c r="D169" i="2"/>
  <c r="C64" i="2"/>
  <c r="C64" i="3" s="1" a="1"/>
  <c r="C216" i="2"/>
  <c r="C216" i="3" s="1" a="1"/>
  <c r="I599" i="3" a="1"/>
  <c r="E94" i="2" a="1"/>
  <c r="L409" i="3" a="1"/>
  <c r="G205" i="3" a="1"/>
  <c r="D180" i="3" a="1"/>
  <c r="P542" i="3" a="1"/>
  <c r="H470" i="3" a="1"/>
  <c r="H298" i="3" a="1"/>
  <c r="O236" i="3" a="1"/>
  <c r="B53" i="3" a="1"/>
  <c r="B564" i="2"/>
  <c r="B564" i="3" s="1" a="1"/>
  <c r="O221" i="3" a="1"/>
  <c r="K64" i="3" a="1"/>
  <c r="M596" i="3" a="1"/>
  <c r="E456" i="2" a="1"/>
  <c r="I451" i="3" a="1"/>
  <c r="B337" i="3" a="1"/>
  <c r="D231" i="3" a="1"/>
  <c r="I586" i="3" a="1"/>
  <c r="O415" i="3" a="1"/>
  <c r="C330" i="3" a="1"/>
  <c r="L344" i="3" a="1"/>
  <c r="B214" i="3" a="1"/>
  <c r="C170" i="3" a="1"/>
  <c r="F135" i="3" a="1"/>
  <c r="D395" i="2"/>
  <c r="N380" i="3" a="1"/>
  <c r="F395" i="3" a="1"/>
  <c r="E499" i="2" a="1"/>
  <c r="I560" i="3" a="1"/>
  <c r="G492" i="3" a="1"/>
  <c r="O526" i="3" a="1"/>
  <c r="D400" i="3" a="1"/>
  <c r="P415" i="3" a="1"/>
  <c r="P613" i="3" a="1"/>
  <c r="D112" i="2"/>
  <c r="D472" i="2"/>
  <c r="B156" i="3" a="1"/>
  <c r="I400" i="3" a="1"/>
  <c r="C311" i="2"/>
  <c r="C311" i="3" s="1" a="1"/>
  <c r="N107" i="3" a="1"/>
  <c r="B486" i="2"/>
  <c r="B486" i="3" s="1" a="1"/>
  <c r="N30" i="3" a="1"/>
  <c r="H31" i="3" a="1"/>
  <c r="G358" i="3" a="1"/>
  <c r="O569" i="3" a="1"/>
  <c r="H427" i="3" a="1"/>
  <c r="I499" i="3" a="1"/>
  <c r="B401" i="2"/>
  <c r="B401" i="3" s="1" a="1"/>
  <c r="B150" i="3" a="1"/>
  <c r="C263" i="2"/>
  <c r="C263" i="3" s="1" a="1"/>
  <c r="L567" i="3" a="1"/>
  <c r="C213" i="3" a="1"/>
  <c r="N153" i="3" a="1"/>
  <c r="M72" i="3" a="1"/>
  <c r="D627" i="3" a="1"/>
  <c r="C304" i="3" a="1"/>
  <c r="D247" i="3" a="1"/>
  <c r="L600" i="3" a="1"/>
  <c r="G636" i="3" a="1"/>
  <c r="K20" i="3" a="1"/>
  <c r="N75" i="3" a="1"/>
  <c r="N481" i="3" a="1"/>
  <c r="G602" i="3" a="1"/>
  <c r="I627" i="3" a="1"/>
  <c r="A492" i="3" a="1"/>
  <c r="E519" i="2" a="1"/>
  <c r="B406" i="2"/>
  <c r="B165" i="3" a="1"/>
  <c r="D423" i="3" a="1"/>
  <c r="D306" i="2"/>
  <c r="D276" i="3" a="1"/>
  <c r="I79" i="3" a="1"/>
  <c r="C174" i="3" a="1"/>
  <c r="E34" i="2" a="1"/>
  <c r="F237" i="3" a="1"/>
  <c r="D561" i="3" a="1"/>
  <c r="B539" i="2"/>
  <c r="I38" i="3" a="1"/>
  <c r="G580" i="3" a="1"/>
  <c r="B341" i="3" a="1"/>
  <c r="G5" i="3" a="1"/>
  <c r="K593" i="3" a="1"/>
  <c r="F103" i="3" a="1"/>
  <c r="O275" i="3" a="1"/>
  <c r="D483" i="3" a="1"/>
  <c r="K437" i="3" a="1"/>
  <c r="C224" i="3" a="1"/>
  <c r="M105" i="3" a="1"/>
  <c r="B117" i="2"/>
  <c r="D156" i="3" a="1"/>
  <c r="A150" i="3" a="1"/>
  <c r="C385" i="3" a="1"/>
  <c r="P383" i="3" a="1"/>
  <c r="B488" i="2"/>
  <c r="A262" i="3" a="1"/>
  <c r="B321" i="3" a="1"/>
  <c r="F51" i="3" a="1"/>
  <c r="D545" i="2"/>
  <c r="B393" i="3" a="1"/>
  <c r="D525" i="3" a="1"/>
  <c r="K423" i="3" a="1"/>
  <c r="L374" i="3" a="1"/>
  <c r="D456" i="3" a="1"/>
  <c r="B114" i="3" a="1"/>
  <c r="C130" i="3" a="1"/>
  <c r="B360" i="3" a="1"/>
  <c r="D115" i="3" a="1"/>
  <c r="D268" i="3" a="1"/>
  <c r="N196" i="3" a="1"/>
  <c r="D501" i="2"/>
  <c r="M447" i="3" a="1"/>
  <c r="O358" i="3" a="1"/>
  <c r="H207" i="3" a="1"/>
  <c r="E60" i="2" a="1"/>
  <c r="H393" i="3" a="1"/>
  <c r="C199" i="2"/>
  <c r="C199" i="3" s="1" a="1"/>
  <c r="N206" i="3" a="1"/>
  <c r="N141" i="3" a="1"/>
  <c r="F438" i="3" a="1"/>
  <c r="L564" i="3" a="1"/>
  <c r="B497" i="3" a="1"/>
  <c r="D151" i="2"/>
  <c r="C150" i="2"/>
  <c r="M485" i="3" a="1"/>
  <c r="A317" i="3" a="1"/>
  <c r="P602" i="3" a="1"/>
  <c r="H448" i="3" a="1"/>
  <c r="P577" i="3" a="1"/>
  <c r="C298" i="2"/>
  <c r="C298" i="3" s="1" a="1"/>
  <c r="G63" i="3" a="1"/>
  <c r="G342" i="3" a="1"/>
  <c r="C515" i="2"/>
  <c r="C515" i="3" s="1" a="1"/>
  <c r="B241" i="2"/>
  <c r="L81" i="3" a="1"/>
  <c r="H233" i="3" a="1"/>
  <c r="B529" i="3" a="1"/>
  <c r="G228" i="3" a="1"/>
  <c r="D103" i="2"/>
  <c r="B454" i="3" a="1"/>
  <c r="F408" i="3" a="1"/>
  <c r="O557" i="3" a="1"/>
  <c r="B74" i="3" a="1"/>
  <c r="O313" i="3" a="1"/>
  <c r="H219" i="3" a="1"/>
  <c r="M139" i="3" a="1"/>
  <c r="E48" i="2" a="1"/>
  <c r="P170" i="3" a="1"/>
  <c r="B254" i="2"/>
  <c r="B254" i="3" s="1" a="1"/>
  <c r="E551" i="2" a="1"/>
  <c r="D93" i="3" a="1"/>
  <c r="O546" i="3" a="1"/>
  <c r="F420" i="3" a="1"/>
  <c r="C284" i="3" a="1"/>
  <c r="C186" i="3" a="1"/>
  <c r="C446" i="3" a="1"/>
  <c r="H64" i="3" a="1"/>
  <c r="C455" i="3" a="1"/>
  <c r="P181" i="3" a="1"/>
  <c r="D576" i="3" a="1"/>
  <c r="C407" i="2"/>
  <c r="C407" i="3" s="1" a="1"/>
  <c r="C338" i="3" a="1"/>
  <c r="E147" i="2" a="1"/>
  <c r="D365" i="3" a="1"/>
  <c r="G151" i="3" a="1"/>
  <c r="B236" i="2"/>
  <c r="E313" i="2" a="1"/>
  <c r="H122" i="3" a="1"/>
  <c r="L229" i="3" a="1"/>
  <c r="C431" i="3" a="1"/>
  <c r="P431" i="3" a="1"/>
  <c r="C250" i="3" a="1"/>
  <c r="B439" i="3" a="1"/>
  <c r="L238" i="3" a="1"/>
  <c r="G352" i="3" a="1"/>
  <c r="B548" i="3" a="1"/>
  <c r="D62" i="3" a="1"/>
  <c r="A455" i="3" a="1"/>
  <c r="C28" i="3" a="1"/>
  <c r="F570" i="3" a="1"/>
  <c r="D359" i="2"/>
  <c r="I227" i="3" a="1"/>
  <c r="D624" i="3" a="1"/>
  <c r="D22" i="3" a="1"/>
  <c r="B235" i="3" a="1"/>
  <c r="C90" i="3" a="1"/>
  <c r="C5" i="3" a="1"/>
  <c r="M625" i="3" a="1"/>
  <c r="C39" i="3" a="1"/>
  <c r="D424" i="2"/>
  <c r="B300" i="3" a="1"/>
  <c r="C269" i="3" a="1"/>
  <c r="B539" i="3" a="1"/>
  <c r="D617" i="3" a="1"/>
  <c r="D634" i="3" a="1"/>
  <c r="F352" i="3" a="1"/>
  <c r="L372" i="3" a="1"/>
  <c r="C570" i="3" a="1"/>
  <c r="O552" i="3" a="1"/>
  <c r="L259" i="3" a="1"/>
  <c r="M303" i="3" a="1"/>
  <c r="F23" i="3" a="1"/>
  <c r="K597" i="3" a="1"/>
  <c r="E221" i="2" a="1"/>
  <c r="C34" i="2"/>
  <c r="C34" i="3" s="1" a="1"/>
  <c r="E138" i="2" a="1"/>
  <c r="N246" i="3" a="1"/>
  <c r="C51" i="3" a="1"/>
  <c r="F96" i="3" a="1"/>
  <c r="A307" i="3" a="1"/>
  <c r="G470" i="3" a="1"/>
  <c r="D251" i="2"/>
  <c r="L29" i="3" a="1"/>
  <c r="F58" i="3" a="1"/>
  <c r="B172" i="2"/>
  <c r="B172" i="3" s="1" a="1"/>
  <c r="F634" i="3" a="1"/>
  <c r="N591" i="3" a="1"/>
  <c r="A315" i="3" a="1"/>
  <c r="E39" i="2" a="1"/>
  <c r="O520" i="3" a="1"/>
  <c r="I413" i="3" a="1"/>
  <c r="B317" i="2"/>
  <c r="O27" i="3" a="1"/>
  <c r="B490" i="3" a="1"/>
  <c r="H112" i="3" a="1"/>
  <c r="C150" i="3" a="1"/>
  <c r="L477" i="3" a="1"/>
  <c r="C210" i="2"/>
  <c r="C210" i="3" s="1" a="1"/>
  <c r="D299" i="2"/>
  <c r="B381" i="3" a="1"/>
  <c r="O169" i="3" a="1"/>
  <c r="L337" i="3" a="1"/>
  <c r="H152" i="3" a="1"/>
  <c r="C590" i="3" a="1"/>
  <c r="I522" i="3" a="1"/>
  <c r="B176" i="3" a="1"/>
  <c r="N168" i="3" a="1"/>
  <c r="O31" i="3" a="1"/>
  <c r="D608" i="3" a="1"/>
  <c r="C46" i="3" a="1"/>
  <c r="C542" i="3" a="1"/>
  <c r="K527" i="3" a="1"/>
  <c r="C518" i="3" a="1"/>
  <c r="M335" i="3" a="1"/>
  <c r="L555" i="3" a="1"/>
  <c r="P623" i="3" a="1"/>
  <c r="L33" i="3" a="1"/>
  <c r="A249" i="3" a="1"/>
  <c r="C74" i="3" a="1"/>
  <c r="D223" i="2"/>
  <c r="B308" i="3" a="1"/>
  <c r="I432" i="3" a="1"/>
  <c r="E500" i="2" a="1"/>
  <c r="D68" i="2"/>
  <c r="C84" i="2"/>
  <c r="B625" i="3" a="1"/>
  <c r="E406" i="2" a="1"/>
  <c r="C392" i="3" a="1"/>
  <c r="G600" i="3" a="1"/>
  <c r="B571" i="2"/>
  <c r="D314" i="3" a="1"/>
  <c r="N619" i="3" a="1"/>
  <c r="C477" i="3" a="1"/>
  <c r="B478" i="3" a="1"/>
  <c r="L346" i="3" a="1"/>
  <c r="D405" i="3" a="1"/>
  <c r="B370" i="3" a="1"/>
  <c r="B640" i="3" a="1"/>
  <c r="F449" i="3" a="1"/>
  <c r="G181" i="3" a="1"/>
  <c r="L578" i="3" a="1"/>
  <c r="M313" i="3" a="1"/>
  <c r="B270" i="3" a="1"/>
  <c r="G215" i="3" a="1"/>
  <c r="D212" i="3" a="1"/>
  <c r="B103" i="3" a="1"/>
  <c r="C556" i="3" a="1"/>
  <c r="D386" i="3" a="1"/>
  <c r="D599" i="3" a="1"/>
  <c r="H548" i="3" a="1"/>
  <c r="L96" i="3" a="1"/>
  <c r="M289" i="3" a="1"/>
  <c r="E241" i="2" a="1"/>
  <c r="B554" i="2"/>
  <c r="B554" i="3" s="1" a="1"/>
  <c r="L553" i="3" a="1"/>
  <c r="P157" i="3" a="1"/>
  <c r="M426" i="3" a="1"/>
  <c r="D119" i="2"/>
  <c r="P78" i="3" a="1"/>
  <c r="A441" i="3" a="1"/>
  <c r="N567" i="3" a="1"/>
  <c r="K455" i="3" a="1"/>
  <c r="L407" i="3" a="1"/>
  <c r="D628" i="3" a="1"/>
  <c r="N238" i="3" a="1"/>
  <c r="N603" i="3" a="1"/>
  <c r="D272" i="3" a="1"/>
  <c r="K244" i="3" a="1"/>
  <c r="H111" i="3" a="1"/>
  <c r="C523" i="2"/>
  <c r="C523" i="3" s="1" a="1"/>
  <c r="P610" i="3" a="1"/>
  <c r="H103" i="3" a="1"/>
  <c r="D372" i="2"/>
  <c r="B484" i="3" a="1"/>
  <c r="K560" i="3" a="1"/>
  <c r="C261" i="3" a="1"/>
  <c r="D508" i="2"/>
  <c r="C521" i="2"/>
  <c r="C521" i="3" s="1" a="1"/>
  <c r="N389" i="3" a="1"/>
  <c r="D201" i="2"/>
  <c r="C303" i="2"/>
  <c r="B81" i="2"/>
  <c r="A490" i="3" a="1"/>
  <c r="I76" i="3" a="1"/>
  <c r="F239" i="3" a="1"/>
  <c r="H51" i="3" a="1"/>
  <c r="F592" i="3" a="1"/>
  <c r="B291" i="3" a="1"/>
  <c r="C498" i="3" a="1"/>
  <c r="B282" i="3" a="1"/>
  <c r="B295" i="3" a="1"/>
  <c r="N318" i="3" a="1"/>
  <c r="H39" i="3" a="1"/>
  <c r="F211" i="3" a="1"/>
  <c r="L44" i="3" a="1"/>
  <c r="D556" i="2"/>
  <c r="B506" i="3" a="1"/>
  <c r="N44" i="3" a="1"/>
  <c r="E278" i="2" a="1"/>
  <c r="D33" i="2"/>
  <c r="D200" i="2"/>
  <c r="C449" i="3" a="1"/>
  <c r="K62" i="3" a="1"/>
  <c r="B396" i="3" a="1"/>
  <c r="D139" i="2"/>
  <c r="A356" i="3" a="1"/>
  <c r="D218" i="3" a="1"/>
  <c r="F283" i="3" a="1"/>
  <c r="I52" i="3" a="1"/>
  <c r="D518" i="3" a="1"/>
  <c r="L26" i="3" a="1"/>
  <c r="M396" i="3" a="1"/>
  <c r="C335" i="3" a="1"/>
  <c r="D164" i="3" a="1"/>
  <c r="B447" i="3" a="1"/>
  <c r="D523" i="3" a="1"/>
  <c r="C294" i="3" a="1"/>
  <c r="D598" i="3" a="1"/>
  <c r="D230" i="3" a="1"/>
  <c r="G544" i="3" a="1"/>
  <c r="L144" i="3" a="1"/>
  <c r="H286" i="3" a="1"/>
  <c r="N208" i="3" a="1"/>
  <c r="B491" i="3" a="1"/>
  <c r="D551" i="2"/>
  <c r="M537" i="3" a="1"/>
  <c r="B493" i="3" a="1"/>
  <c r="A187" i="3" a="1"/>
  <c r="B627" i="2"/>
  <c r="B627" i="3" s="1" a="1"/>
  <c r="L189" i="3" a="1"/>
  <c r="I326" i="3" a="1"/>
  <c r="O529" i="3" a="1"/>
  <c r="B63" i="2"/>
  <c r="B63" i="3" s="1" a="1"/>
  <c r="B93" i="2"/>
  <c r="B93" i="3" s="1" a="1"/>
  <c r="D516" i="2"/>
  <c r="F518" i="3" a="1"/>
  <c r="I330" i="3" a="1"/>
  <c r="O44" i="3" a="1"/>
  <c r="K271" i="3" a="1"/>
  <c r="A585" i="3" a="1"/>
  <c r="A510" i="3" a="1"/>
  <c r="F536" i="3" a="1"/>
  <c r="N561" i="3" a="1"/>
  <c r="K47" i="3" a="1"/>
  <c r="N450" i="3" a="1"/>
  <c r="F545" i="3" a="1"/>
  <c r="B186" i="2"/>
  <c r="N290" i="3" a="1"/>
  <c r="C352" i="3" a="1"/>
  <c r="M163" i="3" a="1"/>
  <c r="B301" i="3" a="1"/>
  <c r="C279" i="3" a="1"/>
  <c r="C582" i="2"/>
  <c r="C9" i="3" a="1"/>
  <c r="B348" i="3" a="1"/>
  <c r="G356" i="3" a="1"/>
  <c r="E358" i="2" a="1"/>
  <c r="D235" i="3" a="1"/>
  <c r="M236" i="3" a="1"/>
  <c r="D471" i="3" a="1"/>
  <c r="C374" i="2"/>
  <c r="C374" i="3" s="1" a="1"/>
  <c r="D622" i="3" a="1"/>
  <c r="B317" i="3" a="1"/>
  <c r="G324" i="3" a="1"/>
  <c r="H351" i="3" a="1"/>
  <c r="N212" i="3" a="1"/>
  <c r="D596" i="3" a="1"/>
  <c r="M43" i="3" a="1"/>
  <c r="K184" i="3" a="1"/>
  <c r="D577" i="3" a="1"/>
  <c r="M462" i="3" a="1"/>
  <c r="I18" i="3" a="1"/>
  <c r="B582" i="3" a="1"/>
  <c r="G217" i="3" a="1"/>
  <c r="C70" i="3" a="1"/>
  <c r="I39" i="3" a="1"/>
  <c r="A199" i="3" a="1"/>
  <c r="B14" i="3" a="1"/>
  <c r="C140" i="3" a="1"/>
  <c r="B256" i="3" a="1"/>
  <c r="D424" i="3" a="1"/>
  <c r="D185" i="2"/>
  <c r="G320" i="3" a="1"/>
  <c r="A113" i="3" a="1"/>
  <c r="I309" i="3" a="1"/>
  <c r="B126" i="2"/>
  <c r="B126" i="3" s="1" a="1"/>
  <c r="C395" i="2"/>
  <c r="C395" i="3" s="1" a="1"/>
  <c r="H554" i="3" a="1"/>
  <c r="K27" i="3" a="1"/>
  <c r="C499" i="2"/>
  <c r="C499" i="3" s="1" a="1"/>
  <c r="F16" i="3" a="1"/>
  <c r="B203" i="2"/>
  <c r="B203" i="3" s="1" a="1"/>
  <c r="H381" i="3" a="1"/>
  <c r="D451" i="3" a="1"/>
  <c r="O398" i="3" a="1"/>
  <c r="K490" i="3" a="1"/>
  <c r="C164" i="3" a="1"/>
  <c r="P595" i="3" a="1"/>
  <c r="K258" i="3" a="1"/>
  <c r="O142" i="3" a="1"/>
  <c r="F453" i="3" a="1"/>
  <c r="M634" i="3" a="1"/>
  <c r="M63" i="3" a="1"/>
  <c r="F481" i="3" a="1"/>
  <c r="C525" i="2"/>
  <c r="C525" i="3" s="1" a="1"/>
  <c r="C118" i="2"/>
  <c r="C118" i="3" s="1" a="1"/>
  <c r="O483" i="3" a="1"/>
  <c r="A417" i="3" a="1"/>
  <c r="A183" i="3" a="1"/>
  <c r="I306" i="3" a="1"/>
  <c r="L48" i="3" a="1"/>
  <c r="O577" i="3" a="1"/>
  <c r="F285" i="3" a="1"/>
  <c r="F638" i="3" a="1"/>
  <c r="C209" i="3" a="1"/>
  <c r="C638" i="3" a="1"/>
  <c r="C516" i="3" a="1"/>
  <c r="E255" i="2" a="1"/>
  <c r="L174" i="3" a="1"/>
  <c r="D155" i="2"/>
  <c r="I91" i="3" a="1"/>
  <c r="A43" i="3" a="1"/>
  <c r="B460" i="2"/>
  <c r="E523" i="2" a="1"/>
  <c r="D262" i="3" a="1"/>
  <c r="D307" i="3" a="1"/>
  <c r="D163" i="3" a="1"/>
  <c r="G334" i="3" a="1"/>
  <c r="D487" i="3" a="1"/>
  <c r="B557" i="2"/>
  <c r="B557" i="3" s="1" a="1"/>
  <c r="C495" i="3" a="1"/>
  <c r="B38" i="3" a="1"/>
  <c r="D590" i="3" a="1"/>
  <c r="D464" i="3" a="1"/>
  <c r="D275" i="2"/>
  <c r="D606" i="3" a="1"/>
  <c r="L222" i="3" a="1"/>
  <c r="L410" i="3" a="1"/>
  <c r="B555" i="3" a="1"/>
  <c r="C191" i="3" a="1"/>
  <c r="D57" i="3" a="1"/>
  <c r="G535" i="3" a="1"/>
  <c r="I457" i="3" a="1"/>
  <c r="I634" i="3" a="1"/>
  <c r="B598" i="2"/>
  <c r="B598" i="3" s="1" a="1"/>
  <c r="E85" i="2" a="1"/>
  <c r="E2" i="2" a="1"/>
  <c r="C321" i="2"/>
  <c r="C321" i="3" s="1" a="1"/>
  <c r="I500" i="3" a="1"/>
  <c r="D369" i="3" a="1"/>
  <c r="O179" i="3" a="1"/>
  <c r="L181" i="3" a="1"/>
  <c r="M186" i="3" a="1"/>
  <c r="I100" i="3" a="1"/>
  <c r="B160" i="3" a="1"/>
  <c r="H585" i="3" a="1"/>
  <c r="C533" i="2"/>
  <c r="C533" i="3" s="1" a="1"/>
  <c r="B119" i="3" a="1"/>
  <c r="G39" i="3" a="1"/>
  <c r="L422" i="3" a="1"/>
  <c r="I17" i="3" a="1"/>
  <c r="L123" i="3" a="1"/>
  <c r="I213" i="3" a="1"/>
  <c r="D55" i="3" a="1"/>
  <c r="A236" i="3" a="1"/>
  <c r="I428" i="3" a="1"/>
  <c r="O337" i="3" a="1"/>
  <c r="N35" i="3" a="1"/>
  <c r="B123" i="3" a="1"/>
  <c r="I377" i="3" a="1"/>
  <c r="K563" i="3" a="1"/>
  <c r="I567" i="3" a="1"/>
  <c r="O58" i="3" a="1"/>
  <c r="M475" i="3" a="1"/>
  <c r="C536" i="3" a="1"/>
  <c r="M583" i="3" a="1"/>
  <c r="C353" i="2"/>
  <c r="C353" i="3" s="1" a="1"/>
  <c r="E401" i="2" a="1"/>
  <c r="O92" i="3" a="1"/>
  <c r="F539" i="3" a="1"/>
  <c r="M416" i="3" a="1"/>
  <c r="D300" i="3" a="1"/>
  <c r="D306" i="3" a="1"/>
  <c r="P570" i="3" a="1"/>
  <c r="K486" i="3" a="1"/>
  <c r="F234" i="3" a="1"/>
  <c r="B108" i="3" a="1"/>
  <c r="C275" i="3" a="1"/>
  <c r="D342" i="3" a="1"/>
  <c r="D67" i="3" a="1"/>
  <c r="C139" i="2"/>
  <c r="C139" i="3" s="1" a="1"/>
  <c r="C388" i="3" a="1"/>
  <c r="N381" i="3" a="1"/>
  <c r="D565" i="3" a="1"/>
  <c r="C464" i="2"/>
  <c r="D7" i="3" a="1"/>
  <c r="C444" i="3" a="1"/>
  <c r="C146" i="3" a="1"/>
  <c r="B302" i="3" a="1"/>
  <c r="D13" i="3" a="1"/>
  <c r="G174" i="3" a="1"/>
  <c r="E560" i="2" a="1"/>
  <c r="O238" i="3" a="1"/>
  <c r="K415" i="3" a="1"/>
  <c r="K559" i="3" a="1"/>
  <c r="C563" i="2"/>
  <c r="C563" i="3" s="1" a="1"/>
  <c r="E298" i="2" a="1"/>
  <c r="G430" i="3" a="1"/>
  <c r="D76" i="3" a="1"/>
  <c r="M155" i="3" a="1"/>
  <c r="P207" i="3" a="1"/>
  <c r="M182" i="3" a="1"/>
  <c r="C443" i="3" a="1"/>
  <c r="L379" i="3" a="1"/>
  <c r="B485" i="2"/>
  <c r="B485" i="3" s="1" a="1"/>
  <c r="M626" i="3" a="1"/>
  <c r="H365" i="3" a="1"/>
  <c r="F309" i="3" a="1"/>
  <c r="B138" i="2"/>
  <c r="B138" i="3" s="1" a="1"/>
  <c r="L220" i="3" a="1"/>
  <c r="O108" i="3" a="1"/>
  <c r="H487" i="3" a="1"/>
  <c r="C351" i="3" a="1"/>
  <c r="F331" i="3" a="1"/>
  <c r="D595" i="3" a="1"/>
  <c r="K611" i="3" a="1"/>
  <c r="D148" i="3" a="1"/>
  <c r="D20" i="3" a="1"/>
  <c r="G634" i="3" a="1"/>
  <c r="C280" i="3" a="1"/>
  <c r="I549" i="3" a="1"/>
  <c r="E365" i="2" a="1"/>
  <c r="C220" i="3" a="1"/>
  <c r="D49" i="3" a="1"/>
  <c r="C254" i="3" a="1"/>
  <c r="C522" i="3" a="1"/>
  <c r="L426" i="3" a="1"/>
  <c r="C583" i="3" a="1"/>
  <c r="N516" i="3" a="1"/>
  <c r="B262" i="3" a="1"/>
  <c r="F432" i="3" a="1"/>
  <c r="E112" i="2" a="1"/>
  <c r="K17" i="3" a="1"/>
  <c r="H288" i="3" a="1"/>
  <c r="N592" i="3" a="1"/>
  <c r="A121" i="3" a="1"/>
  <c r="C572" i="2"/>
  <c r="C572" i="3" s="1" a="1"/>
  <c r="B578" i="3" a="1"/>
  <c r="B492" i="3" a="1"/>
  <c r="C483" i="3" a="1"/>
  <c r="I35" i="3" a="1"/>
  <c r="H92" i="3" a="1"/>
  <c r="C326" i="3" a="1"/>
  <c r="B237" i="3" a="1"/>
  <c r="D357" i="3" a="1"/>
  <c r="A579" i="3" a="1"/>
  <c r="M150" i="3" a="1"/>
  <c r="C459" i="3" a="1"/>
  <c r="M262" i="3" a="1"/>
  <c r="D237" i="3" a="1"/>
  <c r="B145" i="2"/>
  <c r="N554" i="3" a="1"/>
  <c r="A631" i="3" a="1"/>
  <c r="P336" i="3" a="1"/>
  <c r="B303" i="3" a="1"/>
  <c r="B637" i="3" a="1"/>
  <c r="D33" i="3" a="1"/>
  <c r="B18" i="3" a="1"/>
  <c r="B259" i="3" a="1"/>
  <c r="C212" i="3" a="1"/>
  <c r="C10" i="3" a="1"/>
  <c r="B77" i="3" a="1"/>
  <c r="B137" i="3" a="1"/>
  <c r="C247" i="3" a="1"/>
  <c r="B92" i="3" a="1"/>
  <c r="B581" i="3" a="1"/>
  <c r="B210" i="3" a="1"/>
  <c r="B332" i="3" a="1"/>
  <c r="B481" i="3" a="1"/>
  <c r="B264" i="3" a="1"/>
  <c r="C507" i="3" a="1"/>
  <c r="B418" i="3" a="1"/>
  <c r="C258" i="3" a="1"/>
  <c r="C582" i="3" a="1"/>
  <c r="B274" i="3" a="1"/>
  <c r="B319" i="3" a="1"/>
  <c r="C447" i="3" a="1"/>
  <c r="B452" i="3" a="1"/>
  <c r="C464" i="3" a="1"/>
  <c r="C42" i="3" a="1"/>
  <c r="C354" i="3" a="1"/>
  <c r="C305" i="3" a="1"/>
  <c r="B611" i="3" a="1"/>
  <c r="B19" i="3" a="1"/>
  <c r="C571" i="3" a="1"/>
  <c r="B524" i="3" a="1"/>
  <c r="C422" i="3" a="1"/>
  <c r="B54" i="3" a="1"/>
  <c r="B168" i="3" a="1"/>
  <c r="B157" i="3" a="1"/>
  <c r="B352" i="3" a="1"/>
  <c r="B100" i="3" a="1"/>
  <c r="C85" i="3" a="1"/>
  <c r="C194" i="3" a="1"/>
  <c r="C302" i="3" a="1"/>
  <c r="C4" i="3" a="1"/>
  <c r="B435" i="3" a="1"/>
  <c r="B556" i="3" a="1"/>
  <c r="B472" i="3" a="1"/>
  <c r="C151" i="3" a="1"/>
  <c r="C439" i="3" a="1"/>
  <c r="C104" i="3" a="1"/>
  <c r="C552" i="3" a="1"/>
  <c r="C253" i="3" a="1"/>
  <c r="C24" i="3" a="1"/>
  <c r="C412" i="3" a="1"/>
  <c r="C165" i="3" a="1"/>
  <c r="B42" i="3" a="1"/>
  <c r="C177" i="3" a="1"/>
  <c r="C479" i="3" a="1"/>
  <c r="B117" i="3" a="1"/>
  <c r="B241" i="3" a="1"/>
  <c r="B488" i="3" a="1"/>
  <c r="C599" i="3" a="1"/>
  <c r="C562" i="3" a="1"/>
  <c r="B75" i="3" a="1"/>
  <c r="C465" i="3" a="1"/>
  <c r="B98" i="3" a="1"/>
  <c r="B603" i="3" a="1"/>
  <c r="C135" i="3" a="1"/>
  <c r="C12" i="3" a="1"/>
  <c r="B272" i="3" a="1"/>
  <c r="C535" i="3" a="1"/>
  <c r="B81" i="3" a="1"/>
  <c r="B456" i="3" a="1"/>
  <c r="C637" i="3" a="1"/>
  <c r="B111" i="3" a="1"/>
  <c r="B99" i="3" a="1"/>
  <c r="B507" i="3" a="1"/>
  <c r="B406" i="3" a="1"/>
  <c r="B71" i="3" a="1"/>
  <c r="B445" i="3" a="1"/>
  <c r="C192" i="3" a="1"/>
  <c r="B384" i="3" a="1"/>
  <c r="B78" i="3" a="1"/>
  <c r="C345" i="3" a="1"/>
  <c r="C303" i="3" a="1"/>
  <c r="B361" i="3" a="1"/>
  <c r="C16" i="3" a="1"/>
  <c r="B20" i="3" a="1"/>
  <c r="C441" i="3" a="1"/>
  <c r="C56" i="3" a="1"/>
  <c r="B186" i="3" a="1"/>
  <c r="C375" i="3" a="1"/>
  <c r="C307" i="3" a="1"/>
  <c r="C152" i="3" a="1"/>
  <c r="B224" i="3" a="1"/>
  <c r="B62" i="3" a="1"/>
  <c r="B593" i="3" a="1"/>
  <c r="C41" i="3" a="1"/>
  <c r="C596" i="3" a="1"/>
  <c r="B230" i="3" a="1"/>
  <c r="B32" i="3" a="1"/>
  <c r="C241" i="3" a="1"/>
  <c r="B429" i="3" a="1"/>
  <c r="C115" i="3" a="1"/>
  <c r="B358" i="3" a="1"/>
  <c r="B386" i="3" a="1"/>
  <c r="C492" i="3" a="1"/>
  <c r="C476" i="3" a="1"/>
  <c r="B395" i="3" a="1"/>
  <c r="C163" i="3" a="1"/>
  <c r="C442" i="3" a="1"/>
  <c r="B525" i="3" a="1"/>
  <c r="D574" i="3" a="1"/>
  <c r="D214" i="3" a="1"/>
  <c r="D371" i="3" a="1"/>
  <c r="D144" i="3" a="1"/>
  <c r="D238" i="3" a="1"/>
  <c r="D81" i="3" a="1"/>
  <c r="D382" i="3" a="1"/>
  <c r="D616" i="3" a="1"/>
  <c r="D8" i="3" a="1"/>
  <c r="D295" i="3" a="1"/>
  <c r="D602" i="3" a="1"/>
  <c r="D186" i="3" a="1"/>
  <c r="D232" i="3" a="1"/>
  <c r="D459" i="3" a="1"/>
  <c r="D157" i="3" a="1"/>
  <c r="D312" i="3" a="1"/>
  <c r="D264" i="3" a="1"/>
  <c r="D4" i="3" a="1"/>
  <c r="D303" i="3" a="1"/>
  <c r="D80" i="3" a="1"/>
  <c r="D277" i="3" a="1"/>
  <c r="D91" i="3" a="1"/>
  <c r="D564" i="3" a="1"/>
  <c r="D530" i="3" a="1"/>
  <c r="D441" i="3" a="1"/>
  <c r="D457" i="3" a="1"/>
  <c r="D517" i="3" a="1"/>
  <c r="D354" i="3" a="1"/>
  <c r="D58" i="3" a="1"/>
  <c r="D270" i="3" a="1"/>
  <c r="D12" i="3" a="1"/>
  <c r="D24" i="3" a="1"/>
  <c r="D16" i="3" a="1"/>
  <c r="D73" i="3" a="1"/>
  <c r="D480" i="3" a="1"/>
  <c r="D118" i="3" a="1"/>
  <c r="D460" i="3" a="1"/>
  <c r="D126" i="3" a="1"/>
  <c r="D477" i="3" a="1"/>
  <c r="D284" i="3" a="1"/>
  <c r="D381" i="3" a="1"/>
  <c r="D175" i="3" a="1"/>
  <c r="D439" i="3" a="1"/>
  <c r="D242" i="3" a="1"/>
  <c r="D56" i="3" a="1"/>
  <c r="D113" i="3" a="1"/>
  <c r="D127" i="3" a="1"/>
  <c r="D321" i="3" a="1"/>
  <c r="D584" i="3" a="1"/>
  <c r="D637" i="3" a="1"/>
  <c r="D495" i="3" a="1"/>
  <c r="D168" i="3" a="1"/>
  <c r="D569" i="3" a="1"/>
  <c r="D502" i="3" a="1"/>
  <c r="D107" i="3" a="1"/>
  <c r="D611" i="3" a="1"/>
  <c r="D604" i="3" a="1"/>
  <c r="D325" i="3" a="1"/>
  <c r="D128" i="3" a="1"/>
  <c r="D326" i="3" a="1"/>
  <c r="D560" i="3" a="1"/>
  <c r="D94" i="3" a="1"/>
  <c r="D383" i="3" a="1"/>
  <c r="D174" i="3" a="1"/>
  <c r="D245" i="3" a="1"/>
  <c r="D37" i="3" a="1"/>
  <c r="D70" i="3" a="1"/>
  <c r="D32" i="3" a="1"/>
  <c r="D473" i="3" a="1"/>
  <c r="D216" i="3" a="1"/>
  <c r="D44" i="3" a="1"/>
  <c r="D553" i="3" a="1"/>
  <c r="D267" i="3" a="1"/>
  <c r="D402" i="3" a="1"/>
  <c r="D385" i="3" a="1"/>
  <c r="D352" i="3" a="1"/>
  <c r="D269" i="3" a="1"/>
  <c r="D479" i="3" a="1"/>
  <c r="D458" i="3" a="1"/>
  <c r="D82" i="3" a="1"/>
  <c r="D40" i="3" a="1"/>
  <c r="D384" i="3" a="1"/>
  <c r="D499" i="3" a="1"/>
  <c r="D578" i="3" a="1"/>
  <c r="D153" i="3" a="1"/>
  <c r="D83" i="3" a="1"/>
  <c r="D123" i="3" a="1"/>
  <c r="D72" i="3" a="1"/>
  <c r="D579" i="3" a="1"/>
  <c r="D207" i="3" a="1"/>
  <c r="D217" i="3" a="1"/>
  <c r="D160" i="3" a="1"/>
  <c r="D177" i="3" a="1"/>
  <c r="D485" i="3" a="1"/>
  <c r="D582" i="3" a="1"/>
  <c r="D469" i="3" a="1"/>
  <c r="D555" i="3" a="1"/>
  <c r="D194" i="3" a="1"/>
  <c r="D364" i="3" a="1"/>
  <c r="D248" i="3" a="1"/>
  <c r="D135" i="3" a="1"/>
  <c r="D305" i="3" a="1"/>
  <c r="D19" i="3" a="1"/>
  <c r="D607" i="3" a="1"/>
  <c r="D486" i="3" a="1"/>
  <c r="D313" i="3" a="1"/>
  <c r="D585" i="3" a="1"/>
  <c r="D36" i="3" a="1"/>
  <c r="D536" i="3" a="1"/>
  <c r="D158" i="3" a="1"/>
  <c r="D476" i="3" a="1"/>
  <c r="D202" i="3" a="1"/>
  <c r="D414" i="3" a="1"/>
  <c r="D281" i="3" a="1"/>
  <c r="D102" i="3" a="1"/>
  <c r="D593" i="3" a="1"/>
  <c r="D344" i="3" a="1"/>
  <c r="D614" i="3" a="1"/>
  <c r="D189" i="3" a="1"/>
  <c r="D191" i="3" a="1"/>
  <c r="D418" i="3" a="1"/>
  <c r="D34" i="3" a="1"/>
  <c r="D110" i="3" a="1"/>
  <c r="D51" i="3" a="1"/>
  <c r="D280" i="3" a="1"/>
  <c r="D527" i="3" a="1"/>
  <c r="D271" i="3" a="1"/>
  <c r="D570" i="3" a="1"/>
  <c r="D522" i="3" a="1"/>
  <c r="D38" i="3" a="1"/>
  <c r="D548" i="3" a="1"/>
  <c r="D261" i="3" a="1"/>
  <c r="D169" i="3" a="1"/>
  <c r="D395" i="3" a="1"/>
  <c r="D112" i="3" a="1"/>
  <c r="D472" i="3" a="1"/>
  <c r="D545" i="3" a="1"/>
  <c r="D501" i="3" a="1"/>
  <c r="D151" i="3" a="1"/>
  <c r="D103" i="3" a="1"/>
  <c r="D359" i="3" a="1"/>
  <c r="D251" i="3" a="1"/>
  <c r="D299" i="3" a="1"/>
  <c r="D223" i="3" a="1"/>
  <c r="D68" i="3" a="1"/>
  <c r="D119" i="3" a="1"/>
  <c r="D372" i="3" a="1"/>
  <c r="D508" i="3" a="1"/>
  <c r="D201" i="3" a="1"/>
  <c r="D556" i="3" a="1"/>
  <c r="D200" i="3" a="1"/>
  <c r="D139" i="3" a="1"/>
  <c r="D551" i="3" a="1"/>
  <c r="D516" i="3" a="1"/>
  <c r="D185" i="3" a="1"/>
  <c r="D155" i="3" a="1"/>
  <c r="D275" i="3" a="1"/>
  <c r="D275" i="3" l="1"/>
  <c r="D155" i="3"/>
  <c r="D185" i="3"/>
  <c r="D516" i="3"/>
  <c r="D551" i="3"/>
  <c r="D139" i="3"/>
  <c r="D200" i="3"/>
  <c r="D556" i="3"/>
  <c r="D201" i="3"/>
  <c r="D508" i="3"/>
  <c r="D372" i="3"/>
  <c r="D119" i="3"/>
  <c r="D68" i="3"/>
  <c r="D223" i="3"/>
  <c r="D299" i="3"/>
  <c r="D251" i="3"/>
  <c r="D359" i="3"/>
  <c r="D103" i="3"/>
  <c r="D151" i="3"/>
  <c r="D501" i="3"/>
  <c r="D545" i="3"/>
  <c r="D472" i="3"/>
  <c r="D112" i="3"/>
  <c r="D395" i="3"/>
  <c r="D169" i="3"/>
  <c r="D261" i="3"/>
  <c r="D548" i="3"/>
  <c r="D38" i="3"/>
  <c r="D522" i="3"/>
  <c r="D570" i="3"/>
  <c r="D271" i="3"/>
  <c r="D527" i="3"/>
  <c r="D280" i="3"/>
  <c r="D51" i="3"/>
  <c r="D110" i="3"/>
  <c r="D34" i="3"/>
  <c r="D418" i="3"/>
  <c r="D191" i="3"/>
  <c r="D189" i="3"/>
  <c r="D614" i="3"/>
  <c r="D344" i="3"/>
  <c r="D593" i="3"/>
  <c r="D102" i="3"/>
  <c r="D281" i="3"/>
  <c r="D414" i="3"/>
  <c r="D202" i="3"/>
  <c r="D476" i="3"/>
  <c r="D158" i="3"/>
  <c r="D536" i="3"/>
  <c r="D36" i="3"/>
  <c r="D585" i="3"/>
  <c r="D313" i="3"/>
  <c r="D486" i="3"/>
  <c r="D607" i="3"/>
  <c r="D19" i="3"/>
  <c r="D305" i="3"/>
  <c r="D135" i="3"/>
  <c r="D248" i="3"/>
  <c r="D364" i="3"/>
  <c r="D194" i="3"/>
  <c r="D555" i="3"/>
  <c r="D469" i="3"/>
  <c r="D582" i="3"/>
  <c r="D485" i="3"/>
  <c r="D177" i="3"/>
  <c r="D160" i="3"/>
  <c r="D217" i="3"/>
  <c r="D207" i="3"/>
  <c r="D579" i="3"/>
  <c r="D72" i="3"/>
  <c r="D123" i="3"/>
  <c r="D83" i="3"/>
  <c r="D153" i="3"/>
  <c r="D578" i="3"/>
  <c r="D499" i="3"/>
  <c r="D384" i="3"/>
  <c r="D40" i="3"/>
  <c r="D82" i="3"/>
  <c r="D458" i="3"/>
  <c r="D479" i="3"/>
  <c r="D269" i="3"/>
  <c r="D352" i="3"/>
  <c r="D385" i="3"/>
  <c r="D402" i="3"/>
  <c r="D267" i="3"/>
  <c r="D553" i="3"/>
  <c r="D44" i="3"/>
  <c r="D216" i="3"/>
  <c r="D473" i="3"/>
  <c r="D32" i="3"/>
  <c r="D70" i="3"/>
  <c r="D37" i="3"/>
  <c r="D245" i="3"/>
  <c r="D174" i="3"/>
  <c r="D383" i="3"/>
  <c r="D94" i="3"/>
  <c r="D560" i="3"/>
  <c r="D326" i="3"/>
  <c r="D128" i="3"/>
  <c r="D325" i="3"/>
  <c r="D604" i="3"/>
  <c r="D611" i="3"/>
  <c r="D107" i="3"/>
  <c r="D502" i="3"/>
  <c r="D569" i="3"/>
  <c r="D168" i="3"/>
  <c r="D495" i="3"/>
  <c r="D637" i="3"/>
  <c r="D584" i="3"/>
  <c r="D321" i="3"/>
  <c r="D127" i="3"/>
  <c r="D113" i="3"/>
  <c r="D56" i="3"/>
  <c r="D242" i="3"/>
  <c r="D439" i="3"/>
  <c r="D175" i="3"/>
  <c r="D381" i="3"/>
  <c r="D284" i="3"/>
  <c r="D477" i="3"/>
  <c r="D126" i="3"/>
  <c r="D460" i="3"/>
  <c r="D118" i="3"/>
  <c r="D480" i="3"/>
  <c r="D73" i="3"/>
  <c r="D16" i="3"/>
  <c r="D24" i="3"/>
  <c r="D12" i="3"/>
  <c r="D270" i="3"/>
  <c r="D58" i="3"/>
  <c r="D354" i="3"/>
  <c r="D517" i="3"/>
  <c r="D457" i="3"/>
  <c r="D441" i="3"/>
  <c r="D530" i="3"/>
  <c r="D564" i="3"/>
  <c r="D91" i="3"/>
  <c r="D277" i="3"/>
  <c r="D80" i="3"/>
  <c r="D303" i="3"/>
  <c r="D4" i="3"/>
  <c r="D264" i="3"/>
  <c r="D312" i="3"/>
  <c r="D157" i="3"/>
  <c r="D459" i="3"/>
  <c r="D232" i="3"/>
  <c r="D186" i="3"/>
  <c r="D602" i="3"/>
  <c r="D295" i="3"/>
  <c r="D8" i="3"/>
  <c r="D616" i="3"/>
  <c r="D382" i="3"/>
  <c r="D81" i="3"/>
  <c r="D238" i="3"/>
  <c r="D144" i="3"/>
  <c r="D371" i="3"/>
  <c r="D214" i="3"/>
  <c r="D574" i="3"/>
  <c r="B525" i="3"/>
  <c r="C442" i="3"/>
  <c r="C163" i="3"/>
  <c r="B395" i="3"/>
  <c r="C476" i="3"/>
  <c r="C492" i="3"/>
  <c r="B386" i="3"/>
  <c r="B358" i="3"/>
  <c r="C115" i="3"/>
  <c r="B429" i="3"/>
  <c r="C241" i="3"/>
  <c r="B32" i="3"/>
  <c r="B230" i="3"/>
  <c r="C596" i="3"/>
  <c r="C41" i="3"/>
  <c r="B593" i="3"/>
  <c r="B62" i="3"/>
  <c r="B224" i="3"/>
  <c r="C152" i="3"/>
  <c r="C307" i="3"/>
  <c r="C375" i="3"/>
  <c r="B186" i="3"/>
  <c r="C56" i="3"/>
  <c r="C441" i="3"/>
  <c r="B20" i="3"/>
  <c r="C16" i="3"/>
  <c r="B361" i="3"/>
  <c r="C303" i="3"/>
  <c r="C345" i="3"/>
  <c r="B78" i="3"/>
  <c r="B384" i="3"/>
  <c r="C192" i="3"/>
  <c r="B445" i="3"/>
  <c r="B71" i="3"/>
  <c r="B406" i="3"/>
  <c r="B507" i="3"/>
  <c r="B99" i="3"/>
  <c r="B111" i="3"/>
  <c r="C637" i="3"/>
  <c r="B456" i="3"/>
  <c r="B81" i="3"/>
  <c r="C535" i="3"/>
  <c r="B272" i="3"/>
  <c r="C12" i="3"/>
  <c r="C135" i="3"/>
  <c r="B603" i="3"/>
  <c r="B98" i="3"/>
  <c r="C465" i="3"/>
  <c r="B75" i="3"/>
  <c r="C562" i="3"/>
  <c r="C599" i="3"/>
  <c r="B488" i="3"/>
  <c r="B241" i="3"/>
  <c r="B117" i="3"/>
  <c r="C479" i="3"/>
  <c r="C177" i="3"/>
  <c r="B42" i="3"/>
  <c r="C165" i="3"/>
  <c r="C412" i="3"/>
  <c r="C24" i="3"/>
  <c r="C253" i="3"/>
  <c r="C552" i="3"/>
  <c r="C104" i="3"/>
  <c r="C439" i="3"/>
  <c r="C151" i="3"/>
  <c r="B472" i="3"/>
  <c r="B556" i="3"/>
  <c r="B435" i="3"/>
  <c r="C4" i="3"/>
  <c r="C302" i="3"/>
  <c r="C194" i="3"/>
  <c r="C85" i="3"/>
  <c r="B100" i="3"/>
  <c r="B352" i="3"/>
  <c r="B157" i="3"/>
  <c r="B168" i="3"/>
  <c r="B54" i="3"/>
  <c r="C422" i="3"/>
  <c r="B524" i="3"/>
  <c r="C571" i="3"/>
  <c r="B19" i="3"/>
  <c r="B611" i="3"/>
  <c r="C305" i="3"/>
  <c r="C354" i="3"/>
  <c r="C42" i="3"/>
  <c r="C464" i="3"/>
  <c r="B452" i="3"/>
  <c r="C447" i="3"/>
  <c r="B319" i="3"/>
  <c r="B274" i="3"/>
  <c r="C582" i="3"/>
  <c r="C258" i="3"/>
  <c r="B418" i="3"/>
  <c r="C507" i="3"/>
  <c r="B264" i="3"/>
  <c r="B481" i="3"/>
  <c r="B332" i="3"/>
  <c r="B210" i="3"/>
  <c r="B581" i="3"/>
  <c r="B92" i="3"/>
  <c r="C247" i="3"/>
  <c r="B137" i="3"/>
  <c r="B77" i="3"/>
  <c r="C10" i="3"/>
  <c r="C212" i="3"/>
  <c r="B259" i="3"/>
  <c r="B18" i="3"/>
  <c r="D33" i="3"/>
  <c r="B637" i="3"/>
  <c r="B303" i="3"/>
  <c r="P336" i="3"/>
  <c r="A631" i="3"/>
  <c r="N554" i="3"/>
  <c r="D237" i="3"/>
  <c r="M262" i="3"/>
  <c r="C459" i="3"/>
  <c r="M150" i="3"/>
  <c r="A579" i="3"/>
  <c r="D357" i="3"/>
  <c r="B237" i="3"/>
  <c r="C326" i="3"/>
  <c r="H92" i="3"/>
  <c r="I35" i="3"/>
  <c r="C483" i="3"/>
  <c r="B492" i="3"/>
  <c r="B578" i="3"/>
  <c r="C572" i="3"/>
  <c r="A121" i="3"/>
  <c r="N592" i="3"/>
  <c r="H288" i="3"/>
  <c r="K17" i="3"/>
  <c r="E112" i="2"/>
  <c r="F432" i="3"/>
  <c r="B262" i="3"/>
  <c r="N516" i="3"/>
  <c r="C583" i="3"/>
  <c r="L426" i="3"/>
  <c r="C522" i="3"/>
  <c r="C254" i="3"/>
  <c r="D49" i="3"/>
  <c r="C220" i="3"/>
  <c r="E365" i="2"/>
  <c r="I549" i="3"/>
  <c r="C280" i="3"/>
  <c r="G634" i="3"/>
  <c r="D20" i="3"/>
  <c r="D148" i="3"/>
  <c r="K611" i="3"/>
  <c r="D595" i="3"/>
  <c r="F331" i="3"/>
  <c r="C351" i="3"/>
  <c r="H487" i="3"/>
  <c r="O108" i="3"/>
  <c r="L220" i="3"/>
  <c r="B138" i="3"/>
  <c r="F309" i="3"/>
  <c r="H365" i="3"/>
  <c r="M626" i="3"/>
  <c r="B485" i="3"/>
  <c r="L379" i="3"/>
  <c r="C443" i="3"/>
  <c r="M182" i="3"/>
  <c r="P207" i="3"/>
  <c r="M155" i="3"/>
  <c r="D76" i="3"/>
  <c r="G430" i="3"/>
  <c r="E298" i="2"/>
  <c r="C563" i="3"/>
  <c r="K559" i="3"/>
  <c r="K415" i="3"/>
  <c r="O238" i="3"/>
  <c r="E560" i="2"/>
  <c r="G174" i="3"/>
  <c r="D13" i="3"/>
  <c r="B302" i="3"/>
  <c r="C146" i="3"/>
  <c r="C444" i="3"/>
  <c r="D7" i="3"/>
  <c r="D565" i="3"/>
  <c r="N381" i="3"/>
  <c r="C388" i="3"/>
  <c r="C139" i="3"/>
  <c r="D67" i="3"/>
  <c r="D342" i="3"/>
  <c r="C275" i="3"/>
  <c r="B108" i="3"/>
  <c r="F234" i="3"/>
  <c r="K486" i="3"/>
  <c r="P570" i="3"/>
  <c r="D306" i="3"/>
  <c r="D300" i="3"/>
  <c r="M416" i="3"/>
  <c r="F539" i="3"/>
  <c r="O92" i="3"/>
  <c r="E401" i="2"/>
  <c r="C353" i="3"/>
  <c r="M583" i="3"/>
  <c r="C536" i="3"/>
  <c r="M475" i="3"/>
  <c r="O58" i="3"/>
  <c r="I567" i="3"/>
  <c r="K563" i="3"/>
  <c r="I377" i="3"/>
  <c r="B123" i="3"/>
  <c r="N35" i="3"/>
  <c r="O337" i="3"/>
  <c r="I428" i="3"/>
  <c r="A236" i="3"/>
  <c r="D55" i="3"/>
  <c r="I213" i="3"/>
  <c r="L123" i="3"/>
  <c r="I17" i="3"/>
  <c r="L422" i="3"/>
  <c r="G39" i="3"/>
  <c r="B119" i="3"/>
  <c r="C533" i="3"/>
  <c r="H585" i="3"/>
  <c r="B160" i="3"/>
  <c r="I100" i="3"/>
  <c r="M186" i="3"/>
  <c r="L181" i="3"/>
  <c r="O179" i="3"/>
  <c r="D369" i="3"/>
  <c r="I500" i="3"/>
  <c r="C321" i="3"/>
  <c r="E2" i="2"/>
  <c r="E85" i="2"/>
  <c r="B598" i="3"/>
  <c r="I634" i="3"/>
  <c r="I457" i="3"/>
  <c r="G535" i="3"/>
  <c r="D57" i="3"/>
  <c r="C191" i="3"/>
  <c r="B555" i="3"/>
  <c r="L410" i="3"/>
  <c r="L222" i="3"/>
  <c r="D606" i="3"/>
  <c r="J275" i="2"/>
  <c r="D464" i="3"/>
  <c r="D590" i="3"/>
  <c r="B38" i="3"/>
  <c r="C495" i="3"/>
  <c r="B557" i="3"/>
  <c r="D487" i="3"/>
  <c r="G334" i="3"/>
  <c r="D163" i="3"/>
  <c r="D307" i="3"/>
  <c r="D262" i="3"/>
  <c r="E523" i="2"/>
  <c r="A43" i="3"/>
  <c r="I91" i="3"/>
  <c r="J155" i="2"/>
  <c r="L174" i="3"/>
  <c r="E255" i="2"/>
  <c r="C516" i="3"/>
  <c r="C638" i="3"/>
  <c r="C209" i="3"/>
  <c r="F638" i="3"/>
  <c r="F285" i="3"/>
  <c r="O577" i="3"/>
  <c r="L48" i="3"/>
  <c r="I306" i="3"/>
  <c r="A183" i="3"/>
  <c r="A417" i="3"/>
  <c r="O483" i="3"/>
  <c r="C118" i="3"/>
  <c r="C525" i="3"/>
  <c r="F481" i="3"/>
  <c r="M63" i="3"/>
  <c r="M634" i="3"/>
  <c r="F453" i="3"/>
  <c r="O142" i="3"/>
  <c r="K258" i="3"/>
  <c r="P595" i="3"/>
  <c r="C164" i="3"/>
  <c r="K490" i="3"/>
  <c r="O398" i="3"/>
  <c r="D451" i="3"/>
  <c r="H381" i="3"/>
  <c r="B203" i="3"/>
  <c r="F16" i="3"/>
  <c r="C499" i="3"/>
  <c r="K27" i="3"/>
  <c r="H554" i="3"/>
  <c r="C395" i="3"/>
  <c r="B126" i="3"/>
  <c r="I309" i="3"/>
  <c r="A113" i="3"/>
  <c r="G320" i="3"/>
  <c r="J185" i="2"/>
  <c r="D424" i="3"/>
  <c r="B256" i="3"/>
  <c r="C140" i="3"/>
  <c r="B14" i="3"/>
  <c r="A199" i="3"/>
  <c r="I39" i="3"/>
  <c r="C70" i="3"/>
  <c r="G217" i="3"/>
  <c r="B582" i="3"/>
  <c r="I18" i="3"/>
  <c r="M462" i="3"/>
  <c r="D577" i="3"/>
  <c r="K184" i="3"/>
  <c r="M43" i="3"/>
  <c r="D596" i="3"/>
  <c r="N212" i="3"/>
  <c r="H351" i="3"/>
  <c r="G324" i="3"/>
  <c r="B317" i="3"/>
  <c r="D622" i="3"/>
  <c r="C374" i="3"/>
  <c r="D471" i="3"/>
  <c r="M236" i="3"/>
  <c r="D235" i="3"/>
  <c r="E358" i="2"/>
  <c r="G356" i="3"/>
  <c r="B348" i="3"/>
  <c r="C9" i="3"/>
  <c r="C279" i="3"/>
  <c r="B301" i="3"/>
  <c r="M163" i="3"/>
  <c r="C352" i="3"/>
  <c r="N290" i="3"/>
  <c r="F545" i="3"/>
  <c r="N450" i="3"/>
  <c r="K47" i="3"/>
  <c r="N561" i="3"/>
  <c r="F536" i="3"/>
  <c r="A510" i="3"/>
  <c r="A585" i="3"/>
  <c r="K271" i="3"/>
  <c r="O44" i="3"/>
  <c r="I330" i="3"/>
  <c r="F518" i="3"/>
  <c r="J516" i="2"/>
  <c r="B93" i="3"/>
  <c r="B63" i="3"/>
  <c r="O529" i="3"/>
  <c r="I326" i="3"/>
  <c r="L189" i="3"/>
  <c r="B627" i="3"/>
  <c r="A187" i="3"/>
  <c r="B493" i="3"/>
  <c r="M537" i="3"/>
  <c r="J551" i="2"/>
  <c r="B491" i="3"/>
  <c r="N208" i="3"/>
  <c r="H286" i="3"/>
  <c r="L144" i="3"/>
  <c r="G544" i="3"/>
  <c r="D230" i="3"/>
  <c r="D598" i="3"/>
  <c r="C294" i="3"/>
  <c r="D523" i="3"/>
  <c r="B447" i="3"/>
  <c r="D164" i="3"/>
  <c r="C335" i="3"/>
  <c r="M396" i="3"/>
  <c r="L26" i="3"/>
  <c r="D518" i="3"/>
  <c r="I52" i="3"/>
  <c r="F283" i="3"/>
  <c r="D218" i="3"/>
  <c r="A356" i="3"/>
  <c r="J139" i="2"/>
  <c r="B396" i="3"/>
  <c r="K62" i="3"/>
  <c r="C449" i="3"/>
  <c r="J200" i="2"/>
  <c r="J33" i="2"/>
  <c r="E278" i="2"/>
  <c r="N44" i="3"/>
  <c r="B506" i="3"/>
  <c r="J556" i="2"/>
  <c r="L44" i="3"/>
  <c r="F211" i="3"/>
  <c r="H39" i="3"/>
  <c r="N318" i="3"/>
  <c r="B295" i="3"/>
  <c r="B282" i="3"/>
  <c r="C498" i="3"/>
  <c r="B291" i="3"/>
  <c r="F592" i="3"/>
  <c r="H51" i="3"/>
  <c r="F239" i="3"/>
  <c r="I76" i="3"/>
  <c r="A490" i="3"/>
  <c r="J201" i="2"/>
  <c r="N389" i="3"/>
  <c r="C521" i="3"/>
  <c r="J508" i="2"/>
  <c r="C261" i="3"/>
  <c r="K560" i="3"/>
  <c r="B484" i="3"/>
  <c r="J372" i="2"/>
  <c r="H103" i="3"/>
  <c r="P610" i="3"/>
  <c r="C523" i="3"/>
  <c r="H111" i="3"/>
  <c r="K244" i="3"/>
  <c r="D272" i="3"/>
  <c r="N603" i="3"/>
  <c r="N238" i="3"/>
  <c r="D628" i="3"/>
  <c r="L407" i="3"/>
  <c r="K455" i="3"/>
  <c r="N567" i="3"/>
  <c r="A441" i="3"/>
  <c r="P78" i="3"/>
  <c r="J119" i="2"/>
  <c r="M426" i="3"/>
  <c r="P157" i="3"/>
  <c r="L553" i="3"/>
  <c r="B554" i="3"/>
  <c r="E241" i="2"/>
  <c r="M289" i="3"/>
  <c r="L96" i="3"/>
  <c r="H548" i="3"/>
  <c r="D599" i="3"/>
  <c r="D386" i="3"/>
  <c r="C556" i="3"/>
  <c r="B103" i="3"/>
  <c r="D212" i="3"/>
  <c r="G215" i="3"/>
  <c r="B270" i="3"/>
  <c r="M313" i="3"/>
  <c r="L578" i="3"/>
  <c r="G181" i="3"/>
  <c r="F449" i="3"/>
  <c r="B640" i="3"/>
  <c r="B370" i="3"/>
  <c r="D405" i="3"/>
  <c r="L346" i="3"/>
  <c r="B478" i="3"/>
  <c r="C477" i="3"/>
  <c r="N619" i="3"/>
  <c r="D314" i="3"/>
  <c r="G600" i="3"/>
  <c r="C392" i="3"/>
  <c r="E406" i="2"/>
  <c r="B625" i="3"/>
  <c r="J68" i="2"/>
  <c r="E500" i="2"/>
  <c r="I432" i="3"/>
  <c r="B308" i="3"/>
  <c r="J223" i="2"/>
  <c r="C74" i="3"/>
  <c r="A249" i="3"/>
  <c r="L33" i="3"/>
  <c r="P623" i="3"/>
  <c r="L555" i="3"/>
  <c r="M335" i="3"/>
  <c r="C518" i="3"/>
  <c r="K527" i="3"/>
  <c r="C542" i="3"/>
  <c r="C46" i="3"/>
  <c r="D608" i="3"/>
  <c r="O31" i="3"/>
  <c r="N168" i="3"/>
  <c r="B176" i="3"/>
  <c r="I522" i="3"/>
  <c r="C590" i="3"/>
  <c r="H152" i="3"/>
  <c r="L337" i="3"/>
  <c r="O169" i="3"/>
  <c r="B381" i="3"/>
  <c r="J299" i="2"/>
  <c r="C210" i="3"/>
  <c r="L477" i="3"/>
  <c r="C150" i="3"/>
  <c r="H112" i="3"/>
  <c r="B490" i="3"/>
  <c r="O27" i="3"/>
  <c r="I413" i="3"/>
  <c r="O520" i="3"/>
  <c r="E39" i="2"/>
  <c r="A315" i="3"/>
  <c r="N591" i="3"/>
  <c r="F634" i="3"/>
  <c r="B172" i="3"/>
  <c r="F58" i="3"/>
  <c r="L29" i="3"/>
  <c r="J251" i="2"/>
  <c r="G470" i="3"/>
  <c r="A307" i="3"/>
  <c r="F96" i="3"/>
  <c r="C51" i="3"/>
  <c r="N246" i="3"/>
  <c r="E138" i="2"/>
  <c r="C34" i="3"/>
  <c r="E221" i="2"/>
  <c r="K597" i="3"/>
  <c r="F23" i="3"/>
  <c r="M303" i="3"/>
  <c r="L259" i="3"/>
  <c r="O552" i="3"/>
  <c r="C570" i="3"/>
  <c r="L372" i="3"/>
  <c r="F352" i="3"/>
  <c r="D634" i="3"/>
  <c r="D617" i="3"/>
  <c r="B539" i="3"/>
  <c r="C269" i="3"/>
  <c r="B300" i="3"/>
  <c r="J424" i="2"/>
  <c r="C39" i="3"/>
  <c r="M625" i="3"/>
  <c r="C5" i="3"/>
  <c r="C90" i="3"/>
  <c r="B235" i="3"/>
  <c r="D22" i="3"/>
  <c r="D624" i="3"/>
  <c r="I227" i="3"/>
  <c r="J359" i="2"/>
  <c r="F570" i="3"/>
  <c r="C28" i="3"/>
  <c r="A455" i="3"/>
  <c r="D62" i="3"/>
  <c r="B548" i="3"/>
  <c r="G352" i="3"/>
  <c r="L238" i="3"/>
  <c r="B439" i="3"/>
  <c r="C250" i="3"/>
  <c r="P431" i="3"/>
  <c r="C431" i="3"/>
  <c r="L229" i="3"/>
  <c r="H122" i="3"/>
  <c r="E313" i="2"/>
  <c r="G151" i="3"/>
  <c r="D365" i="3"/>
  <c r="E147" i="2"/>
  <c r="C338" i="3"/>
  <c r="C407" i="3"/>
  <c r="D576" i="3"/>
  <c r="P181" i="3"/>
  <c r="C455" i="3"/>
  <c r="H64" i="3"/>
  <c r="C446" i="3"/>
  <c r="C186" i="3"/>
  <c r="C284" i="3"/>
  <c r="F420" i="3"/>
  <c r="O546" i="3"/>
  <c r="D93" i="3"/>
  <c r="E551" i="2"/>
  <c r="B254" i="3"/>
  <c r="P170" i="3"/>
  <c r="E48" i="2"/>
  <c r="M139" i="3"/>
  <c r="H219" i="3"/>
  <c r="O313" i="3"/>
  <c r="B74" i="3"/>
  <c r="O557" i="3"/>
  <c r="F408" i="3"/>
  <c r="B454" i="3"/>
  <c r="J103" i="2"/>
  <c r="G228" i="3"/>
  <c r="B529" i="3"/>
  <c r="H233" i="3"/>
  <c r="L81" i="3"/>
  <c r="C515" i="3"/>
  <c r="G342" i="3"/>
  <c r="G63" i="3"/>
  <c r="C298" i="3"/>
  <c r="P577" i="3"/>
  <c r="H448" i="3"/>
  <c r="P602" i="3"/>
  <c r="A317" i="3"/>
  <c r="M485" i="3"/>
  <c r="J151" i="2"/>
  <c r="B497" i="3"/>
  <c r="L564" i="3"/>
  <c r="F438" i="3"/>
  <c r="N141" i="3"/>
  <c r="N206" i="3"/>
  <c r="C199" i="3"/>
  <c r="H393" i="3"/>
  <c r="E60" i="2"/>
  <c r="H207" i="3"/>
  <c r="O358" i="3"/>
  <c r="M447" i="3"/>
  <c r="J501" i="2"/>
  <c r="N196" i="3"/>
  <c r="D268" i="3"/>
  <c r="D115" i="3"/>
  <c r="B360" i="3"/>
  <c r="C130" i="3"/>
  <c r="B114" i="3"/>
  <c r="D456" i="3"/>
  <c r="L374" i="3"/>
  <c r="K423" i="3"/>
  <c r="D525" i="3"/>
  <c r="B393" i="3"/>
  <c r="J545" i="2"/>
  <c r="F51" i="3"/>
  <c r="B321" i="3"/>
  <c r="A262" i="3"/>
  <c r="P383" i="3"/>
  <c r="C385" i="3"/>
  <c r="A150" i="3"/>
  <c r="D156" i="3"/>
  <c r="M105" i="3"/>
  <c r="C224" i="3"/>
  <c r="K437" i="3"/>
  <c r="D483" i="3"/>
  <c r="O275" i="3"/>
  <c r="F103" i="3"/>
  <c r="K593" i="3"/>
  <c r="G5" i="3"/>
  <c r="B341" i="3"/>
  <c r="G580" i="3"/>
  <c r="I38" i="3"/>
  <c r="D561" i="3"/>
  <c r="F237" i="3"/>
  <c r="E34" i="2"/>
  <c r="C174" i="3"/>
  <c r="I79" i="3"/>
  <c r="D276" i="3"/>
  <c r="J306" i="2"/>
  <c r="D423" i="3"/>
  <c r="B165" i="3"/>
  <c r="E519" i="2"/>
  <c r="A492" i="3"/>
  <c r="I627" i="3"/>
  <c r="G602" i="3"/>
  <c r="N481" i="3"/>
  <c r="N75" i="3"/>
  <c r="K20" i="3"/>
  <c r="G636" i="3"/>
  <c r="L600" i="3"/>
  <c r="D247" i="3"/>
  <c r="C304" i="3"/>
  <c r="D627" i="3"/>
  <c r="M72" i="3"/>
  <c r="N153" i="3"/>
  <c r="C213" i="3"/>
  <c r="L567" i="3"/>
  <c r="C263" i="3"/>
  <c r="B150" i="3"/>
  <c r="B401" i="3"/>
  <c r="I499" i="3"/>
  <c r="H427" i="3"/>
  <c r="O569" i="3"/>
  <c r="G358" i="3"/>
  <c r="H31" i="3"/>
  <c r="N30" i="3"/>
  <c r="B486" i="3"/>
  <c r="N107" i="3"/>
  <c r="C311" i="3"/>
  <c r="I400" i="3"/>
  <c r="B156" i="3"/>
  <c r="J472" i="2"/>
  <c r="J112" i="2"/>
  <c r="P613" i="3"/>
  <c r="P415" i="3"/>
  <c r="D400" i="3"/>
  <c r="O526" i="3"/>
  <c r="G492" i="3"/>
  <c r="I560" i="3"/>
  <c r="E499" i="2"/>
  <c r="F395" i="3"/>
  <c r="N380" i="3"/>
  <c r="J395" i="2"/>
  <c r="F135" i="3"/>
  <c r="C170" i="3"/>
  <c r="B214" i="3"/>
  <c r="L344" i="3"/>
  <c r="C330" i="3"/>
  <c r="O415" i="3"/>
  <c r="I586" i="3"/>
  <c r="D231" i="3"/>
  <c r="B337" i="3"/>
  <c r="I451" i="3"/>
  <c r="E456" i="2"/>
  <c r="M596" i="3"/>
  <c r="K64" i="3"/>
  <c r="O221" i="3"/>
  <c r="B564" i="3"/>
  <c r="B53" i="3"/>
  <c r="O236" i="3"/>
  <c r="H298" i="3"/>
  <c r="H470" i="3"/>
  <c r="P542" i="3"/>
  <c r="D180" i="3"/>
  <c r="G205" i="3"/>
  <c r="L409" i="3"/>
  <c r="E94" i="2"/>
  <c r="I599" i="3"/>
  <c r="C216" i="3"/>
  <c r="C64" i="3"/>
  <c r="J169" i="2"/>
  <c r="I203" i="3"/>
  <c r="E408" i="2"/>
  <c r="B37" i="3"/>
  <c r="L71" i="3"/>
  <c r="L216" i="3"/>
  <c r="N397" i="3"/>
  <c r="C89" i="3"/>
  <c r="P490" i="3"/>
  <c r="O484" i="3"/>
  <c r="H482" i="3"/>
  <c r="J261" i="2"/>
  <c r="M115" i="3"/>
  <c r="D75" i="3"/>
  <c r="F226" i="3"/>
  <c r="C29" i="3"/>
  <c r="L128" i="3"/>
  <c r="K521" i="3"/>
  <c r="D109" i="3"/>
  <c r="K608" i="3"/>
  <c r="C520" i="3"/>
  <c r="G357" i="3"/>
  <c r="O222" i="3"/>
  <c r="C159" i="3"/>
  <c r="C173" i="3"/>
  <c r="H40" i="3"/>
  <c r="G91" i="3"/>
  <c r="E204" i="2"/>
  <c r="B4" i="3"/>
  <c r="D475" i="3"/>
  <c r="C436" i="3"/>
  <c r="A581" i="3"/>
  <c r="N379" i="3"/>
  <c r="G388" i="3"/>
  <c r="F392" i="3"/>
  <c r="A483" i="3"/>
  <c r="G104" i="3"/>
  <c r="I310" i="3"/>
  <c r="N572" i="3"/>
  <c r="D638" i="3"/>
  <c r="E62" i="2"/>
  <c r="L516" i="3"/>
  <c r="B101" i="3"/>
  <c r="P275" i="3"/>
  <c r="C509" i="3"/>
  <c r="O418" i="3"/>
  <c r="J548" i="2"/>
  <c r="D331" i="3"/>
  <c r="C539" i="3"/>
  <c r="J38" i="2"/>
  <c r="G245" i="3"/>
  <c r="D573" i="3"/>
  <c r="C310" i="3"/>
  <c r="B107" i="3"/>
  <c r="F65" i="3"/>
  <c r="O197" i="3"/>
  <c r="P108" i="3"/>
  <c r="K636" i="3"/>
  <c r="N160" i="3"/>
  <c r="O571" i="3"/>
  <c r="M436" i="3"/>
  <c r="C86" i="3"/>
  <c r="F64" i="3"/>
  <c r="E55" i="2"/>
  <c r="B431" i="3"/>
  <c r="D594" i="3"/>
  <c r="L612" i="3"/>
  <c r="N401" i="3"/>
  <c r="D143" i="3"/>
  <c r="E381" i="2"/>
  <c r="M567" i="3"/>
  <c r="N86" i="3"/>
  <c r="D225" i="3"/>
  <c r="D521" i="3"/>
  <c r="B540" i="3"/>
  <c r="B249" i="3"/>
  <c r="C386" i="3"/>
  <c r="D87" i="3"/>
  <c r="H301" i="3"/>
  <c r="C636" i="3"/>
  <c r="B87" i="3"/>
  <c r="B498" i="3"/>
  <c r="F243" i="3"/>
  <c r="C486" i="3"/>
  <c r="K353" i="3"/>
  <c r="G638" i="3"/>
  <c r="J26" i="3"/>
  <c r="A440" i="3"/>
  <c r="C394" i="3"/>
  <c r="B44" i="3"/>
  <c r="F542" i="3"/>
  <c r="M524" i="3"/>
  <c r="N446" i="3"/>
  <c r="L274" i="3"/>
  <c r="O329" i="3"/>
  <c r="C43" i="3"/>
  <c r="L66" i="3"/>
  <c r="L106" i="3"/>
  <c r="A231" i="3"/>
  <c r="D106" i="3"/>
  <c r="D355" i="3"/>
  <c r="G613" i="3"/>
  <c r="C457" i="3"/>
  <c r="H373" i="3"/>
  <c r="J109" i="2"/>
  <c r="D192" i="3"/>
  <c r="C367" i="3"/>
  <c r="C617" i="3"/>
  <c r="N177" i="3"/>
  <c r="O194" i="3"/>
  <c r="C587" i="3"/>
  <c r="F403" i="3"/>
  <c r="P582" i="3"/>
  <c r="G315" i="3"/>
  <c r="H552" i="3"/>
  <c r="O622" i="3"/>
  <c r="J522" i="2"/>
  <c r="F127" i="3"/>
  <c r="E534" i="2"/>
  <c r="C514" i="3"/>
  <c r="J570" i="2"/>
  <c r="J271" i="2"/>
  <c r="G369" i="3"/>
  <c r="I82" i="3"/>
  <c r="O112" i="3"/>
  <c r="O579" i="3"/>
  <c r="B279" i="3"/>
  <c r="M372" i="3"/>
  <c r="O299" i="3"/>
  <c r="F56" i="3"/>
  <c r="G452" i="3"/>
  <c r="O32" i="3"/>
  <c r="F416" i="3"/>
  <c r="K594" i="3"/>
  <c r="G453" i="3"/>
  <c r="C102" i="3"/>
  <c r="B17" i="3"/>
  <c r="O155" i="3"/>
  <c r="O180" i="3"/>
  <c r="E312" i="2"/>
  <c r="D327" i="3"/>
  <c r="B568" i="3"/>
  <c r="B394" i="3"/>
  <c r="D519" i="3"/>
  <c r="C548" i="3"/>
  <c r="H629" i="3"/>
  <c r="J527" i="2"/>
  <c r="B263" i="3"/>
  <c r="O620" i="3"/>
  <c r="D500" i="3"/>
  <c r="E35" i="2"/>
  <c r="L572" i="3"/>
  <c r="A586" i="3"/>
  <c r="D567" i="3"/>
  <c r="L325" i="3"/>
  <c r="M449" i="3"/>
  <c r="N480" i="3"/>
  <c r="C580" i="3"/>
  <c r="P131" i="3"/>
  <c r="D603" i="3"/>
  <c r="M609" i="3"/>
  <c r="O172" i="3"/>
  <c r="M179" i="3"/>
  <c r="G476" i="3"/>
  <c r="B155" i="3"/>
  <c r="L75" i="3"/>
  <c r="J606" i="2"/>
  <c r="O533" i="3"/>
  <c r="I553" i="3"/>
  <c r="D629" i="3"/>
  <c r="H208" i="3"/>
  <c r="H49" i="3"/>
  <c r="G98" i="3"/>
  <c r="A619" i="3"/>
  <c r="M215" i="3"/>
  <c r="D505" i="3"/>
  <c r="J235" i="2"/>
  <c r="I113" i="3"/>
  <c r="K157" i="3"/>
  <c r="K318" i="3"/>
  <c r="A4" i="3"/>
  <c r="D69" i="3"/>
  <c r="C512" i="3"/>
  <c r="P66" i="3"/>
  <c r="K166" i="3"/>
  <c r="M53" i="3"/>
  <c r="L198" i="3"/>
  <c r="C438" i="3"/>
  <c r="E146" i="2"/>
  <c r="C234" i="3"/>
  <c r="P535" i="3"/>
  <c r="M195" i="3"/>
  <c r="N247" i="3"/>
  <c r="L179" i="3"/>
  <c r="B221" i="3"/>
  <c r="A572" i="3"/>
  <c r="F159" i="3"/>
  <c r="A432" i="3"/>
  <c r="N114" i="3"/>
  <c r="G501" i="3"/>
  <c r="K531" i="3"/>
  <c r="J280" i="2"/>
  <c r="G204" i="3"/>
  <c r="N193" i="3"/>
  <c r="D621" i="3"/>
  <c r="B162" i="3"/>
  <c r="A167" i="3"/>
  <c r="E99" i="2"/>
  <c r="K633" i="3"/>
  <c r="N424" i="3"/>
  <c r="K202" i="3"/>
  <c r="B167" i="3"/>
  <c r="M561" i="3"/>
  <c r="E13" i="2"/>
  <c r="C528" i="3"/>
  <c r="C76" i="3"/>
  <c r="C405" i="3"/>
  <c r="J51" i="2"/>
  <c r="C147" i="3"/>
  <c r="D572" i="3"/>
  <c r="B238" i="3"/>
  <c r="O136" i="3"/>
  <c r="B376" i="3"/>
  <c r="D150" i="3"/>
  <c r="C293" i="3"/>
  <c r="B527" i="3"/>
  <c r="M368" i="3"/>
  <c r="A427" i="3"/>
  <c r="P104" i="3"/>
  <c r="G516" i="3"/>
  <c r="M280" i="3"/>
  <c r="L561" i="3"/>
  <c r="O443" i="3"/>
  <c r="O351" i="3"/>
  <c r="F349" i="3"/>
  <c r="A226" i="3"/>
  <c r="A553" i="3"/>
  <c r="I171" i="3"/>
  <c r="F418" i="3"/>
  <c r="F436" i="3"/>
  <c r="F422" i="3"/>
  <c r="C126" i="3"/>
  <c r="D15" i="3"/>
  <c r="B379" i="3"/>
  <c r="G227" i="3"/>
  <c r="I266" i="3"/>
  <c r="A31" i="3"/>
  <c r="N340" i="3"/>
  <c r="D533" i="3"/>
  <c r="D226" i="3"/>
  <c r="B619" i="3"/>
  <c r="C365" i="3"/>
  <c r="M587" i="3"/>
  <c r="F524" i="3"/>
  <c r="O70" i="3"/>
  <c r="B605" i="3"/>
  <c r="I529" i="3"/>
  <c r="D613" i="3"/>
  <c r="D28" i="3"/>
  <c r="D428" i="3"/>
  <c r="K126" i="3"/>
  <c r="B118" i="3"/>
  <c r="C471" i="3"/>
  <c r="C93" i="3"/>
  <c r="I78" i="3"/>
  <c r="D392" i="3"/>
  <c r="B442" i="3"/>
  <c r="I504" i="3"/>
  <c r="D640" i="3"/>
  <c r="G114" i="3"/>
  <c r="C607" i="3"/>
  <c r="N261" i="3"/>
  <c r="N331" i="3"/>
  <c r="N329" i="3"/>
  <c r="B185" i="3"/>
  <c r="F543" i="3"/>
  <c r="C40" i="3"/>
  <c r="B597" i="3"/>
  <c r="D104" i="3"/>
  <c r="O403" i="3"/>
  <c r="N286" i="3"/>
  <c r="B495" i="3"/>
  <c r="C195" i="3"/>
  <c r="G153" i="3"/>
  <c r="A387" i="3"/>
  <c r="M387" i="3"/>
  <c r="A450" i="3"/>
  <c r="C382" i="3"/>
  <c r="D211" i="3"/>
  <c r="J110" i="2"/>
  <c r="E553" i="2"/>
  <c r="L607" i="3"/>
  <c r="G337" i="3"/>
  <c r="C594" i="3"/>
  <c r="G142" i="3"/>
  <c r="K503" i="3"/>
  <c r="K440" i="3"/>
  <c r="F430" i="3"/>
  <c r="P11" i="3"/>
  <c r="I190" i="3"/>
  <c r="E507" i="2"/>
  <c r="M491" i="3"/>
  <c r="I299" i="3"/>
  <c r="C169" i="3"/>
  <c r="B60" i="3"/>
  <c r="M248" i="3"/>
  <c r="F629" i="3"/>
  <c r="D587" i="3"/>
  <c r="B413" i="3"/>
  <c r="B245" i="3"/>
  <c r="K56" i="3"/>
  <c r="B346" i="3"/>
  <c r="C440" i="3"/>
  <c r="B443" i="3"/>
  <c r="M573" i="3"/>
  <c r="B246" i="3"/>
  <c r="L219" i="3"/>
  <c r="P467" i="3"/>
  <c r="N635" i="3"/>
  <c r="B594" i="3"/>
  <c r="D283" i="3"/>
  <c r="B494" i="3"/>
  <c r="I371" i="3"/>
  <c r="D541" i="3"/>
  <c r="C255" i="3"/>
  <c r="I260" i="3"/>
  <c r="K320" i="3"/>
  <c r="C273" i="3"/>
  <c r="F286" i="3"/>
  <c r="I427" i="3"/>
  <c r="D181" i="3"/>
  <c r="B66" i="3"/>
  <c r="J34" i="2"/>
  <c r="B2" i="3"/>
  <c r="C53" i="3"/>
  <c r="O141" i="3"/>
  <c r="N465" i="3"/>
  <c r="N394" i="3"/>
  <c r="A402" i="3"/>
  <c r="M173" i="3"/>
  <c r="G89" i="3"/>
  <c r="B411" i="3"/>
  <c r="I333" i="3"/>
  <c r="I44" i="3"/>
  <c r="F185" i="3"/>
  <c r="G341" i="3"/>
  <c r="I368" i="3"/>
  <c r="K361" i="3"/>
  <c r="D554" i="3"/>
  <c r="J237" i="2"/>
  <c r="A203" i="3"/>
  <c r="L193" i="3"/>
  <c r="B28" i="3"/>
  <c r="P451" i="3"/>
  <c r="C322" i="3"/>
  <c r="O129" i="3"/>
  <c r="N428" i="3"/>
  <c r="A479" i="3"/>
  <c r="N152" i="3"/>
  <c r="J247" i="2"/>
  <c r="N410" i="3"/>
  <c r="G412" i="3"/>
  <c r="B112" i="3"/>
  <c r="J418" i="2"/>
  <c r="F372" i="3"/>
  <c r="A71" i="3"/>
  <c r="C425" i="3"/>
  <c r="D257" i="3"/>
  <c r="O98" i="3"/>
  <c r="K43" i="3"/>
  <c r="K8" i="3"/>
  <c r="P300" i="3"/>
  <c r="D482" i="3"/>
  <c r="N615" i="3"/>
  <c r="O62" i="3"/>
  <c r="E157" i="2"/>
  <c r="I295" i="3"/>
  <c r="F515" i="3"/>
  <c r="C573" i="3"/>
  <c r="K626" i="3"/>
  <c r="O135" i="3"/>
  <c r="A287" i="3"/>
  <c r="M2" i="3"/>
  <c r="C207" i="3"/>
  <c r="A15" i="3"/>
  <c r="L129" i="3"/>
  <c r="H611" i="3"/>
  <c r="C228" i="3"/>
  <c r="C625" i="3"/>
  <c r="O111" i="3"/>
  <c r="P531" i="3"/>
  <c r="P446" i="3"/>
  <c r="D318" i="3"/>
  <c r="K42" i="3"/>
  <c r="L469" i="3"/>
  <c r="B417" i="3"/>
  <c r="N142" i="3"/>
  <c r="O419" i="3"/>
  <c r="F293" i="3"/>
  <c r="E354" i="2"/>
  <c r="K155" i="3"/>
  <c r="H178" i="3"/>
  <c r="B422" i="3"/>
  <c r="E479" i="2"/>
  <c r="B322" i="3"/>
  <c r="I462" i="3"/>
  <c r="N214" i="3"/>
  <c r="L16" i="3"/>
  <c r="K119" i="3"/>
  <c r="H77" i="3"/>
  <c r="P399" i="3"/>
  <c r="B356" i="3"/>
  <c r="C574" i="3"/>
  <c r="M343" i="3"/>
  <c r="C272" i="3"/>
  <c r="G446" i="3"/>
  <c r="F386" i="3"/>
  <c r="H9" i="3"/>
  <c r="B336" i="3"/>
  <c r="J191" i="2"/>
  <c r="D474" i="3"/>
  <c r="E311" i="2"/>
  <c r="B562" i="3"/>
  <c r="M305" i="3"/>
  <c r="I251" i="3"/>
  <c r="C50" i="3"/>
  <c r="B405" i="3"/>
  <c r="P271" i="3"/>
  <c r="E496" i="2"/>
  <c r="K260" i="3"/>
  <c r="B614" i="3"/>
  <c r="P338" i="3"/>
  <c r="J189" i="2"/>
  <c r="F363" i="3"/>
  <c r="B367" i="3"/>
  <c r="K5" i="3"/>
  <c r="P637" i="3"/>
  <c r="N133" i="3"/>
  <c r="B344" i="3"/>
  <c r="B591" i="3"/>
  <c r="K139" i="3"/>
  <c r="L273" i="3"/>
  <c r="H89" i="3"/>
  <c r="E236" i="2"/>
  <c r="H336" i="3"/>
  <c r="J614" i="2"/>
  <c r="B402" i="3"/>
  <c r="J344" i="2"/>
  <c r="M23" i="3"/>
  <c r="J283" i="2"/>
  <c r="M505" i="3"/>
  <c r="D408" i="3"/>
  <c r="F300" i="3"/>
  <c r="F611" i="3"/>
  <c r="L360" i="3"/>
  <c r="G489" i="3"/>
  <c r="N600" i="3"/>
  <c r="C369" i="3"/>
  <c r="P312" i="3"/>
  <c r="B266" i="3"/>
  <c r="B31" i="3"/>
  <c r="J593" i="2"/>
  <c r="I233" i="3"/>
  <c r="B190" i="3"/>
  <c r="N328" i="3"/>
  <c r="J386" i="2"/>
  <c r="H132" i="3"/>
  <c r="L395" i="3"/>
  <c r="P351" i="3"/>
  <c r="H252" i="3"/>
  <c r="B531" i="3"/>
  <c r="O408" i="3"/>
  <c r="D59" i="3"/>
  <c r="N198" i="3"/>
  <c r="J405" i="2"/>
  <c r="B267" i="3"/>
  <c r="K235" i="3"/>
  <c r="M459" i="3"/>
  <c r="G354" i="3"/>
  <c r="L558" i="3"/>
  <c r="D196" i="3"/>
  <c r="B372" i="3"/>
  <c r="I442" i="3"/>
  <c r="K315" i="3"/>
  <c r="O214" i="3"/>
  <c r="N46" i="3"/>
  <c r="K36" i="3"/>
  <c r="H571" i="3"/>
  <c r="B201" i="3"/>
  <c r="B215" i="3"/>
  <c r="I156" i="3"/>
  <c r="M503" i="3"/>
  <c r="E331" i="2"/>
  <c r="M295" i="3"/>
  <c r="M278" i="3"/>
  <c r="G425" i="3"/>
  <c r="C472" i="3"/>
  <c r="I353" i="3"/>
  <c r="N61" i="3"/>
  <c r="C398" i="3"/>
  <c r="G13" i="3"/>
  <c r="C593" i="3"/>
  <c r="J102" i="2"/>
  <c r="J192" i="2"/>
  <c r="E587" i="2"/>
  <c r="D454" i="3"/>
  <c r="A430" i="3"/>
  <c r="J281" i="2"/>
  <c r="O514" i="3"/>
  <c r="H638" i="3"/>
  <c r="N162" i="3"/>
  <c r="F195" i="3"/>
  <c r="H517" i="3"/>
  <c r="E347" i="2"/>
  <c r="K632" i="3"/>
  <c r="K612" i="3"/>
  <c r="L401" i="3"/>
  <c r="A349" i="3"/>
  <c r="L209" i="3"/>
  <c r="F163" i="3"/>
  <c r="I440" i="3"/>
  <c r="P433" i="3"/>
  <c r="H71" i="3"/>
  <c r="P368" i="3"/>
  <c r="I256" i="3"/>
  <c r="D298" i="3"/>
  <c r="D427" i="3"/>
  <c r="H250" i="3"/>
  <c r="P598" i="3"/>
  <c r="K39" i="3"/>
  <c r="I72" i="3"/>
  <c r="F44" i="3"/>
  <c r="C475" i="3"/>
  <c r="F169" i="3"/>
  <c r="D431" i="3"/>
  <c r="H344" i="3"/>
  <c r="P455" i="3"/>
  <c r="K354" i="3"/>
  <c r="N298" i="3"/>
  <c r="G166" i="3"/>
  <c r="A327" i="3"/>
  <c r="B144" i="3"/>
  <c r="P198" i="3"/>
  <c r="I430" i="3"/>
  <c r="M533" i="3"/>
  <c r="C21" i="3"/>
  <c r="P74" i="3"/>
  <c r="I85" i="3"/>
  <c r="G587" i="3"/>
  <c r="C628" i="3"/>
  <c r="N216" i="3"/>
  <c r="L471" i="3"/>
  <c r="N333" i="3"/>
  <c r="H434" i="3"/>
  <c r="N185" i="3"/>
  <c r="I225" i="3"/>
  <c r="O124" i="3"/>
  <c r="N292" i="3"/>
  <c r="D11" i="3"/>
  <c r="D263" i="3"/>
  <c r="C501" i="3"/>
  <c r="C342" i="3"/>
  <c r="D377" i="3"/>
  <c r="D378" i="3"/>
  <c r="E209" i="2"/>
  <c r="P583" i="3"/>
  <c r="F55" i="3"/>
  <c r="A128" i="3"/>
  <c r="F525" i="3"/>
  <c r="M597" i="3"/>
  <c r="J414" i="2"/>
  <c r="D404" i="3"/>
  <c r="I606" i="3"/>
  <c r="B482" i="3"/>
  <c r="C300" i="3"/>
  <c r="J533" i="2"/>
  <c r="O431" i="3"/>
  <c r="N362" i="3"/>
  <c r="G175" i="3"/>
  <c r="C532" i="3"/>
  <c r="G119" i="3"/>
  <c r="M92" i="3"/>
  <c r="G199" i="3"/>
  <c r="D35" i="3"/>
  <c r="P195" i="3"/>
  <c r="D159" i="3"/>
  <c r="M22" i="3"/>
  <c r="A162" i="3"/>
  <c r="L72" i="3"/>
  <c r="D60" i="3"/>
  <c r="G286" i="3"/>
  <c r="C100" i="3"/>
  <c r="D506" i="3"/>
  <c r="B11" i="3"/>
  <c r="A627" i="3"/>
  <c r="H319" i="3"/>
  <c r="F289" i="3"/>
  <c r="L298" i="3"/>
  <c r="K148" i="3"/>
  <c r="C547" i="3"/>
  <c r="N605" i="3"/>
  <c r="C292" i="3"/>
  <c r="C450" i="3"/>
  <c r="J202" i="2"/>
  <c r="B523" i="3"/>
  <c r="C287" i="3"/>
  <c r="B86" i="3"/>
  <c r="H476" i="3"/>
  <c r="A342" i="3"/>
  <c r="K441" i="3"/>
  <c r="J476" i="2"/>
  <c r="B339" i="3"/>
  <c r="C120" i="3"/>
  <c r="P484" i="3"/>
  <c r="J158" i="2"/>
  <c r="H57" i="3"/>
  <c r="D149" i="3"/>
  <c r="B213" i="3"/>
  <c r="D362" i="3"/>
  <c r="H113" i="3"/>
  <c r="D549" i="3"/>
  <c r="N256" i="3"/>
  <c r="N67" i="3"/>
  <c r="L382" i="3"/>
  <c r="C428" i="3"/>
  <c r="D410" i="3"/>
  <c r="B512" i="3"/>
  <c r="F281" i="3"/>
  <c r="D435" i="3"/>
  <c r="C363" i="3"/>
  <c r="B91" i="3"/>
  <c r="C540" i="3"/>
  <c r="K159" i="3"/>
  <c r="B149" i="3"/>
  <c r="B374" i="3"/>
  <c r="F147" i="3"/>
  <c r="C519" i="3"/>
  <c r="B232" i="3"/>
  <c r="H367" i="3"/>
  <c r="I494" i="3"/>
  <c r="I12" i="3"/>
  <c r="B76" i="3"/>
  <c r="D220" i="3"/>
  <c r="D213" i="3"/>
  <c r="F92" i="3"/>
  <c r="A378" i="3"/>
  <c r="A258" i="3"/>
  <c r="D252" i="3"/>
  <c r="L413" i="3"/>
  <c r="F435" i="3"/>
  <c r="A580" i="3"/>
  <c r="B410" i="3"/>
  <c r="D23" i="3"/>
  <c r="A174" i="3"/>
  <c r="K622" i="3"/>
  <c r="O640" i="3"/>
  <c r="C348" i="3"/>
  <c r="L412" i="3"/>
  <c r="B67" i="3"/>
  <c r="O369" i="3"/>
  <c r="P506" i="3"/>
  <c r="H243" i="3"/>
  <c r="B389" i="3"/>
  <c r="D393" i="3"/>
  <c r="N398" i="3"/>
  <c r="A172" i="3"/>
  <c r="D170" i="3"/>
  <c r="B325" i="3"/>
  <c r="H50" i="3"/>
  <c r="N308" i="3"/>
  <c r="N569" i="3"/>
  <c r="H339" i="3"/>
  <c r="C456" i="3"/>
  <c r="J536" i="2"/>
  <c r="N551" i="3"/>
  <c r="N325" i="3"/>
  <c r="H110" i="3"/>
  <c r="M302" i="3"/>
  <c r="C323" i="3"/>
  <c r="J36" i="2"/>
  <c r="E619" i="2"/>
  <c r="J585" i="2"/>
  <c r="D18" i="3"/>
  <c r="C497" i="3"/>
  <c r="G94" i="3"/>
  <c r="D332" i="3"/>
  <c r="I119" i="3"/>
  <c r="F614" i="3"/>
  <c r="N103" i="3"/>
  <c r="A251" i="3"/>
  <c r="L13" i="3"/>
  <c r="M401" i="3"/>
  <c r="K431" i="3"/>
  <c r="P188" i="3"/>
  <c r="J20" i="2"/>
  <c r="O203" i="3"/>
  <c r="A497" i="3"/>
  <c r="M378" i="3"/>
  <c r="O437" i="3"/>
  <c r="N148" i="3"/>
  <c r="E173" i="2"/>
  <c r="D546" i="3"/>
  <c r="N50" i="3"/>
  <c r="B504" i="3"/>
  <c r="C60" i="3"/>
  <c r="E582" i="2"/>
  <c r="I134" i="3"/>
  <c r="J313" i="2"/>
  <c r="B304" i="3"/>
  <c r="B164" i="3"/>
  <c r="K29" i="3"/>
  <c r="I228" i="3"/>
  <c r="G2" i="3"/>
  <c r="K410" i="3"/>
  <c r="M176" i="3"/>
  <c r="C468" i="3"/>
  <c r="I40" i="3"/>
  <c r="E502" i="2"/>
  <c r="G529" i="3"/>
  <c r="A560" i="3"/>
  <c r="C20" i="3"/>
  <c r="C190" i="3"/>
  <c r="G170" i="3"/>
  <c r="H60" i="3"/>
  <c r="H479" i="3"/>
  <c r="J486" i="2"/>
  <c r="C270" i="3"/>
  <c r="C334" i="3"/>
  <c r="L619" i="3"/>
  <c r="C451" i="3"/>
  <c r="K110" i="3"/>
  <c r="M56" i="3"/>
  <c r="O606" i="3"/>
  <c r="P123" i="3"/>
  <c r="F554" i="3"/>
  <c r="F221" i="3"/>
  <c r="F131" i="3"/>
  <c r="N510" i="3"/>
  <c r="L315" i="3"/>
  <c r="L306" i="3"/>
  <c r="O37" i="3"/>
  <c r="J607" i="2"/>
  <c r="O315" i="3"/>
  <c r="C127" i="3"/>
  <c r="O399" i="3"/>
  <c r="O349" i="3"/>
  <c r="M402" i="3"/>
  <c r="E166" i="2"/>
  <c r="A377" i="3"/>
  <c r="E322" i="2"/>
  <c r="D494" i="3"/>
  <c r="D609" i="3"/>
  <c r="C634" i="3"/>
  <c r="C602" i="3"/>
  <c r="B216" i="3"/>
  <c r="B297" i="3"/>
  <c r="L292" i="3"/>
  <c r="D586" i="3"/>
  <c r="P546" i="3"/>
  <c r="B316" i="3"/>
  <c r="O575" i="3"/>
  <c r="J268" i="2"/>
  <c r="O412" i="3"/>
  <c r="B596" i="3"/>
  <c r="C67" i="3"/>
  <c r="J494" i="2"/>
  <c r="P315" i="3"/>
  <c r="J19" i="2"/>
  <c r="D171" i="3"/>
  <c r="A227" i="3"/>
  <c r="E584" i="2"/>
  <c r="L177" i="3"/>
  <c r="B522" i="3"/>
  <c r="P358" i="3"/>
  <c r="D273" i="3"/>
  <c r="B428" i="3"/>
  <c r="D208" i="3"/>
  <c r="C545" i="3"/>
  <c r="C55" i="3"/>
  <c r="O482" i="3"/>
  <c r="M166" i="3"/>
  <c r="C401" i="3"/>
  <c r="L320" i="3"/>
  <c r="K292" i="3"/>
  <c r="N470" i="3"/>
  <c r="M550" i="3"/>
  <c r="B261" i="3"/>
  <c r="A406" i="3"/>
  <c r="B159" i="3"/>
  <c r="D130" i="3"/>
  <c r="E64" i="2"/>
  <c r="I618" i="3"/>
  <c r="G541" i="3"/>
  <c r="E606" i="2"/>
  <c r="G596" i="3"/>
  <c r="N117" i="3"/>
  <c r="A295" i="3"/>
  <c r="A494" i="3"/>
  <c r="H525" i="3"/>
  <c r="B51" i="3"/>
  <c r="E510" i="2"/>
  <c r="K421" i="3"/>
  <c r="J305" i="2"/>
  <c r="A389" i="3"/>
  <c r="I49" i="3"/>
  <c r="D397" i="3"/>
  <c r="N3" i="3"/>
  <c r="B563" i="3"/>
  <c r="N125" i="3"/>
  <c r="K514" i="3"/>
  <c r="H468" i="3"/>
  <c r="C484" i="3"/>
  <c r="C175" i="3"/>
  <c r="H287" i="3"/>
  <c r="H173" i="3"/>
  <c r="O639" i="3"/>
  <c r="P153" i="3"/>
  <c r="J590" i="2"/>
  <c r="B222" i="3"/>
  <c r="D367" i="3"/>
  <c r="G214" i="3"/>
  <c r="B130" i="3"/>
  <c r="B52" i="3"/>
  <c r="B217" i="3"/>
  <c r="I625" i="3"/>
  <c r="M113" i="3"/>
  <c r="B390" i="3"/>
  <c r="D323" i="3"/>
  <c r="N623" i="3"/>
  <c r="H271" i="3"/>
  <c r="H450" i="3"/>
  <c r="F262" i="3"/>
  <c r="I26" i="3"/>
  <c r="L115" i="3"/>
  <c r="K426" i="3"/>
  <c r="D282" i="3"/>
  <c r="O168" i="3"/>
  <c r="B311" i="3"/>
  <c r="J135" i="2"/>
  <c r="P138" i="3"/>
  <c r="C6" i="3"/>
  <c r="B181" i="3"/>
  <c r="O343" i="3"/>
  <c r="J603" i="2"/>
  <c r="H16" i="3"/>
  <c r="N368" i="3"/>
  <c r="O310" i="3"/>
  <c r="J342" i="2"/>
  <c r="G107" i="3"/>
  <c r="I616" i="3"/>
  <c r="D328" i="3"/>
  <c r="J248" i="2"/>
  <c r="E309" i="2"/>
  <c r="B538" i="3"/>
  <c r="M519" i="3"/>
  <c r="N137" i="3"/>
  <c r="I5" i="3"/>
  <c r="E214" i="2"/>
  <c r="H206" i="3"/>
  <c r="B470" i="3"/>
  <c r="B174" i="3"/>
  <c r="I623" i="3"/>
  <c r="B487" i="3"/>
  <c r="H80" i="3"/>
  <c r="O500" i="3"/>
  <c r="N89" i="3"/>
  <c r="E315" i="2"/>
  <c r="F299" i="3"/>
  <c r="M390" i="3"/>
  <c r="H32" i="3"/>
  <c r="L633" i="3"/>
  <c r="C585" i="3"/>
  <c r="K391" i="3"/>
  <c r="B423" i="3"/>
  <c r="N563" i="3"/>
  <c r="F35" i="3"/>
  <c r="D287" i="3"/>
  <c r="B613" i="3"/>
  <c r="N264" i="3"/>
  <c r="N163" i="3"/>
  <c r="J364" i="2"/>
  <c r="H563" i="3"/>
  <c r="E288" i="2"/>
  <c r="K253" i="3"/>
  <c r="C62" i="3"/>
  <c r="F559" i="3"/>
  <c r="I160" i="3"/>
  <c r="E286" i="2"/>
  <c r="L453" i="3"/>
  <c r="H424" i="3"/>
  <c r="M193" i="3"/>
  <c r="D253" i="3"/>
  <c r="O25" i="3"/>
  <c r="I546" i="3"/>
  <c r="G389" i="3"/>
  <c r="L515" i="3"/>
  <c r="O204" i="3"/>
  <c r="G9" i="3"/>
  <c r="K323" i="3"/>
  <c r="A392" i="3"/>
  <c r="I376" i="3"/>
  <c r="J194" i="2"/>
  <c r="G72" i="3"/>
  <c r="F264" i="3"/>
  <c r="D612" i="3"/>
  <c r="C333" i="3"/>
  <c r="G44" i="3"/>
  <c r="E104" i="2"/>
  <c r="H282" i="3"/>
  <c r="P9" i="3"/>
  <c r="E618" i="2"/>
  <c r="L59" i="3"/>
  <c r="L338" i="3"/>
  <c r="K171" i="3"/>
  <c r="F632" i="3"/>
  <c r="E102" i="2"/>
  <c r="J555" i="2"/>
  <c r="A138" i="3"/>
  <c r="B609" i="3"/>
  <c r="E59" i="2"/>
  <c r="K368" i="3"/>
  <c r="B635" i="3"/>
  <c r="H266" i="3"/>
  <c r="G551" i="3"/>
  <c r="O448" i="3"/>
  <c r="P362" i="3"/>
  <c r="J469" i="2"/>
  <c r="P530" i="3"/>
  <c r="C485" i="3"/>
  <c r="M140" i="3"/>
  <c r="L50" i="3"/>
  <c r="B188" i="3"/>
  <c r="A264" i="3"/>
  <c r="F53" i="3"/>
  <c r="F32" i="3"/>
  <c r="C337" i="3"/>
  <c r="G57" i="3"/>
  <c r="I434" i="3"/>
  <c r="I347" i="3"/>
  <c r="P488" i="3"/>
  <c r="C289" i="3"/>
  <c r="D256" i="3"/>
  <c r="D136" i="3"/>
  <c r="D581" i="3"/>
  <c r="B55" i="3"/>
  <c r="B5" i="3"/>
  <c r="C32" i="3"/>
  <c r="C124" i="3"/>
  <c r="C489" i="3"/>
  <c r="D515" i="3"/>
  <c r="B430" i="3"/>
  <c r="C156" i="3"/>
  <c r="N351" i="3"/>
  <c r="F206" i="3"/>
  <c r="D368" i="3"/>
  <c r="B328" i="3"/>
  <c r="C171" i="3"/>
  <c r="K306" i="3"/>
  <c r="M134" i="3"/>
  <c r="P277" i="3"/>
  <c r="C319" i="3"/>
  <c r="G371" i="3"/>
  <c r="H310" i="3"/>
  <c r="D122" i="3"/>
  <c r="C460" i="3"/>
  <c r="P187" i="3"/>
  <c r="B400" i="3"/>
  <c r="G436" i="3"/>
  <c r="N418" i="3"/>
  <c r="B21" i="3"/>
  <c r="L391" i="3"/>
  <c r="C541" i="3"/>
  <c r="D291" i="3"/>
  <c r="P143" i="3"/>
  <c r="H551" i="3"/>
  <c r="A78" i="3"/>
  <c r="G505" i="3"/>
  <c r="I538" i="3"/>
  <c r="D514" i="3"/>
  <c r="D452" i="3"/>
  <c r="B380" i="3"/>
  <c r="N55" i="3"/>
  <c r="F298" i="3"/>
  <c r="K471" i="3"/>
  <c r="B39" i="3"/>
  <c r="F31" i="3"/>
  <c r="D154" i="3"/>
  <c r="C554" i="3"/>
  <c r="A62" i="3"/>
  <c r="N49" i="3"/>
  <c r="C378" i="3"/>
  <c r="O87" i="3"/>
  <c r="N429" i="3"/>
  <c r="O619" i="3"/>
  <c r="C99" i="3"/>
  <c r="G343" i="3"/>
  <c r="O508" i="3"/>
  <c r="A260" i="3"/>
  <c r="O440" i="3"/>
  <c r="O93" i="3"/>
  <c r="M334" i="3"/>
  <c r="J596" i="2"/>
  <c r="D134" i="3"/>
  <c r="P444" i="3"/>
  <c r="A351" i="3"/>
  <c r="D117" i="3"/>
  <c r="L387" i="3"/>
  <c r="K259" i="3"/>
  <c r="N582" i="3"/>
  <c r="C635" i="3"/>
  <c r="F371" i="3"/>
  <c r="G242" i="3"/>
  <c r="K548" i="3"/>
  <c r="J518" i="2"/>
  <c r="B375" i="3"/>
  <c r="D504" i="3"/>
  <c r="B50" i="3"/>
  <c r="H147" i="3"/>
  <c r="D412" i="3"/>
  <c r="E446" i="2"/>
  <c r="P349" i="3"/>
  <c r="E248" i="2"/>
  <c r="K389" i="3"/>
  <c r="L549" i="3"/>
  <c r="P15" i="3"/>
  <c r="I531" i="3"/>
  <c r="A194" i="3"/>
  <c r="O617" i="3"/>
  <c r="C221" i="3"/>
  <c r="E175" i="2"/>
  <c r="B621" i="3"/>
  <c r="J318" i="2"/>
  <c r="B277" i="3"/>
  <c r="D583" i="3"/>
  <c r="O635" i="3"/>
  <c r="O601" i="3"/>
  <c r="O223" i="3"/>
  <c r="H458" i="3"/>
  <c r="B26" i="3"/>
  <c r="I104" i="3"/>
  <c r="G555" i="3"/>
  <c r="I139" i="3"/>
  <c r="L586" i="3"/>
  <c r="F110" i="3"/>
  <c r="P129" i="3"/>
  <c r="A393" i="3"/>
  <c r="G158" i="3"/>
  <c r="C282" i="3"/>
  <c r="O370" i="3"/>
  <c r="O210" i="3"/>
  <c r="M500" i="3"/>
  <c r="A637" i="3"/>
  <c r="H514" i="3"/>
  <c r="B115" i="3"/>
  <c r="A163" i="3"/>
  <c r="D432" i="3"/>
  <c r="O581" i="3"/>
  <c r="P518" i="3"/>
  <c r="A559" i="3"/>
  <c r="E432" i="2"/>
  <c r="A75" i="3"/>
  <c r="C561" i="3"/>
  <c r="B313" i="3"/>
  <c r="D497" i="3"/>
  <c r="I355" i="3"/>
  <c r="C370" i="3"/>
  <c r="L464" i="3"/>
  <c r="E544" i="2"/>
  <c r="P640" i="3"/>
  <c r="D236" i="3"/>
  <c r="B378" i="3"/>
  <c r="E547" i="2"/>
  <c r="G595" i="3"/>
  <c r="E375" i="2"/>
  <c r="I512" i="3"/>
  <c r="F294" i="3"/>
  <c r="A633" i="3"/>
  <c r="N566" i="3"/>
  <c r="C490" i="3"/>
  <c r="D391" i="3"/>
  <c r="J582" i="2"/>
  <c r="F588" i="3"/>
  <c r="F496" i="3"/>
  <c r="I569" i="3"/>
  <c r="L551" i="3"/>
  <c r="O174" i="3"/>
  <c r="C48" i="3"/>
  <c r="K301" i="3"/>
  <c r="G3" i="3"/>
  <c r="J252" i="2"/>
  <c r="P503" i="3"/>
  <c r="K634" i="3"/>
  <c r="L535" i="3"/>
  <c r="N184" i="3"/>
  <c r="K439" i="3"/>
  <c r="M316" i="3"/>
  <c r="I81" i="3"/>
  <c r="G177" i="3"/>
  <c r="M222" i="3"/>
  <c r="I505" i="3"/>
  <c r="M456" i="3"/>
  <c r="B567" i="3"/>
  <c r="A161" i="3"/>
  <c r="O429" i="3"/>
  <c r="C144" i="3"/>
  <c r="A358" i="3"/>
  <c r="O193" i="3"/>
  <c r="P260" i="3"/>
  <c r="P67" i="3"/>
  <c r="M468" i="3"/>
  <c r="M287" i="3"/>
  <c r="M620" i="3"/>
  <c r="K540" i="3"/>
  <c r="F171" i="3"/>
  <c r="A141" i="3"/>
  <c r="K293" i="3"/>
  <c r="P203" i="3"/>
  <c r="G530" i="3"/>
  <c r="C537" i="3"/>
  <c r="I172" i="3"/>
  <c r="N324" i="3"/>
  <c r="N581" i="3"/>
  <c r="P10" i="3"/>
  <c r="E27" i="2"/>
  <c r="N232" i="3"/>
  <c r="K109" i="3"/>
  <c r="A281" i="3"/>
  <c r="O451" i="3"/>
  <c r="M590" i="3"/>
  <c r="I211" i="3"/>
  <c r="E152" i="2"/>
  <c r="N158" i="3"/>
  <c r="O259" i="3"/>
  <c r="L127" i="3"/>
  <c r="F172" i="3"/>
  <c r="E529" i="2"/>
  <c r="J485" i="2"/>
  <c r="C3" i="3"/>
  <c r="P566" i="3"/>
  <c r="G77" i="3"/>
  <c r="B343" i="3"/>
  <c r="B84" i="3"/>
  <c r="N228" i="3"/>
  <c r="I221" i="3"/>
  <c r="E332" i="2"/>
  <c r="G179" i="3"/>
  <c r="B30" i="3"/>
  <c r="A588" i="3"/>
  <c r="O16" i="3"/>
  <c r="N504" i="3"/>
  <c r="I383" i="3"/>
  <c r="B239" i="3"/>
  <c r="A573" i="3"/>
  <c r="M189" i="3"/>
  <c r="C193" i="3"/>
  <c r="G625" i="3"/>
  <c r="F8" i="3"/>
  <c r="P250" i="3"/>
  <c r="N375" i="3"/>
  <c r="O350" i="3"/>
  <c r="E195" i="2"/>
  <c r="I441" i="3"/>
  <c r="K135" i="3"/>
  <c r="C396" i="3"/>
  <c r="P19" i="3"/>
  <c r="N479" i="3"/>
  <c r="P152" i="3"/>
  <c r="E31" i="2"/>
  <c r="A294" i="3"/>
  <c r="E552" i="2"/>
  <c r="K331" i="3"/>
  <c r="P223" i="3"/>
  <c r="L613" i="3"/>
  <c r="G560" i="3"/>
  <c r="F70" i="3"/>
  <c r="N307" i="3"/>
  <c r="H493" i="3"/>
  <c r="E228" i="2"/>
  <c r="H555" i="3"/>
  <c r="F325" i="3"/>
  <c r="A330" i="3"/>
  <c r="D293" i="3"/>
  <c r="G509" i="3"/>
  <c r="A246" i="3"/>
  <c r="M84" i="3"/>
  <c r="P141" i="3"/>
  <c r="J177" i="2"/>
  <c r="I506" i="3"/>
  <c r="K269" i="3"/>
  <c r="L461" i="3"/>
  <c r="P464" i="3"/>
  <c r="E559" i="2"/>
  <c r="B79" i="3"/>
  <c r="C227" i="3"/>
  <c r="F313" i="3"/>
  <c r="J160" i="2"/>
  <c r="C613" i="3"/>
  <c r="C13" i="3"/>
  <c r="C317" i="3"/>
  <c r="N174" i="3"/>
  <c r="O217" i="3"/>
  <c r="J217" i="2"/>
  <c r="E52" i="2"/>
  <c r="N376" i="3"/>
  <c r="H528" i="3"/>
  <c r="A544" i="3"/>
  <c r="O176" i="3"/>
  <c r="G635" i="3"/>
  <c r="L624" i="3"/>
  <c r="B113" i="3"/>
  <c r="J207" i="2"/>
  <c r="B440" i="3"/>
  <c r="M77" i="3"/>
  <c r="G144" i="3"/>
  <c r="L291" i="3"/>
  <c r="F41" i="3"/>
  <c r="H154" i="3"/>
  <c r="P38" i="3"/>
  <c r="N568" i="3"/>
  <c r="K579" i="3"/>
  <c r="N303" i="3"/>
  <c r="B517" i="3"/>
  <c r="J579" i="2"/>
  <c r="A367" i="3"/>
  <c r="K365" i="3"/>
  <c r="J72" i="2"/>
  <c r="D631" i="3"/>
  <c r="D571" i="3"/>
  <c r="D45" i="3"/>
  <c r="C58" i="3"/>
  <c r="B514" i="3"/>
  <c r="B312" i="3"/>
  <c r="B284" i="3"/>
  <c r="B197" i="3"/>
  <c r="B251" i="3"/>
  <c r="D619" i="3"/>
  <c r="F478" i="3"/>
  <c r="L55" i="3"/>
  <c r="C604" i="3"/>
  <c r="A100" i="3"/>
  <c r="F260" i="3"/>
  <c r="D64" i="3"/>
  <c r="C598" i="3"/>
  <c r="K272" i="3"/>
  <c r="G265" i="3"/>
  <c r="B189" i="3"/>
  <c r="C245" i="3"/>
  <c r="B632" i="3"/>
  <c r="J123" i="2"/>
  <c r="D415" i="3"/>
  <c r="C172" i="3"/>
  <c r="B359" i="3"/>
  <c r="D544" i="3"/>
  <c r="G234" i="3"/>
  <c r="G472" i="3"/>
  <c r="P44" i="3"/>
  <c r="D98" i="3"/>
  <c r="N559" i="3"/>
  <c r="J83" i="2"/>
  <c r="A558" i="3"/>
  <c r="A504" i="3"/>
  <c r="E351" i="2"/>
  <c r="L145" i="3"/>
  <c r="B208" i="3"/>
  <c r="O200" i="3"/>
  <c r="A435" i="3"/>
  <c r="E469" i="2"/>
  <c r="D463" i="3"/>
  <c r="C145" i="3"/>
  <c r="M342" i="3"/>
  <c r="K630" i="3"/>
  <c r="P505" i="3"/>
  <c r="B250" i="3"/>
  <c r="D394" i="3"/>
  <c r="L31" i="3"/>
  <c r="B178" i="3"/>
  <c r="O511" i="3"/>
  <c r="P169" i="3"/>
  <c r="D162" i="3"/>
  <c r="B206" i="3"/>
  <c r="B615" i="3"/>
  <c r="P105" i="3"/>
  <c r="D538" i="3"/>
  <c r="P183" i="3"/>
  <c r="I511" i="3"/>
  <c r="F346" i="3"/>
  <c r="J153" i="2"/>
  <c r="J357" i="2"/>
  <c r="I607" i="3"/>
  <c r="P40" i="3"/>
  <c r="K584" i="3"/>
  <c r="E159" i="2"/>
  <c r="O185" i="3"/>
  <c r="N99" i="3"/>
  <c r="K237" i="3"/>
  <c r="H126" i="3"/>
  <c r="D335" i="3"/>
  <c r="O405" i="3"/>
  <c r="I465" i="3"/>
  <c r="A308" i="3"/>
  <c r="H218" i="3"/>
  <c r="B271" i="3"/>
  <c r="D349" i="3"/>
  <c r="C488" i="3"/>
  <c r="C143" i="3"/>
  <c r="C418" i="3"/>
  <c r="F464" i="3"/>
  <c r="F441" i="3"/>
  <c r="I463" i="3"/>
  <c r="D6" i="3"/>
  <c r="E246" i="2"/>
  <c r="A360" i="3"/>
  <c r="B479" i="3"/>
  <c r="F125" i="3"/>
  <c r="K93" i="3"/>
  <c r="O438" i="3"/>
  <c r="D86" i="3"/>
  <c r="H285" i="3"/>
  <c r="F152" i="3"/>
  <c r="L343" i="3"/>
  <c r="K561" i="3"/>
  <c r="N632" i="3"/>
  <c r="O20" i="3"/>
  <c r="M373" i="3"/>
  <c r="M442" i="3"/>
  <c r="B404" i="3"/>
  <c r="J578" i="2"/>
  <c r="I6" i="3"/>
  <c r="P112" i="3"/>
  <c r="L125" i="3"/>
  <c r="C97" i="3"/>
  <c r="M443" i="3"/>
  <c r="A428" i="3"/>
  <c r="M417" i="3"/>
  <c r="E49" i="2"/>
  <c r="B169" i="3"/>
  <c r="F111" i="3"/>
  <c r="C603" i="3"/>
  <c r="B29" i="3"/>
  <c r="G570" i="3"/>
  <c r="C187" i="3"/>
  <c r="C236" i="3"/>
  <c r="G569" i="3"/>
  <c r="L376" i="3"/>
  <c r="B388" i="3"/>
  <c r="J499" i="2"/>
  <c r="J384" i="2"/>
  <c r="L588" i="3"/>
  <c r="C474" i="3"/>
  <c r="B574" i="3"/>
  <c r="G339" i="3"/>
  <c r="B373" i="3"/>
  <c r="N419" i="3"/>
  <c r="O330" i="3"/>
  <c r="A16" i="3"/>
  <c r="M319" i="3"/>
  <c r="B583" i="3"/>
  <c r="P539" i="3"/>
  <c r="N244" i="3"/>
  <c r="N594" i="3"/>
  <c r="M529" i="3"/>
  <c r="P426" i="3"/>
  <c r="D389" i="3"/>
  <c r="N215" i="3"/>
  <c r="N571" i="3"/>
  <c r="C609" i="3"/>
  <c r="P339" i="3"/>
  <c r="B9" i="3"/>
  <c r="K252" i="3"/>
  <c r="B354" i="3"/>
  <c r="D425" i="3"/>
  <c r="J519" i="2"/>
  <c r="G189" i="3"/>
  <c r="P509" i="3"/>
  <c r="B88" i="3"/>
  <c r="G109" i="3"/>
  <c r="F355" i="3"/>
  <c r="H437" i="3"/>
  <c r="E377" i="2"/>
  <c r="I188" i="3"/>
  <c r="L502" i="3"/>
  <c r="B535" i="3"/>
  <c r="P121" i="3"/>
  <c r="C350" i="3"/>
  <c r="F79" i="3"/>
  <c r="J544" i="2"/>
  <c r="H639" i="3"/>
  <c r="H22" i="3"/>
  <c r="A67" i="3"/>
  <c r="I325" i="3"/>
  <c r="C361" i="3"/>
  <c r="E457" i="2"/>
  <c r="O3" i="3"/>
  <c r="J40" i="2"/>
  <c r="C329" i="3"/>
  <c r="O339" i="3"/>
  <c r="O395" i="3"/>
  <c r="N443" i="3"/>
  <c r="E216" i="2"/>
  <c r="J82" i="2"/>
  <c r="G497" i="3"/>
  <c r="N453" i="3"/>
  <c r="A238" i="3"/>
  <c r="K442" i="3"/>
  <c r="H609" i="3"/>
  <c r="N53" i="3"/>
  <c r="H30" i="3"/>
  <c r="P246" i="3"/>
  <c r="P445" i="3"/>
  <c r="N595" i="3"/>
  <c r="B474" i="3"/>
  <c r="A14" i="3"/>
  <c r="A593" i="3"/>
  <c r="H385" i="3"/>
  <c r="P20" i="3"/>
  <c r="L164" i="3"/>
  <c r="A28" i="3"/>
  <c r="H625" i="3"/>
  <c r="K506" i="3"/>
  <c r="J458" i="2"/>
  <c r="F469" i="3"/>
  <c r="D315" i="3"/>
  <c r="B6" i="3"/>
  <c r="B265" i="3"/>
  <c r="B340" i="3"/>
  <c r="C238" i="3"/>
  <c r="C530" i="3"/>
  <c r="B136" i="3"/>
  <c r="D215" i="3"/>
  <c r="I613" i="3"/>
  <c r="J599" i="2"/>
  <c r="E478" i="2"/>
  <c r="G55" i="3"/>
  <c r="D71" i="3"/>
  <c r="C78" i="3"/>
  <c r="F305" i="3"/>
  <c r="M183" i="3"/>
  <c r="N638" i="3"/>
  <c r="K458" i="3"/>
  <c r="A286" i="3"/>
  <c r="B501" i="3"/>
  <c r="K449" i="3"/>
  <c r="G212" i="3"/>
  <c r="B546" i="3"/>
  <c r="B292" i="3"/>
  <c r="N624" i="3"/>
  <c r="A488" i="3"/>
  <c r="I572" i="3"/>
  <c r="I635" i="3"/>
  <c r="C66" i="3"/>
  <c r="K355" i="3"/>
  <c r="M25" i="3"/>
  <c r="I248" i="3"/>
  <c r="E443" i="2"/>
  <c r="O363" i="3"/>
  <c r="B469" i="3"/>
  <c r="M560" i="3"/>
  <c r="M67" i="3"/>
  <c r="P406" i="3"/>
  <c r="P173" i="3"/>
  <c r="F46" i="3"/>
  <c r="B204" i="3"/>
  <c r="E578" i="2"/>
  <c r="F49" i="3"/>
  <c r="D146" i="3"/>
  <c r="P29" i="3"/>
  <c r="L419" i="3"/>
  <c r="O402" i="3"/>
  <c r="A467" i="3"/>
  <c r="P474" i="3"/>
  <c r="N314" i="3"/>
  <c r="E324" i="2"/>
  <c r="N123" i="3"/>
  <c r="D95" i="3"/>
  <c r="K603" i="3"/>
  <c r="L90" i="3"/>
  <c r="O245" i="3"/>
  <c r="P436" i="3"/>
  <c r="K78" i="3"/>
  <c r="O46" i="3"/>
  <c r="B355" i="3"/>
  <c r="F18" i="3"/>
  <c r="B334" i="3"/>
  <c r="B35" i="3"/>
  <c r="K476" i="3"/>
  <c r="A537" i="3"/>
  <c r="C94" i="3"/>
  <c r="B12" i="3"/>
  <c r="O52" i="3"/>
  <c r="N304" i="3"/>
  <c r="D390" i="3"/>
  <c r="B590" i="3"/>
  <c r="C553" i="3"/>
  <c r="A451" i="3"/>
  <c r="D9" i="3"/>
  <c r="L634" i="3"/>
  <c r="C473" i="3"/>
  <c r="L404" i="3"/>
  <c r="J479" i="2"/>
  <c r="J638" i="2"/>
  <c r="D481" i="3"/>
  <c r="B198" i="3"/>
  <c r="D78" i="3"/>
  <c r="P142" i="3"/>
  <c r="L18" i="3"/>
  <c r="I68" i="3"/>
  <c r="C377" i="3"/>
  <c r="E251" i="2"/>
  <c r="F164" i="3"/>
  <c r="F227" i="3"/>
  <c r="M514" i="3"/>
  <c r="M474" i="3"/>
  <c r="A422" i="3"/>
  <c r="G70" i="3"/>
  <c r="F474" i="3"/>
  <c r="F326" i="3"/>
  <c r="A630" i="3"/>
  <c r="D528" i="3"/>
  <c r="J269" i="2"/>
  <c r="G226" i="3"/>
  <c r="I316" i="3"/>
  <c r="D266" i="3"/>
  <c r="M354" i="3"/>
  <c r="J352" i="2"/>
  <c r="I515" i="3"/>
  <c r="N62" i="3"/>
  <c r="L580" i="3"/>
  <c r="O426" i="3"/>
  <c r="E87" i="2"/>
  <c r="D188" i="3"/>
  <c r="L358" i="3"/>
  <c r="C37" i="3"/>
  <c r="P22" i="3"/>
  <c r="C232" i="3"/>
  <c r="E140" i="2"/>
  <c r="P42" i="3"/>
  <c r="M338" i="3"/>
  <c r="E405" i="2"/>
  <c r="D503" i="3"/>
  <c r="G133" i="3"/>
  <c r="I594" i="3"/>
  <c r="K142" i="3"/>
  <c r="D361" i="3"/>
  <c r="N343" i="3"/>
  <c r="I261" i="3"/>
  <c r="D513" i="3"/>
  <c r="A425" i="3"/>
  <c r="P353" i="3"/>
  <c r="C504" i="3"/>
  <c r="E269" i="2"/>
  <c r="C612" i="3"/>
  <c r="N436" i="3"/>
  <c r="B577" i="3"/>
  <c r="F197" i="3"/>
  <c r="L334" i="3"/>
  <c r="H174" i="3"/>
  <c r="G138" i="3"/>
  <c r="G7" i="3"/>
  <c r="M450" i="3"/>
  <c r="F493" i="3"/>
  <c r="E131" i="2"/>
  <c r="E554" i="2"/>
  <c r="F394" i="3"/>
  <c r="M231" i="3"/>
  <c r="G586" i="3"/>
  <c r="I122" i="3"/>
  <c r="L577" i="3"/>
  <c r="E373" i="2"/>
  <c r="D509" i="3"/>
  <c r="P96" i="3"/>
  <c r="J385" i="2"/>
  <c r="G628" i="3"/>
  <c r="G275" i="3"/>
  <c r="J402" i="2"/>
  <c r="N305" i="3"/>
  <c r="E420" i="2"/>
  <c r="G619" i="3"/>
  <c r="A562" i="3"/>
  <c r="F351" i="3"/>
  <c r="B166" i="3"/>
  <c r="C246" i="3"/>
  <c r="M337" i="3"/>
  <c r="M582" i="3"/>
  <c r="P167" i="3"/>
  <c r="M296" i="3"/>
  <c r="H8" i="3"/>
  <c r="K13" i="3"/>
  <c r="B569" i="3"/>
  <c r="K627" i="3"/>
  <c r="M208" i="3"/>
  <c r="H399" i="3"/>
  <c r="M637" i="3"/>
  <c r="I568" i="3"/>
  <c r="E458" i="2"/>
  <c r="C478" i="3"/>
  <c r="I63" i="3"/>
  <c r="N248" i="3"/>
  <c r="I518" i="3"/>
  <c r="C448" i="3"/>
  <c r="H619" i="3"/>
  <c r="L234" i="3"/>
  <c r="I583" i="3"/>
  <c r="H360" i="3"/>
  <c r="A535" i="3"/>
  <c r="L156" i="3"/>
  <c r="G216" i="3"/>
  <c r="P50" i="3"/>
  <c r="M229" i="3"/>
  <c r="B27" i="3"/>
  <c r="H255" i="3"/>
  <c r="A613" i="3"/>
  <c r="M11" i="3"/>
  <c r="P378" i="3"/>
  <c r="B196" i="3"/>
  <c r="F292" i="3"/>
  <c r="D121" i="3"/>
  <c r="C235" i="3"/>
  <c r="H533" i="3"/>
  <c r="K444" i="3"/>
  <c r="J267" i="2"/>
  <c r="C411" i="3"/>
  <c r="F540" i="3"/>
  <c r="C419" i="3"/>
  <c r="H513" i="3"/>
  <c r="P571" i="3"/>
  <c r="C61" i="3"/>
  <c r="H149" i="3"/>
  <c r="G157" i="3"/>
  <c r="F409" i="3"/>
  <c r="D129" i="3"/>
  <c r="L579" i="3"/>
  <c r="P606" i="3"/>
  <c r="B541" i="3"/>
  <c r="B278" i="3"/>
  <c r="O77" i="3"/>
  <c r="B68" i="3"/>
  <c r="P605" i="3"/>
  <c r="O188" i="3"/>
  <c r="F126" i="3"/>
  <c r="C560" i="3"/>
  <c r="B36" i="3"/>
  <c r="G370" i="3"/>
  <c r="P199" i="3"/>
  <c r="P499" i="3"/>
  <c r="A135" i="3"/>
  <c r="M124" i="3"/>
  <c r="F507" i="3"/>
  <c r="D620" i="3"/>
  <c r="C161" i="3"/>
  <c r="D605" i="3"/>
  <c r="E28" i="2"/>
  <c r="C467" i="3"/>
  <c r="J553" i="2"/>
  <c r="C372" i="3"/>
  <c r="H559" i="3"/>
  <c r="P400" i="3"/>
  <c r="K65" i="3"/>
  <c r="K325" i="3"/>
  <c r="L121" i="3"/>
  <c r="D279" i="3"/>
  <c r="M259" i="3"/>
  <c r="A184" i="3"/>
  <c r="L318" i="3"/>
  <c r="K500" i="3"/>
  <c r="P162" i="3"/>
  <c r="B415" i="3"/>
  <c r="P301" i="3"/>
  <c r="H25" i="3"/>
  <c r="H340" i="3"/>
  <c r="O23" i="3"/>
  <c r="A117" i="3"/>
  <c r="J44" i="2"/>
  <c r="F476" i="3"/>
  <c r="M218" i="3"/>
  <c r="A606" i="3"/>
  <c r="E390" i="2"/>
  <c r="J216" i="2"/>
  <c r="B476" i="3"/>
  <c r="N545" i="3"/>
  <c r="B409" i="3"/>
  <c r="C27" i="3"/>
  <c r="D540" i="3"/>
  <c r="H262" i="3"/>
  <c r="N334" i="3"/>
  <c r="B240" i="3"/>
  <c r="P398" i="3"/>
  <c r="E158" i="2"/>
  <c r="C630" i="3"/>
  <c r="K118" i="3"/>
  <c r="H12" i="3"/>
  <c r="M120" i="3"/>
  <c r="O501" i="3"/>
  <c r="P500" i="3"/>
  <c r="D417" i="3"/>
  <c r="D406" i="3"/>
  <c r="E233" i="2"/>
  <c r="H418" i="3"/>
  <c r="N179" i="3"/>
  <c r="P244" i="3"/>
  <c r="H361" i="3"/>
  <c r="G333" i="3"/>
  <c r="M607" i="3"/>
  <c r="A443" i="3"/>
  <c r="M530" i="3"/>
  <c r="L592" i="3"/>
  <c r="E556" i="2"/>
  <c r="K577" i="3"/>
  <c r="I482" i="3"/>
  <c r="J143" i="2"/>
  <c r="G616" i="3"/>
  <c r="O147" i="3"/>
  <c r="P308" i="3"/>
  <c r="K61" i="3"/>
  <c r="B434" i="3"/>
  <c r="O211" i="3"/>
  <c r="H296" i="3"/>
  <c r="O22" i="3"/>
  <c r="P76" i="3"/>
  <c r="O392" i="3"/>
  <c r="P435" i="3"/>
  <c r="N71" i="3"/>
  <c r="C404" i="3"/>
  <c r="O138" i="3"/>
  <c r="G330" i="3"/>
  <c r="C248" i="3"/>
  <c r="A170" i="3"/>
  <c r="B483" i="3"/>
  <c r="M298" i="3"/>
  <c r="D446" i="3"/>
  <c r="A551" i="3"/>
  <c r="I425" i="3"/>
  <c r="D524" i="3"/>
  <c r="E597" i="2"/>
  <c r="K143" i="3"/>
  <c r="O2" i="3"/>
  <c r="F516" i="3"/>
  <c r="M508" i="3"/>
  <c r="G200" i="3"/>
  <c r="I574" i="3"/>
  <c r="N268" i="3"/>
  <c r="I497" i="3"/>
  <c r="O336" i="3"/>
  <c r="A114" i="3"/>
  <c r="F48" i="3"/>
  <c r="F268" i="3"/>
  <c r="O376" i="3"/>
  <c r="G531" i="3"/>
  <c r="D322" i="3"/>
  <c r="N451" i="3"/>
  <c r="M434" i="3"/>
  <c r="G378" i="3"/>
  <c r="C549" i="3"/>
  <c r="G218" i="3"/>
  <c r="P58" i="3"/>
  <c r="H313" i="3"/>
  <c r="B258" i="3"/>
  <c r="E635" i="2"/>
  <c r="J473" i="2"/>
  <c r="A64" i="3"/>
  <c r="F526" i="3"/>
  <c r="J32" i="2"/>
  <c r="F123" i="3"/>
  <c r="M89" i="3"/>
  <c r="I98" i="3"/>
  <c r="F47" i="3"/>
  <c r="L454" i="3"/>
  <c r="N151" i="3"/>
  <c r="B362" i="3"/>
  <c r="G37" i="3"/>
  <c r="O212" i="3"/>
  <c r="F115" i="3"/>
  <c r="L290" i="3"/>
  <c r="A603" i="3"/>
  <c r="J323" i="2"/>
  <c r="P269" i="3"/>
  <c r="D363" i="3"/>
  <c r="L406" i="3"/>
  <c r="G440" i="3"/>
  <c r="A191" i="3"/>
  <c r="I318" i="3"/>
  <c r="P380" i="3"/>
  <c r="H391" i="3"/>
  <c r="E562" i="2"/>
  <c r="C297" i="3"/>
  <c r="A196" i="3"/>
  <c r="A481" i="3"/>
  <c r="J70" i="2"/>
  <c r="E100" i="2"/>
  <c r="A282" i="3"/>
  <c r="P449" i="3"/>
  <c r="M99" i="3"/>
  <c r="L165" i="3"/>
  <c r="L424" i="3"/>
  <c r="K402" i="3"/>
  <c r="L488" i="3"/>
  <c r="P565" i="3"/>
  <c r="M618" i="3"/>
  <c r="A448" i="3"/>
  <c r="D161" i="3"/>
  <c r="D635" i="3"/>
  <c r="C452" i="3"/>
  <c r="C295" i="3"/>
  <c r="B633" i="3"/>
  <c r="C59" i="3"/>
  <c r="B140" i="3"/>
  <c r="C383" i="3"/>
  <c r="D532" i="3"/>
  <c r="D422" i="3"/>
  <c r="J456" i="2"/>
  <c r="A545" i="3"/>
  <c r="L492" i="3"/>
  <c r="M235" i="3"/>
  <c r="D334" i="3"/>
  <c r="C308" i="3"/>
  <c r="H185" i="3"/>
  <c r="H140" i="3"/>
  <c r="C285" i="3"/>
  <c r="P69" i="3"/>
  <c r="N347" i="3"/>
  <c r="C196" i="3"/>
  <c r="G463" i="3"/>
  <c r="I285" i="3"/>
  <c r="F398" i="3"/>
  <c r="E611" i="2"/>
  <c r="C110" i="3"/>
  <c r="H463" i="3"/>
  <c r="A5" i="3"/>
  <c r="J37" i="2"/>
  <c r="D258" i="3"/>
  <c r="D190" i="3"/>
  <c r="J245" i="2"/>
  <c r="K498" i="3"/>
  <c r="O537" i="3"/>
  <c r="C31" i="3"/>
  <c r="N485" i="3"/>
  <c r="C204" i="3"/>
  <c r="D591" i="3"/>
  <c r="F343" i="3"/>
  <c r="F276" i="3"/>
  <c r="D302" i="3"/>
  <c r="K92" i="3"/>
  <c r="O161" i="3"/>
  <c r="H229" i="3"/>
  <c r="B219" i="3"/>
  <c r="H604" i="3"/>
  <c r="C121" i="3"/>
  <c r="I136" i="3"/>
  <c r="K558" i="3"/>
  <c r="B152" i="3"/>
  <c r="B135" i="3"/>
  <c r="I557" i="3"/>
  <c r="B3" i="3"/>
  <c r="M26" i="3"/>
  <c r="C231" i="3"/>
  <c r="E382" i="2"/>
  <c r="A23" i="3"/>
  <c r="F360" i="3"/>
  <c r="K605" i="3"/>
  <c r="C384" i="3"/>
  <c r="F558" i="3"/>
  <c r="K582" i="3"/>
  <c r="M391" i="3"/>
  <c r="A164" i="3"/>
  <c r="K333" i="3"/>
  <c r="H277" i="3"/>
  <c r="H544" i="3"/>
  <c r="I11" i="3"/>
  <c r="F144" i="3"/>
  <c r="I313" i="3"/>
  <c r="C360" i="3"/>
  <c r="C368" i="3"/>
  <c r="O90" i="3"/>
  <c r="B244" i="3"/>
  <c r="F158" i="3"/>
  <c r="F119" i="3"/>
  <c r="G345" i="3"/>
  <c r="C347" i="3"/>
  <c r="D575" i="3"/>
  <c r="B179" i="3"/>
  <c r="D374" i="3"/>
  <c r="O397" i="3"/>
  <c r="I275" i="3"/>
  <c r="C414" i="3"/>
  <c r="L212" i="3"/>
  <c r="L554" i="3"/>
  <c r="D198" i="3"/>
  <c r="D376" i="3"/>
  <c r="D120" i="3"/>
  <c r="P158" i="3"/>
  <c r="B46" i="3"/>
  <c r="D47" i="3"/>
  <c r="C619" i="3"/>
  <c r="I138" i="3"/>
  <c r="N178" i="3"/>
  <c r="O289" i="3"/>
  <c r="D526" i="3"/>
  <c r="B180" i="3"/>
  <c r="B424" i="3"/>
  <c r="K232" i="3"/>
  <c r="L398" i="3"/>
  <c r="K191" i="3"/>
  <c r="O15" i="3"/>
  <c r="B142" i="3"/>
  <c r="J571" i="2"/>
  <c r="C185" i="3"/>
  <c r="G473" i="3"/>
  <c r="D433" i="3"/>
  <c r="H356" i="3"/>
  <c r="B526" i="3"/>
  <c r="N180" i="3"/>
  <c r="C589" i="3"/>
  <c r="M361" i="3"/>
  <c r="M250" i="3"/>
  <c r="I501" i="3"/>
  <c r="I288" i="3"/>
  <c r="O563" i="3"/>
  <c r="P286" i="3"/>
  <c r="F315" i="3"/>
  <c r="B572" i="3"/>
  <c r="A475" i="3"/>
  <c r="G271" i="3"/>
  <c r="P553" i="3"/>
  <c r="F67" i="3"/>
  <c r="E623" i="2"/>
  <c r="B139" i="3"/>
  <c r="B638" i="3"/>
  <c r="L403" i="3"/>
  <c r="I264" i="3"/>
  <c r="H407" i="3"/>
  <c r="E386" i="2"/>
  <c r="F173" i="3"/>
  <c r="P274" i="3"/>
  <c r="M29" i="3"/>
  <c r="O96" i="3"/>
  <c r="E601" i="2"/>
  <c r="D10" i="3"/>
  <c r="K172" i="3"/>
  <c r="P466" i="3"/>
  <c r="O85" i="3"/>
  <c r="B350" i="3"/>
  <c r="K94" i="3"/>
  <c r="P354" i="3"/>
  <c r="C149" i="3"/>
  <c r="H41" i="3"/>
  <c r="F25" i="3"/>
  <c r="M211" i="3"/>
  <c r="A250" i="3"/>
  <c r="P299" i="3"/>
  <c r="F318" i="3"/>
  <c r="A376" i="3"/>
  <c r="F168" i="3"/>
  <c r="J174" i="2"/>
  <c r="B128" i="3"/>
  <c r="B121" i="3"/>
  <c r="C362" i="3"/>
  <c r="F560" i="3"/>
  <c r="J383" i="2"/>
  <c r="G193" i="3"/>
  <c r="B612" i="3"/>
  <c r="M513" i="3"/>
  <c r="K190" i="3"/>
  <c r="N589" i="3"/>
  <c r="G559" i="3"/>
  <c r="F150" i="3"/>
  <c r="F121" i="3"/>
  <c r="D559" i="3"/>
  <c r="I589" i="3"/>
  <c r="A130" i="3"/>
  <c r="F443" i="3"/>
  <c r="K621" i="3"/>
  <c r="N487" i="3"/>
  <c r="P77" i="3"/>
  <c r="B173" i="3"/>
  <c r="G384" i="3"/>
  <c r="A503" i="3"/>
  <c r="J94" i="2"/>
  <c r="E637" i="2"/>
  <c r="C75" i="3"/>
  <c r="J355" i="2"/>
  <c r="C550" i="3"/>
  <c r="C38" i="3"/>
  <c r="G353" i="3"/>
  <c r="A429" i="3"/>
  <c r="L490" i="3"/>
  <c r="E19" i="2"/>
  <c r="G618" i="3"/>
  <c r="O171" i="3"/>
  <c r="I89" i="3"/>
  <c r="D537" i="3"/>
  <c r="P148" i="3"/>
  <c r="I224" i="3"/>
  <c r="K220" i="3"/>
  <c r="C291" i="3"/>
  <c r="N528" i="3"/>
  <c r="C68" i="3"/>
  <c r="M566" i="3"/>
  <c r="P625" i="3"/>
  <c r="C331" i="3"/>
  <c r="B516" i="3"/>
  <c r="K470" i="3"/>
  <c r="P7" i="3"/>
  <c r="A318" i="3"/>
  <c r="P239" i="3"/>
  <c r="I242" i="3"/>
  <c r="C128" i="3"/>
  <c r="F240" i="3"/>
  <c r="I8" i="3"/>
  <c r="I587" i="3"/>
  <c r="E318" i="2"/>
  <c r="A568" i="3"/>
  <c r="O202" i="3"/>
  <c r="C252" i="3"/>
  <c r="M350" i="3"/>
  <c r="M71" i="3"/>
  <c r="C313" i="3"/>
  <c r="H54" i="3"/>
  <c r="L323" i="3"/>
  <c r="O6" i="3"/>
  <c r="M457" i="3"/>
  <c r="O547" i="3"/>
  <c r="M363" i="3"/>
  <c r="A493" i="3"/>
  <c r="C371" i="3"/>
  <c r="C153" i="3"/>
  <c r="M617" i="3"/>
  <c r="P432" i="3"/>
  <c r="E257" i="2"/>
  <c r="E624" i="2"/>
  <c r="K433" i="3"/>
  <c r="F134" i="3"/>
  <c r="J560" i="2"/>
  <c r="A34" i="3"/>
  <c r="E558" i="2"/>
  <c r="L513" i="3"/>
  <c r="E567" i="2"/>
  <c r="N60" i="3"/>
  <c r="I390" i="3"/>
  <c r="P75" i="3"/>
  <c r="N526" i="3"/>
  <c r="F636" i="3"/>
  <c r="I152" i="3"/>
  <c r="N226" i="3"/>
  <c r="O178" i="3"/>
  <c r="E275" i="2"/>
  <c r="F193" i="3"/>
  <c r="G64" i="3"/>
  <c r="M271" i="3"/>
  <c r="M180" i="3"/>
  <c r="O494" i="3"/>
  <c r="M562" i="3"/>
  <c r="L5" i="3"/>
  <c r="D534" i="3"/>
  <c r="D193" i="3"/>
  <c r="B170" i="3"/>
  <c r="B199" i="3"/>
  <c r="C276" i="3"/>
  <c r="C312" i="3"/>
  <c r="D108" i="3"/>
  <c r="E217" i="2"/>
  <c r="J230" i="2"/>
  <c r="K124" i="3"/>
  <c r="B310" i="3"/>
  <c r="L148" i="3"/>
  <c r="N239" i="3"/>
  <c r="A166" i="3"/>
  <c r="K138" i="3"/>
  <c r="E639" i="2"/>
  <c r="O126" i="3"/>
  <c r="E371" i="2"/>
  <c r="O593" i="3"/>
  <c r="D42" i="3"/>
  <c r="C340" i="3"/>
  <c r="K408" i="3"/>
  <c r="B242" i="3"/>
  <c r="D373" i="3"/>
  <c r="B163" i="3"/>
  <c r="B72" i="3"/>
  <c r="P334" i="3"/>
  <c r="B623" i="3"/>
  <c r="D375" i="3"/>
  <c r="J326" i="2"/>
  <c r="N633" i="3"/>
  <c r="B70" i="3"/>
  <c r="I222" i="3"/>
  <c r="F581" i="3"/>
  <c r="O4" i="3"/>
  <c r="O41" i="3"/>
  <c r="C178" i="3"/>
  <c r="H636" i="3"/>
  <c r="M622" i="3"/>
  <c r="F43" i="3"/>
  <c r="E14" i="2"/>
  <c r="C277" i="3"/>
  <c r="M245" i="3"/>
  <c r="E412" i="2"/>
  <c r="N116" i="3"/>
  <c r="D39" i="3"/>
  <c r="K502" i="3"/>
  <c r="J128" i="2"/>
  <c r="F591" i="3"/>
  <c r="D434" i="3"/>
  <c r="B489" i="3"/>
  <c r="E12" i="2"/>
  <c r="K196" i="3"/>
  <c r="F440" i="3"/>
  <c r="A41" i="3"/>
  <c r="B22" i="3"/>
  <c r="M489" i="3"/>
  <c r="F45" i="3"/>
  <c r="E595" i="2"/>
  <c r="H244" i="3"/>
  <c r="C618" i="3"/>
  <c r="P117" i="3"/>
  <c r="G160" i="3"/>
  <c r="A69" i="3"/>
  <c r="F98" i="3"/>
  <c r="D356" i="3"/>
  <c r="J325" i="2"/>
  <c r="E225" i="2"/>
  <c r="F258" i="3"/>
  <c r="B425" i="3"/>
  <c r="C49" i="3"/>
  <c r="I433" i="3"/>
  <c r="J604" i="2"/>
  <c r="D543" i="3"/>
  <c r="P568" i="3"/>
  <c r="C229" i="3"/>
  <c r="D301" i="3"/>
  <c r="E277" i="2"/>
  <c r="J534" i="2"/>
  <c r="H459" i="3"/>
  <c r="N555" i="3"/>
  <c r="M419" i="3"/>
  <c r="K564" i="3"/>
  <c r="B127" i="3"/>
  <c r="D440" i="3"/>
  <c r="E242" i="2"/>
  <c r="C206" i="3"/>
  <c r="D21" i="3"/>
  <c r="F587" i="3"/>
  <c r="E480" i="2"/>
  <c r="D547" i="3"/>
  <c r="C281" i="3"/>
  <c r="K492" i="3"/>
  <c r="D507" i="3"/>
  <c r="L389" i="3"/>
  <c r="A189" i="3"/>
  <c r="O518" i="3"/>
  <c r="I640" i="3"/>
  <c r="D498" i="3"/>
  <c r="K178" i="3"/>
  <c r="M188" i="3"/>
  <c r="H83" i="3"/>
  <c r="E287" i="2"/>
  <c r="F216" i="3"/>
  <c r="H569" i="3"/>
  <c r="M28" i="3"/>
  <c r="O26" i="3"/>
  <c r="I602" i="3"/>
  <c r="C217" i="3"/>
  <c r="E334" i="2"/>
  <c r="L6" i="3"/>
  <c r="D254" i="3"/>
  <c r="C415" i="3"/>
  <c r="E115" i="2"/>
  <c r="I178" i="3"/>
  <c r="H136" i="3"/>
  <c r="C183" i="3"/>
  <c r="B521" i="3"/>
  <c r="C98" i="3"/>
  <c r="A538" i="3"/>
  <c r="M184" i="3"/>
  <c r="C239" i="3"/>
  <c r="I374" i="3"/>
  <c r="M82" i="3"/>
  <c r="A271" i="3"/>
  <c r="G264" i="3"/>
  <c r="A38" i="3"/>
  <c r="J611" i="2"/>
  <c r="C421" i="3"/>
  <c r="I281" i="3"/>
  <c r="C605" i="3"/>
  <c r="C413" i="3"/>
  <c r="P6" i="3"/>
  <c r="B175" i="3"/>
  <c r="J349" i="2"/>
  <c r="C608" i="3"/>
  <c r="J331" i="2"/>
  <c r="J463" i="2"/>
  <c r="I491" i="3"/>
  <c r="B289" i="3"/>
  <c r="N271" i="3"/>
  <c r="A214" i="3"/>
  <c r="G135" i="3"/>
  <c r="J404" i="2"/>
  <c r="M575" i="3"/>
  <c r="M522" i="3"/>
  <c r="E72" i="2"/>
  <c r="P348" i="3"/>
  <c r="G469" i="3"/>
  <c r="M88" i="3"/>
  <c r="H436" i="3"/>
  <c r="J159" i="2"/>
  <c r="C119" i="3"/>
  <c r="N392" i="3"/>
  <c r="D311" i="3"/>
  <c r="I56" i="3"/>
  <c r="L460" i="3"/>
  <c r="J107" i="2"/>
  <c r="G121" i="3"/>
  <c r="H69" i="3"/>
  <c r="B306" i="3"/>
  <c r="C406" i="3"/>
  <c r="D203" i="3"/>
  <c r="C148" i="3"/>
  <c r="M244" i="3"/>
  <c r="C109" i="3"/>
  <c r="H297" i="3"/>
  <c r="L491" i="3"/>
  <c r="D178" i="3"/>
  <c r="A129" i="3"/>
  <c r="L440" i="3"/>
  <c r="H329" i="3"/>
  <c r="I629" i="3"/>
  <c r="A609" i="3"/>
  <c r="L444" i="3"/>
  <c r="G289" i="3"/>
  <c r="J502" i="2"/>
  <c r="M65" i="3"/>
  <c r="M356" i="3"/>
  <c r="B455" i="3"/>
  <c r="P574" i="3"/>
  <c r="J569" i="2"/>
  <c r="H395" i="3"/>
  <c r="I161" i="3"/>
  <c r="H86" i="3"/>
  <c r="A63" i="3"/>
  <c r="N41" i="3"/>
  <c r="M265" i="3"/>
  <c r="F393" i="3"/>
  <c r="H591" i="3"/>
  <c r="N457" i="3"/>
  <c r="K95" i="3"/>
  <c r="G419" i="3"/>
  <c r="H161" i="3"/>
  <c r="H278" i="3"/>
  <c r="I243" i="3"/>
  <c r="J168" i="2"/>
  <c r="F505" i="3"/>
  <c r="H128" i="3"/>
  <c r="K40" i="3"/>
  <c r="B465" i="3"/>
  <c r="E196" i="2"/>
  <c r="I280" i="3"/>
  <c r="P345" i="3"/>
  <c r="K104" i="3"/>
  <c r="M95" i="3"/>
  <c r="A403" i="3"/>
  <c r="L532" i="3"/>
  <c r="L503" i="3"/>
  <c r="C237" i="3"/>
  <c r="I142" i="3"/>
  <c r="J495" i="2"/>
  <c r="G565" i="3"/>
  <c r="M415" i="3"/>
  <c r="N175" i="3"/>
  <c r="D492" i="3"/>
  <c r="K265" i="3"/>
  <c r="I289" i="3"/>
  <c r="K602" i="3"/>
  <c r="J263" i="2"/>
  <c r="A418" i="3"/>
  <c r="D29" i="3"/>
  <c r="H627" i="3"/>
  <c r="K24" i="3"/>
  <c r="I257" i="3"/>
  <c r="F434" i="3"/>
  <c r="B618" i="3"/>
  <c r="A531" i="3"/>
  <c r="K58" i="3"/>
  <c r="H352" i="3"/>
  <c r="G35" i="3"/>
  <c r="A116" i="3"/>
  <c r="A232" i="3"/>
  <c r="L51" i="3"/>
  <c r="M635" i="3"/>
  <c r="P79" i="3"/>
  <c r="N225" i="3"/>
  <c r="M293" i="3"/>
  <c r="H598" i="3"/>
  <c r="O279" i="3"/>
  <c r="K112" i="3"/>
  <c r="N12" i="3"/>
  <c r="O562" i="3"/>
  <c r="M538" i="3"/>
  <c r="K619" i="3"/>
  <c r="E54" i="2"/>
  <c r="M45" i="3"/>
  <c r="E114" i="2"/>
  <c r="G248" i="3"/>
  <c r="P238" i="3"/>
  <c r="O114" i="3"/>
  <c r="H337" i="3"/>
  <c r="A595" i="3"/>
  <c r="P501" i="3"/>
  <c r="F69" i="3"/>
  <c r="H44" i="3"/>
  <c r="A621" i="3"/>
  <c r="K313" i="3"/>
  <c r="L184" i="3"/>
  <c r="H543" i="3"/>
  <c r="I15" i="3"/>
  <c r="M518" i="3"/>
  <c r="F129" i="3"/>
  <c r="C615" i="3"/>
  <c r="B171" i="3"/>
  <c r="L341" i="3"/>
  <c r="K233" i="3"/>
  <c r="P120" i="3"/>
  <c r="O219" i="3"/>
  <c r="D636" i="3"/>
  <c r="G408" i="3"/>
  <c r="H521" i="3"/>
  <c r="N454" i="3"/>
  <c r="P133" i="3"/>
  <c r="C15" i="3"/>
  <c r="H166" i="3"/>
  <c r="C445" i="3"/>
  <c r="F585" i="3"/>
  <c r="P124" i="3"/>
  <c r="M201" i="3"/>
  <c r="F605" i="3"/>
  <c r="P255" i="3"/>
  <c r="L519" i="3"/>
  <c r="F429" i="3"/>
  <c r="H53" i="3"/>
  <c r="F297" i="3"/>
  <c r="D152" i="3"/>
  <c r="J363" i="2"/>
  <c r="E197" i="2"/>
  <c r="G331" i="3"/>
  <c r="G336" i="3"/>
  <c r="H405" i="3"/>
  <c r="P521" i="3"/>
  <c r="K169" i="3"/>
  <c r="D183" i="3"/>
  <c r="D366" i="3"/>
  <c r="D453" i="3"/>
  <c r="C543" i="3"/>
  <c r="C569" i="3"/>
  <c r="C182" i="3"/>
  <c r="B281" i="3"/>
  <c r="B449" i="3"/>
  <c r="B41" i="3"/>
  <c r="C222" i="3"/>
  <c r="C184" i="3"/>
  <c r="C101" i="3"/>
  <c r="B349" i="3"/>
  <c r="A269" i="3"/>
  <c r="P396" i="3"/>
  <c r="O326" i="3"/>
  <c r="N258" i="3"/>
  <c r="D639" i="3"/>
  <c r="F247" i="3"/>
  <c r="H465" i="3"/>
  <c r="G86" i="3"/>
  <c r="C141" i="3"/>
  <c r="K539" i="3"/>
  <c r="D53" i="3"/>
  <c r="J108" i="2"/>
  <c r="H330" i="3"/>
  <c r="D490" i="3"/>
  <c r="P248" i="3"/>
  <c r="J7" i="2"/>
  <c r="D493" i="3"/>
  <c r="P412" i="3"/>
  <c r="M509" i="3"/>
  <c r="I126" i="3"/>
  <c r="A283" i="3"/>
  <c r="K182" i="3"/>
  <c r="B451" i="3"/>
  <c r="D219" i="3"/>
  <c r="O461" i="3"/>
  <c r="C198" i="3"/>
  <c r="D255" i="3"/>
  <c r="K524" i="3"/>
  <c r="K393" i="3"/>
  <c r="B200" i="3"/>
  <c r="D229" i="3"/>
  <c r="I362" i="3"/>
  <c r="I411" i="3"/>
  <c r="D324" i="3"/>
  <c r="D184" i="3"/>
  <c r="D615" i="3"/>
  <c r="C379" i="3"/>
  <c r="D449" i="3"/>
  <c r="B223" i="3"/>
  <c r="M66" i="3"/>
  <c r="B192" i="3"/>
  <c r="C230" i="3"/>
  <c r="C218" i="3"/>
  <c r="C544" i="3"/>
  <c r="A137" i="3"/>
  <c r="P575" i="3"/>
  <c r="L576" i="3"/>
  <c r="J122" i="2"/>
  <c r="A449" i="3"/>
  <c r="J637" i="2"/>
  <c r="B209" i="3"/>
  <c r="N463" i="3"/>
  <c r="D290" i="3"/>
  <c r="O634" i="3"/>
  <c r="M242" i="3"/>
  <c r="D147" i="3"/>
  <c r="F11" i="3"/>
  <c r="G549" i="3"/>
  <c r="L329" i="3"/>
  <c r="D304" i="3"/>
  <c r="D437" i="3"/>
  <c r="J39" i="2"/>
  <c r="H630" i="3"/>
  <c r="E307" i="2"/>
  <c r="L371" i="3"/>
  <c r="O523" i="3"/>
  <c r="C108" i="3"/>
  <c r="J13" i="2"/>
  <c r="K205" i="3"/>
  <c r="O626" i="3"/>
  <c r="D41" i="3"/>
  <c r="N233" i="3"/>
  <c r="C259" i="3"/>
  <c r="P95" i="3"/>
  <c r="C11" i="3"/>
  <c r="B588" i="3"/>
  <c r="M10" i="3"/>
  <c r="P161" i="3"/>
  <c r="C157" i="3"/>
  <c r="D419" i="3"/>
  <c r="P182" i="3"/>
  <c r="H45" i="3"/>
  <c r="J136" i="2"/>
  <c r="D597" i="3"/>
  <c r="D413" i="3"/>
  <c r="D278" i="3"/>
  <c r="B305" i="3"/>
  <c r="D173" i="3"/>
  <c r="H567" i="3"/>
  <c r="D145" i="3"/>
  <c r="C19" i="3"/>
  <c r="H322" i="3"/>
  <c r="O359" i="3"/>
  <c r="K482" i="3"/>
  <c r="G312" i="3"/>
  <c r="K137" i="3"/>
  <c r="C18" i="3"/>
  <c r="H549" i="3"/>
  <c r="P588" i="3"/>
  <c r="L261" i="3"/>
  <c r="L52" i="3"/>
  <c r="H483" i="3"/>
  <c r="H323" i="3"/>
  <c r="B560" i="3"/>
  <c r="O591" i="3"/>
  <c r="O608" i="3"/>
  <c r="K463" i="3"/>
  <c r="E328" i="2"/>
  <c r="L470" i="3"/>
  <c r="O17" i="3"/>
  <c r="P564" i="3"/>
  <c r="P612" i="3"/>
  <c r="D187" i="3"/>
  <c r="O604" i="3"/>
  <c r="N221" i="3"/>
  <c r="G300" i="3"/>
  <c r="E185" i="2"/>
  <c r="J584" i="2"/>
  <c r="N78" i="3"/>
  <c r="B345" i="3"/>
  <c r="B592" i="3"/>
  <c r="D209" i="3"/>
  <c r="L319" i="3"/>
  <c r="J198" i="2"/>
  <c r="L609" i="3"/>
  <c r="P447" i="3"/>
  <c r="B550" i="3"/>
  <c r="M18" i="3"/>
  <c r="C14" i="3"/>
  <c r="I340" i="3"/>
  <c r="I397" i="3"/>
  <c r="L365" i="3"/>
  <c r="J394" i="2"/>
  <c r="G308" i="3"/>
  <c r="D340" i="3"/>
  <c r="D358" i="3"/>
  <c r="F630" i="3"/>
  <c r="A97" i="3"/>
  <c r="I492" i="3"/>
  <c r="D90" i="3"/>
  <c r="I183" i="3"/>
  <c r="N538" i="3"/>
  <c r="B207" i="3"/>
  <c r="L102" i="3"/>
  <c r="E503" i="2"/>
  <c r="J315" i="2"/>
  <c r="G162" i="3"/>
  <c r="G220" i="3"/>
  <c r="B622" i="3"/>
  <c r="A176" i="3"/>
  <c r="O570" i="3"/>
  <c r="G221" i="3"/>
  <c r="K67" i="3"/>
  <c r="P459" i="3"/>
  <c r="D388" i="3"/>
  <c r="G99" i="3"/>
  <c r="D360" i="3"/>
  <c r="C205" i="3"/>
  <c r="P567" i="3"/>
  <c r="P191" i="3"/>
  <c r="O458" i="3"/>
  <c r="E151" i="2"/>
  <c r="G572" i="3"/>
  <c r="K461" i="3"/>
  <c r="P196" i="3"/>
  <c r="O335" i="3"/>
  <c r="G486" i="3"/>
  <c r="O65" i="3"/>
  <c r="O611" i="3"/>
  <c r="F165" i="3"/>
  <c r="I508" i="3"/>
  <c r="B508" i="3"/>
  <c r="A298" i="3"/>
  <c r="N63" i="3"/>
  <c r="F57" i="3"/>
  <c r="D510" i="3"/>
  <c r="H182" i="3"/>
  <c r="L99" i="3"/>
  <c r="B377" i="3"/>
  <c r="L327" i="3"/>
  <c r="K485" i="3"/>
  <c r="L439" i="3"/>
  <c r="D17" i="3"/>
  <c r="B565" i="3"/>
  <c r="I349" i="3"/>
  <c r="A50" i="3"/>
  <c r="J62" i="2"/>
  <c r="O89" i="3"/>
  <c r="M466" i="3"/>
  <c r="N59" i="3"/>
  <c r="O115" i="3"/>
  <c r="B73" i="3"/>
  <c r="O348" i="3"/>
  <c r="I202" i="3"/>
  <c r="M527" i="3"/>
  <c r="F580" i="3"/>
  <c r="H396" i="3"/>
  <c r="D288" i="3"/>
  <c r="P551" i="3"/>
  <c r="D172" i="3"/>
  <c r="M565" i="3"/>
  <c r="H466" i="3"/>
  <c r="F175" i="3"/>
  <c r="D206" i="3"/>
  <c r="N273" i="3"/>
  <c r="B97" i="3"/>
  <c r="G12" i="3"/>
  <c r="H392" i="3"/>
  <c r="N441" i="3"/>
  <c r="M279" i="3"/>
  <c r="D233" i="3"/>
  <c r="B227" i="3"/>
  <c r="P493" i="3"/>
  <c r="F628" i="3"/>
  <c r="D65" i="3"/>
  <c r="O595" i="3"/>
  <c r="G146" i="3"/>
  <c r="P427" i="3"/>
  <c r="H550" i="3"/>
  <c r="E296" i="2"/>
  <c r="I389" i="3"/>
  <c r="K356" i="3"/>
  <c r="F492" i="3"/>
  <c r="F261" i="3"/>
  <c r="D294" i="3"/>
  <c r="O184" i="3"/>
  <c r="E548" i="2"/>
  <c r="M554" i="3"/>
  <c r="A133" i="3"/>
  <c r="N491" i="3"/>
  <c r="I588" i="3"/>
  <c r="G410" i="3"/>
  <c r="A222" i="3"/>
  <c r="I485" i="3"/>
  <c r="C240" i="3"/>
  <c r="P90" i="3"/>
  <c r="L483" i="3"/>
  <c r="E513" i="2"/>
  <c r="O454" i="3"/>
  <c r="M357" i="3"/>
  <c r="G577" i="3"/>
  <c r="G573" i="3"/>
  <c r="A266" i="3"/>
  <c r="L625" i="3"/>
  <c r="F114" i="3"/>
  <c r="C73" i="3"/>
  <c r="B89" i="3"/>
  <c r="J328" i="2"/>
  <c r="P226" i="3"/>
  <c r="H364" i="3"/>
  <c r="L336" i="3"/>
  <c r="O177" i="3"/>
  <c r="N617" i="3"/>
  <c r="E139" i="2"/>
  <c r="E367" i="2"/>
  <c r="H429" i="3"/>
  <c r="H580" i="3"/>
  <c r="A512" i="3"/>
  <c r="O110" i="3"/>
  <c r="K578" i="3"/>
  <c r="J586" i="2"/>
  <c r="A76" i="3"/>
  <c r="C373" i="3"/>
  <c r="H272" i="3"/>
  <c r="I53" i="3"/>
  <c r="A61" i="3"/>
  <c r="C107" i="3"/>
  <c r="H55" i="3"/>
  <c r="K329" i="3"/>
  <c r="B533" i="3"/>
  <c r="F577" i="3"/>
  <c r="N631" i="3"/>
  <c r="G303" i="3"/>
  <c r="M472" i="3"/>
  <c r="J321" i="2"/>
  <c r="C123" i="3"/>
  <c r="A576" i="3"/>
  <c r="F367" i="3"/>
  <c r="I179" i="3"/>
  <c r="N42" i="3"/>
  <c r="B600" i="3"/>
  <c r="H59" i="3"/>
  <c r="C496" i="3"/>
  <c r="F510" i="3"/>
  <c r="J127" i="2"/>
  <c r="L293" i="3"/>
  <c r="H477" i="3"/>
  <c r="G143" i="3"/>
  <c r="D330" i="3"/>
  <c r="E549" i="2"/>
  <c r="L140" i="3"/>
  <c r="E414" i="2"/>
  <c r="I372" i="3"/>
  <c r="M230" i="3"/>
  <c r="C341" i="3"/>
  <c r="G433" i="3"/>
  <c r="K30" i="3"/>
  <c r="F553" i="3"/>
  <c r="B391" i="3"/>
  <c r="J605" i="2"/>
  <c r="P190" i="3"/>
  <c r="M290" i="3"/>
  <c r="H485" i="3"/>
  <c r="O616" i="3"/>
  <c r="D350" i="3"/>
  <c r="K26" i="3"/>
  <c r="P515" i="3"/>
  <c r="J573" i="2"/>
  <c r="C579" i="3"/>
  <c r="E281" i="2"/>
  <c r="I54" i="3"/>
  <c r="A578" i="3"/>
  <c r="E511" i="2"/>
  <c r="P618" i="3"/>
  <c r="O118" i="3"/>
  <c r="K69" i="3"/>
  <c r="L227" i="3"/>
  <c r="E250" i="2"/>
  <c r="I370" i="3"/>
  <c r="B537" i="3"/>
  <c r="F107" i="3"/>
  <c r="L637" i="3"/>
  <c r="B243" i="3"/>
  <c r="B558" i="3"/>
  <c r="J42" i="2"/>
  <c r="N202" i="3"/>
  <c r="M328" i="3"/>
  <c r="M24" i="3"/>
  <c r="N483" i="3"/>
  <c r="A57" i="3"/>
  <c r="B496" i="3"/>
  <c r="A263" i="3"/>
  <c r="N136" i="3"/>
  <c r="B195" i="3"/>
  <c r="D512" i="3"/>
  <c r="I97" i="3"/>
  <c r="L92" i="3"/>
  <c r="N77" i="3"/>
  <c r="P220" i="3"/>
  <c r="J220" i="2"/>
  <c r="A345" i="3"/>
  <c r="G495" i="3"/>
  <c r="J577" i="2"/>
  <c r="P73" i="3"/>
  <c r="L342" i="3"/>
  <c r="B499" i="3"/>
  <c r="C558" i="3"/>
  <c r="L167" i="3"/>
  <c r="J598" i="2"/>
  <c r="L228" i="3"/>
  <c r="F531" i="3"/>
  <c r="H355" i="3"/>
  <c r="F564" i="3"/>
  <c r="I94" i="3"/>
  <c r="M75" i="3"/>
  <c r="H223" i="3"/>
  <c r="B458" i="3"/>
  <c r="P511" i="3"/>
  <c r="B318" i="3"/>
  <c r="H210" i="3"/>
  <c r="G206" i="3"/>
  <c r="J78" i="2"/>
  <c r="I298" i="3"/>
  <c r="N167" i="3"/>
  <c r="N416" i="3"/>
  <c r="F471" i="3"/>
  <c r="L192" i="3"/>
  <c r="O127" i="3"/>
  <c r="O308" i="3"/>
  <c r="O240" i="3"/>
  <c r="D308" i="3"/>
  <c r="A587" i="3"/>
  <c r="N323" i="3"/>
  <c r="B466" i="3"/>
  <c r="F456" i="3"/>
  <c r="L332" i="3"/>
  <c r="C631" i="3"/>
  <c r="D411" i="3"/>
  <c r="P636" i="3"/>
  <c r="D557" i="3"/>
  <c r="H425" i="3"/>
  <c r="B13" i="3"/>
  <c r="M181" i="3"/>
  <c r="J452" i="2"/>
  <c r="A570" i="3"/>
  <c r="L531" i="3"/>
  <c r="E421" i="2"/>
  <c r="O495" i="3"/>
  <c r="D633" i="3"/>
  <c r="G155" i="3"/>
  <c r="F205" i="3"/>
  <c r="L221" i="3"/>
  <c r="B502" i="3"/>
  <c r="A94" i="3"/>
  <c r="I103" i="3"/>
  <c r="I128" i="3"/>
  <c r="G316" i="3"/>
  <c r="A600" i="3"/>
  <c r="E349" i="2"/>
  <c r="B69" i="3"/>
  <c r="B125" i="3"/>
  <c r="N230" i="3"/>
  <c r="B357" i="3"/>
  <c r="L496" i="3"/>
  <c r="G405" i="3"/>
  <c r="A636" i="3"/>
  <c r="G279" i="3"/>
  <c r="K229" i="3"/>
  <c r="L603" i="3"/>
  <c r="J212" i="2"/>
  <c r="E199" i="2"/>
  <c r="F207" i="3"/>
  <c r="D5" i="3"/>
  <c r="M478" i="3"/>
  <c r="A233" i="3"/>
  <c r="M171" i="3"/>
  <c r="C601" i="3"/>
  <c r="B576" i="3"/>
  <c r="M60" i="3"/>
  <c r="A223" i="3"/>
  <c r="J130" i="2"/>
  <c r="F626" i="3"/>
  <c r="J365" i="2"/>
  <c r="E468" i="2"/>
  <c r="J113" i="2"/>
  <c r="N431" i="3"/>
  <c r="C349" i="3"/>
  <c r="P632" i="3"/>
  <c r="E235" i="2"/>
  <c r="K575" i="3"/>
  <c r="J406" i="2"/>
  <c r="L335" i="3"/>
  <c r="J129" i="2"/>
  <c r="A209" i="3"/>
  <c r="K41" i="3"/>
  <c r="E333" i="2"/>
  <c r="I130" i="3"/>
  <c r="O564" i="3"/>
  <c r="B116" i="3"/>
  <c r="P328" i="3"/>
  <c r="K185" i="3"/>
  <c r="P365" i="3"/>
  <c r="G322" i="3"/>
  <c r="K16" i="3"/>
  <c r="N515" i="3"/>
  <c r="A384" i="3"/>
  <c r="H65" i="3"/>
  <c r="C45" i="3"/>
  <c r="E247" i="2"/>
  <c r="G465" i="3"/>
  <c r="K198" i="3"/>
  <c r="B599" i="3"/>
  <c r="L307" i="3"/>
  <c r="E198" i="2"/>
  <c r="H76" i="3"/>
  <c r="F445" i="3"/>
  <c r="C588" i="3"/>
  <c r="H506" i="3"/>
  <c r="O417" i="3"/>
  <c r="A73" i="3"/>
  <c r="J434" i="2"/>
  <c r="H93" i="3"/>
  <c r="L423" i="3"/>
  <c r="G511" i="3"/>
  <c r="O143" i="3"/>
  <c r="A310" i="3"/>
  <c r="H503" i="3"/>
  <c r="L80" i="3"/>
  <c r="H58" i="3"/>
  <c r="I48" i="3"/>
  <c r="O567" i="3"/>
  <c r="G426" i="3"/>
  <c r="G19" i="3"/>
  <c r="C359" i="3"/>
  <c r="K290" i="3"/>
  <c r="E84" i="2"/>
  <c r="M158" i="3"/>
  <c r="D623" i="3"/>
  <c r="C96" i="3"/>
  <c r="B547" i="3"/>
  <c r="A272" i="3"/>
  <c r="O394" i="3"/>
  <c r="E433" i="2"/>
  <c r="F498" i="3"/>
  <c r="H239" i="3"/>
  <c r="H618" i="3"/>
  <c r="D403" i="3"/>
  <c r="K141" i="3"/>
  <c r="H575" i="3"/>
  <c r="F312" i="3"/>
  <c r="D46" i="3"/>
  <c r="K489" i="3"/>
  <c r="N120" i="3"/>
  <c r="I230" i="3"/>
  <c r="B153" i="3"/>
  <c r="G326" i="3"/>
  <c r="K275" i="3"/>
  <c r="G574" i="3"/>
  <c r="K631" i="3"/>
  <c r="E634" i="2"/>
  <c r="C309" i="3"/>
  <c r="C215" i="3"/>
  <c r="P616" i="3"/>
  <c r="P581" i="3"/>
  <c r="F353" i="3"/>
  <c r="K616" i="3"/>
  <c r="P59" i="3"/>
  <c r="H238" i="3"/>
  <c r="N176" i="3"/>
  <c r="L224" i="3"/>
  <c r="A554" i="3"/>
  <c r="K484" i="3"/>
  <c r="A212" i="3"/>
  <c r="K245" i="3"/>
  <c r="O287" i="3"/>
  <c r="K547" i="3"/>
  <c r="I448" i="3"/>
  <c r="G233" i="3"/>
  <c r="O366" i="3"/>
  <c r="B85" i="3"/>
  <c r="K591" i="3"/>
  <c r="A122" i="3"/>
  <c r="J56" i="2"/>
  <c r="C82" i="3"/>
  <c r="P578" i="3"/>
  <c r="O74" i="3"/>
  <c r="N425" i="3"/>
  <c r="J242" i="2"/>
  <c r="D626" i="3"/>
  <c r="C71" i="3"/>
  <c r="D467" i="3"/>
  <c r="D566" i="3"/>
  <c r="B327" i="3"/>
  <c r="J515" i="2"/>
  <c r="F485" i="3"/>
  <c r="G290" i="3"/>
  <c r="B437" i="3"/>
  <c r="J439" i="2"/>
  <c r="B473" i="3"/>
  <c r="H14" i="3"/>
  <c r="F597" i="3"/>
  <c r="L286" i="3"/>
  <c r="M4" i="3"/>
  <c r="C265" i="3"/>
  <c r="M399" i="3"/>
  <c r="A618" i="3"/>
  <c r="A215" i="3"/>
  <c r="C510" i="3"/>
  <c r="H428" i="3"/>
  <c r="M446" i="3"/>
  <c r="H438" i="3"/>
  <c r="C266" i="3"/>
  <c r="G631" i="3"/>
  <c r="K420" i="3"/>
  <c r="B307" i="3"/>
  <c r="K580" i="3"/>
  <c r="H452" i="3"/>
  <c r="L311" i="3"/>
  <c r="J368" i="2"/>
  <c r="B64" i="3"/>
  <c r="K411" i="3"/>
  <c r="G480" i="3"/>
  <c r="D489" i="3"/>
  <c r="C462" i="3"/>
  <c r="J121" i="2"/>
  <c r="A186" i="3"/>
  <c r="H532" i="3"/>
  <c r="L176" i="3"/>
  <c r="G261" i="3"/>
  <c r="G112" i="3"/>
  <c r="M79" i="3"/>
  <c r="J376" i="2"/>
  <c r="B146" i="3"/>
  <c r="O333" i="3"/>
  <c r="C260" i="3"/>
  <c r="P234" i="3"/>
  <c r="O586" i="3"/>
  <c r="L276" i="3"/>
  <c r="H358" i="3"/>
  <c r="F534" i="3"/>
  <c r="D210" i="3"/>
  <c r="O84" i="3"/>
  <c r="O558" i="3"/>
  <c r="M116" i="3"/>
  <c r="B154" i="3"/>
  <c r="B453" i="3"/>
  <c r="K562" i="3"/>
  <c r="E577" i="2"/>
  <c r="L244" i="3"/>
  <c r="N84" i="3"/>
  <c r="N169" i="3"/>
  <c r="F583" i="3"/>
  <c r="B608" i="3"/>
  <c r="C251" i="3"/>
  <c r="B275" i="3"/>
  <c r="C256" i="3"/>
  <c r="B510" i="3"/>
  <c r="P481" i="3"/>
  <c r="D558" i="3"/>
  <c r="K97" i="3"/>
  <c r="C286" i="3"/>
  <c r="C112" i="3"/>
  <c r="P320" i="3"/>
  <c r="G103" i="3"/>
  <c r="A278" i="3"/>
  <c r="J175" i="2"/>
  <c r="M559" i="3"/>
  <c r="A404" i="3"/>
  <c r="C546" i="3"/>
  <c r="F572" i="3"/>
  <c r="N417" i="3"/>
  <c r="F344" i="3"/>
  <c r="B333" i="3"/>
  <c r="K537" i="3"/>
  <c r="H431" i="3"/>
  <c r="D420" i="3"/>
  <c r="L385" i="3"/>
  <c r="D336" i="3"/>
  <c r="D243" i="3"/>
  <c r="B326" i="3"/>
  <c r="B296" i="3"/>
  <c r="C508" i="3"/>
  <c r="B607" i="3"/>
  <c r="B408" i="3"/>
  <c r="B331" i="3"/>
  <c r="D124" i="3"/>
  <c r="K131" i="3"/>
  <c r="A110" i="3"/>
  <c r="A29" i="3"/>
  <c r="I33" i="3"/>
  <c r="J634" i="2"/>
  <c r="F138" i="3"/>
  <c r="M147" i="3"/>
  <c r="P145" i="3"/>
  <c r="B33" i="3"/>
  <c r="A53" i="3"/>
  <c r="K509" i="3"/>
  <c r="G293" i="3"/>
  <c r="N172" i="3"/>
  <c r="L61" i="3"/>
  <c r="J631" i="2"/>
  <c r="P53" i="3"/>
  <c r="I393" i="3"/>
  <c r="D539" i="3"/>
  <c r="M253" i="3"/>
  <c r="D450" i="3"/>
  <c r="K555" i="3"/>
  <c r="H509" i="3"/>
  <c r="C301" i="3"/>
  <c r="B382" i="3"/>
  <c r="C262" i="3"/>
  <c r="C623" i="3"/>
  <c r="B257" i="3"/>
  <c r="P548" i="3"/>
  <c r="F198" i="3"/>
  <c r="E445" i="2"/>
  <c r="F401" i="3"/>
  <c r="C290" i="3"/>
  <c r="C223" i="3"/>
  <c r="G409" i="3"/>
  <c r="E219" i="2"/>
  <c r="P273" i="3"/>
  <c r="B25" i="3"/>
  <c r="L69" i="3"/>
  <c r="O272" i="3"/>
  <c r="P375" i="3"/>
  <c r="I577" i="3"/>
  <c r="O430" i="3"/>
  <c r="B65" i="3"/>
  <c r="H137" i="3"/>
  <c r="E212" i="2"/>
  <c r="F202" i="3"/>
  <c r="J532" i="2"/>
  <c r="B427" i="3"/>
  <c r="C575" i="3"/>
  <c r="N109" i="3"/>
  <c r="M358" i="3"/>
  <c r="H561" i="3"/>
  <c r="N486" i="3"/>
  <c r="G75" i="3"/>
  <c r="D317" i="3"/>
  <c r="F179" i="3"/>
  <c r="J300" i="2"/>
  <c r="E160" i="2"/>
  <c r="O324" i="3"/>
  <c r="N384" i="3"/>
  <c r="L246" i="3"/>
  <c r="H104" i="3"/>
  <c r="M247" i="3"/>
  <c r="A19" i="3"/>
  <c r="A224" i="3"/>
  <c r="H481" i="3"/>
  <c r="H79" i="3"/>
  <c r="D468" i="3"/>
  <c r="A465" i="3"/>
  <c r="K350" i="3"/>
  <c r="B59" i="3"/>
  <c r="P357" i="3"/>
  <c r="O205" i="3"/>
  <c r="B273" i="3"/>
  <c r="B324" i="3"/>
  <c r="O411" i="3"/>
  <c r="N281" i="3"/>
  <c r="E627" i="2"/>
  <c r="J381" i="2"/>
  <c r="D370" i="3"/>
  <c r="O521" i="3"/>
  <c r="L581" i="3"/>
  <c r="B57" i="3"/>
  <c r="B575" i="3"/>
  <c r="O83" i="3"/>
  <c r="M59" i="3"/>
  <c r="B467" i="3"/>
  <c r="K596" i="3"/>
  <c r="D96" i="3"/>
  <c r="D167" i="3"/>
  <c r="L46" i="3"/>
  <c r="A248" i="3"/>
  <c r="B34" i="3"/>
  <c r="P352" i="3"/>
  <c r="H108" i="3"/>
  <c r="A81" i="3"/>
  <c r="D25" i="3"/>
  <c r="C91" i="3"/>
  <c r="M112" i="3"/>
  <c r="D589" i="3"/>
  <c r="D99" i="3"/>
  <c r="D138" i="3"/>
  <c r="C63" i="3"/>
  <c r="C268" i="3"/>
  <c r="B624" i="3"/>
  <c r="C559" i="3"/>
  <c r="B604" i="3"/>
  <c r="I143" i="3"/>
  <c r="B109" i="3"/>
  <c r="O513" i="3"/>
  <c r="N494" i="3"/>
  <c r="P475" i="3"/>
  <c r="D600" i="3"/>
  <c r="N599" i="3"/>
  <c r="B595" i="3"/>
  <c r="L570" i="3"/>
  <c r="I170" i="3"/>
  <c r="C264" i="3"/>
  <c r="F625" i="3"/>
  <c r="M20" i="3"/>
  <c r="B252" i="3"/>
  <c r="F287" i="3"/>
  <c r="P556" i="3"/>
  <c r="C79" i="3"/>
  <c r="D329" i="3"/>
  <c r="D79" i="3"/>
  <c r="K34" i="3"/>
  <c r="M412" i="3"/>
  <c r="A540" i="3"/>
  <c r="A44" i="3"/>
  <c r="D346" i="3"/>
  <c r="N458" i="3"/>
  <c r="C434" i="3"/>
  <c r="L420" i="3"/>
  <c r="F571" i="3"/>
  <c r="D227" i="3"/>
  <c r="A106" i="3"/>
  <c r="C611" i="3"/>
  <c r="L434" i="3"/>
  <c r="D199" i="3"/>
  <c r="E26" i="3"/>
  <c r="J467" i="2"/>
  <c r="D54" i="3"/>
  <c r="D632" i="3"/>
  <c r="N536" i="3"/>
  <c r="O421" i="3"/>
  <c r="J375" i="2"/>
  <c r="G383" i="3"/>
  <c r="A567" i="3"/>
  <c r="N262" i="3"/>
  <c r="G222" i="3"/>
  <c r="G6" i="3"/>
  <c r="M103" i="3"/>
  <c r="O306" i="3"/>
  <c r="P18" i="3"/>
  <c r="E95" i="2"/>
  <c r="D398" i="3"/>
  <c r="D89" i="3"/>
  <c r="B387" i="3"/>
  <c r="N385" i="3"/>
  <c r="C463" i="3"/>
  <c r="O66" i="3"/>
  <c r="O560" i="3"/>
  <c r="B585" i="3"/>
  <c r="L525" i="3"/>
  <c r="P440" i="3"/>
  <c r="A268" i="3"/>
  <c r="O390" i="3"/>
  <c r="E494" i="2"/>
  <c r="O406" i="3"/>
  <c r="M394" i="3"/>
  <c r="D244" i="3"/>
  <c r="N477" i="3"/>
  <c r="D179" i="3"/>
  <c r="M497" i="3"/>
  <c r="K406" i="3"/>
  <c r="C597" i="3"/>
  <c r="F610" i="3"/>
  <c r="E46" i="2"/>
  <c r="P540" i="3"/>
  <c r="B520" i="3"/>
  <c r="J591" i="2"/>
  <c r="K149" i="3"/>
  <c r="L595" i="3"/>
  <c r="O91" i="3"/>
  <c r="C325" i="3"/>
  <c r="N68" i="3"/>
  <c r="B639" i="3"/>
  <c r="M41" i="3"/>
  <c r="G493" i="3"/>
  <c r="H94" i="3"/>
  <c r="J366" i="2"/>
  <c r="J334" i="2"/>
  <c r="P186" i="3"/>
  <c r="A386" i="3"/>
  <c r="H302" i="3"/>
  <c r="O227" i="3"/>
  <c r="G128" i="3"/>
  <c r="N420" i="3"/>
  <c r="G125" i="3"/>
  <c r="F323" i="3"/>
  <c r="M341" i="3"/>
  <c r="O191" i="3"/>
  <c r="B299" i="3"/>
  <c r="D552" i="3"/>
  <c r="A185" i="3"/>
  <c r="B330" i="3"/>
  <c r="P324" i="3"/>
  <c r="G379" i="3"/>
  <c r="I480" i="3"/>
  <c r="B205" i="3"/>
  <c r="O40" i="3"/>
  <c r="H142" i="3"/>
  <c r="D133" i="3"/>
  <c r="M14" i="3"/>
  <c r="N132" i="3"/>
  <c r="K414" i="3"/>
  <c r="A322" i="3"/>
  <c r="P516" i="3"/>
  <c r="H260" i="3"/>
  <c r="A211" i="3"/>
  <c r="D297" i="3"/>
  <c r="A462" i="3"/>
  <c r="J67" i="2"/>
  <c r="F565" i="3"/>
  <c r="D568" i="3"/>
  <c r="E290" i="2"/>
  <c r="A288" i="3"/>
  <c r="F504" i="3"/>
  <c r="L542" i="3"/>
  <c r="P514" i="3"/>
  <c r="G578" i="3"/>
  <c r="B628" i="3"/>
  <c r="H433" i="3"/>
  <c r="N502" i="3"/>
  <c r="H33" i="3"/>
  <c r="N369" i="3"/>
  <c r="B503" i="3"/>
  <c r="E7" i="2"/>
  <c r="I545" i="3"/>
  <c r="F470" i="3"/>
  <c r="G58" i="3"/>
  <c r="P25" i="3"/>
  <c r="J284" i="2"/>
  <c r="I461" i="3"/>
  <c r="F463" i="3"/>
  <c r="J464" i="2"/>
  <c r="H115" i="3"/>
  <c r="L463" i="3"/>
  <c r="I416" i="3"/>
  <c r="I291" i="3"/>
  <c r="M486" i="3"/>
  <c r="C318" i="3"/>
  <c r="P249" i="3"/>
  <c r="J576" i="2"/>
  <c r="B45" i="3"/>
  <c r="J477" i="2"/>
  <c r="H88" i="3"/>
  <c r="O38" i="3"/>
  <c r="A407" i="3"/>
  <c r="F116" i="3"/>
  <c r="O391" i="3"/>
  <c r="G304" i="3"/>
  <c r="N73" i="3"/>
  <c r="G592" i="3"/>
  <c r="N402" i="3"/>
  <c r="D205" i="3"/>
  <c r="G318" i="3"/>
  <c r="C54" i="3"/>
  <c r="F215" i="3"/>
  <c r="G53" i="3"/>
  <c r="D241" i="3"/>
  <c r="M621" i="3"/>
  <c r="A25" i="3"/>
  <c r="E537" i="2"/>
  <c r="L486" i="3"/>
  <c r="G167" i="3"/>
  <c r="I195" i="3"/>
  <c r="A460" i="3"/>
  <c r="D224" i="3"/>
  <c r="I585" i="3"/>
  <c r="L303" i="3"/>
  <c r="L386" i="3"/>
  <c r="E404" i="2"/>
  <c r="J297" i="2"/>
  <c r="E563" i="2"/>
  <c r="P156" i="3"/>
  <c r="P64" i="3"/>
  <c r="N231" i="3"/>
  <c r="J329" i="2"/>
  <c r="E319" i="2"/>
  <c r="O615" i="3"/>
  <c r="P92" i="3"/>
  <c r="A13" i="3"/>
  <c r="O29" i="3"/>
  <c r="O466" i="3"/>
  <c r="F519" i="3"/>
  <c r="N396" i="3"/>
  <c r="G249" i="3"/>
  <c r="F595" i="3"/>
  <c r="H82" i="3"/>
  <c r="A83" i="3"/>
  <c r="F513" i="3"/>
  <c r="A486" i="3"/>
  <c r="M191" i="3"/>
  <c r="F59" i="3"/>
  <c r="G499" i="3"/>
  <c r="H406" i="3"/>
  <c r="H102" i="3"/>
  <c r="E550" i="2"/>
  <c r="J205" i="2"/>
  <c r="N72" i="3"/>
  <c r="I367" i="3"/>
  <c r="O50" i="3"/>
  <c r="C315" i="3"/>
  <c r="I614" i="3"/>
  <c r="K467" i="3"/>
  <c r="C219" i="3"/>
  <c r="C201" i="3"/>
  <c r="G49" i="3"/>
  <c r="E71" i="2"/>
  <c r="P361" i="3"/>
  <c r="B61" i="3"/>
  <c r="N634" i="3"/>
  <c r="F231" i="3"/>
  <c r="O361" i="3"/>
  <c r="B247" i="3"/>
  <c r="J510" i="2"/>
  <c r="A344" i="3"/>
  <c r="B420" i="3"/>
  <c r="E86" i="2"/>
  <c r="E411" i="2"/>
  <c r="K302" i="3"/>
  <c r="O561" i="3"/>
  <c r="P147" i="3"/>
  <c r="L438" i="3"/>
  <c r="D348" i="3"/>
  <c r="H633" i="3"/>
  <c r="I446" i="3"/>
  <c r="I253" i="3"/>
  <c r="G464" i="3"/>
  <c r="J126" i="2"/>
  <c r="K160" i="3"/>
  <c r="O316" i="3"/>
  <c r="C503" i="3"/>
  <c r="A74" i="3"/>
  <c r="E571" i="2"/>
  <c r="O237" i="3"/>
  <c r="I466" i="3"/>
  <c r="M62" i="3"/>
  <c r="M318" i="3"/>
  <c r="E422" i="2"/>
  <c r="O425" i="3"/>
  <c r="N541" i="3"/>
  <c r="O59" i="3"/>
  <c r="O331" i="3"/>
  <c r="D466" i="3"/>
  <c r="F235" i="3"/>
  <c r="K429" i="3"/>
  <c r="E11" i="2"/>
  <c r="E126" i="2"/>
  <c r="G54" i="3"/>
  <c r="C568" i="3"/>
  <c r="M281" i="3"/>
  <c r="L367" i="3"/>
  <c r="P23" i="3"/>
  <c r="P72" i="3"/>
  <c r="I95" i="3"/>
  <c r="M423" i="3"/>
  <c r="A105" i="3"/>
  <c r="P49" i="3"/>
  <c r="H508" i="3"/>
  <c r="N9" i="3"/>
  <c r="M385" i="3"/>
  <c r="K31" i="3"/>
  <c r="J460" i="2"/>
  <c r="F181" i="3"/>
  <c r="I533" i="3"/>
  <c r="M448" i="3"/>
  <c r="G399" i="3"/>
  <c r="M297" i="3"/>
  <c r="K304" i="3"/>
  <c r="G111" i="3"/>
  <c r="J253" i="2"/>
  <c r="E535" i="2"/>
  <c r="H199" i="3"/>
  <c r="I484" i="3"/>
  <c r="P441" i="3"/>
  <c r="N259" i="3"/>
  <c r="L264" i="3"/>
  <c r="N382" i="3"/>
  <c r="B552" i="3"/>
  <c r="A350" i="3"/>
  <c r="D531" i="3"/>
  <c r="H46" i="3"/>
  <c r="F267" i="3"/>
  <c r="H446" i="3"/>
  <c r="G14" i="3"/>
  <c r="A366" i="3"/>
  <c r="E211" i="2"/>
  <c r="E20" i="2"/>
  <c r="H90" i="3"/>
  <c r="K66" i="3"/>
  <c r="L262" i="3"/>
  <c r="K273" i="3"/>
  <c r="N439" i="3"/>
  <c r="F384" i="3"/>
  <c r="A400" i="3"/>
  <c r="C114" i="3"/>
  <c r="L168" i="3"/>
  <c r="J118" i="2"/>
  <c r="C469" i="3"/>
  <c r="C424" i="3"/>
  <c r="M494" i="3"/>
  <c r="M638" i="3"/>
  <c r="I90" i="3"/>
  <c r="I472" i="3"/>
  <c r="A431" i="3"/>
  <c r="J480" i="2"/>
  <c r="M552" i="3"/>
  <c r="L95" i="3"/>
  <c r="L14" i="3"/>
  <c r="B441" i="3"/>
  <c r="F603" i="3"/>
  <c r="M177" i="3"/>
  <c r="N94" i="3"/>
  <c r="A333" i="3"/>
  <c r="H202" i="3"/>
  <c r="P247" i="3"/>
  <c r="F428" i="3"/>
  <c r="A594" i="3"/>
  <c r="F6" i="3"/>
  <c r="D125" i="3"/>
  <c r="A411" i="3"/>
  <c r="H4" i="3"/>
  <c r="E485" i="2"/>
  <c r="M409" i="3"/>
  <c r="O444" i="3"/>
  <c r="P335" i="3"/>
  <c r="H289" i="3"/>
  <c r="C243" i="3"/>
  <c r="A234" i="3"/>
  <c r="K197" i="3"/>
  <c r="E183" i="2"/>
  <c r="K400" i="3"/>
  <c r="C380" i="3"/>
  <c r="M433" i="3"/>
  <c r="E73" i="2"/>
  <c r="G366" i="3"/>
  <c r="G61" i="3"/>
  <c r="A80" i="3"/>
  <c r="G178" i="3"/>
  <c r="G88" i="3"/>
  <c r="J73" i="2"/>
  <c r="N289" i="3"/>
  <c r="D296" i="3"/>
  <c r="B617" i="3"/>
  <c r="B566" i="3"/>
  <c r="C111" i="3"/>
  <c r="C500" i="3"/>
  <c r="I205" i="3"/>
  <c r="B551" i="3"/>
  <c r="D618" i="3"/>
  <c r="N266" i="3"/>
  <c r="D601" i="3"/>
  <c r="B288" i="3"/>
  <c r="I524" i="3"/>
  <c r="O128" i="3"/>
  <c r="M386" i="3"/>
  <c r="J161" i="2"/>
  <c r="I394" i="3"/>
  <c r="C306" i="3"/>
  <c r="I540" i="3"/>
  <c r="B7" i="3"/>
  <c r="C482" i="3"/>
  <c r="J589" i="2"/>
  <c r="K113" i="3"/>
  <c r="B280" i="3"/>
  <c r="I166" i="3"/>
  <c r="I215" i="3"/>
  <c r="J87" i="2"/>
  <c r="C200" i="3"/>
  <c r="H200" i="3"/>
  <c r="E395" i="2"/>
  <c r="C458" i="3"/>
  <c r="D436" i="3"/>
  <c r="J16" i="2"/>
  <c r="M282" i="3"/>
  <c r="P212" i="3"/>
  <c r="O30" i="3"/>
  <c r="A22" i="3"/>
  <c r="E164" i="2"/>
  <c r="C197" i="3"/>
  <c r="O79" i="3"/>
  <c r="D84" i="3"/>
  <c r="C390" i="3"/>
  <c r="L120" i="3"/>
  <c r="B573" i="3"/>
  <c r="C524" i="3"/>
  <c r="K581" i="3"/>
  <c r="H341" i="3"/>
  <c r="C30" i="3"/>
  <c r="B528" i="3"/>
  <c r="D416" i="3"/>
  <c r="D455" i="3"/>
  <c r="J22" i="2"/>
  <c r="P202" i="3"/>
  <c r="I445" i="3"/>
  <c r="M336" i="3"/>
  <c r="O638" i="3"/>
  <c r="P106" i="3"/>
  <c r="A514" i="3"/>
  <c r="C283" i="3"/>
  <c r="N440" i="3"/>
  <c r="D31" i="3"/>
  <c r="B549" i="3"/>
  <c r="D140" i="3"/>
  <c r="D176" i="3"/>
  <c r="O73" i="3"/>
  <c r="C391" i="3"/>
  <c r="J262" i="2"/>
  <c r="D265" i="3"/>
  <c r="I273" i="3"/>
  <c r="G614" i="3"/>
  <c r="C393" i="3"/>
  <c r="L457" i="3"/>
  <c r="K73" i="3"/>
  <c r="C208" i="3"/>
  <c r="L331" i="3"/>
  <c r="C600" i="3"/>
  <c r="G402" i="3"/>
  <c r="N96" i="3"/>
  <c r="B143" i="3"/>
  <c r="N413" i="3"/>
  <c r="P185" i="3"/>
  <c r="K156" i="3"/>
  <c r="B606" i="3"/>
  <c r="P311" i="3"/>
  <c r="M38" i="3"/>
  <c r="C640" i="3"/>
  <c r="D239" i="3"/>
  <c r="M160" i="3"/>
  <c r="K209" i="3"/>
  <c r="I247" i="3"/>
  <c r="N27" i="3"/>
  <c r="N585" i="3"/>
  <c r="D100" i="3"/>
  <c r="L197" i="3"/>
  <c r="D166" i="3"/>
  <c r="P608" i="3"/>
  <c r="E272" i="2"/>
  <c r="J635" i="2"/>
  <c r="H610" i="3"/>
  <c r="F362" i="3"/>
  <c r="D379" i="3"/>
  <c r="P155" i="3"/>
  <c r="H478" i="3"/>
  <c r="D222" i="3"/>
  <c r="C592" i="3"/>
  <c r="G392" i="3"/>
  <c r="I157" i="3"/>
  <c r="A300" i="3"/>
  <c r="D470" i="3"/>
  <c r="D165" i="3"/>
  <c r="D43" i="3"/>
  <c r="E589" i="2"/>
  <c r="P404" i="3"/>
  <c r="O555" i="3"/>
  <c r="D625" i="3"/>
  <c r="L36" i="3"/>
  <c r="B610" i="3"/>
  <c r="L83" i="3"/>
  <c r="B225" i="3"/>
  <c r="G438" i="3"/>
  <c r="M111" i="3"/>
  <c r="N276" i="3"/>
  <c r="I358" i="3"/>
  <c r="O181" i="3"/>
  <c r="N139" i="3"/>
  <c r="K388" i="3"/>
  <c r="O267" i="3"/>
  <c r="L25" i="3"/>
  <c r="C420" i="3"/>
  <c r="P639" i="3"/>
  <c r="L308" i="3"/>
  <c r="D310" i="3"/>
  <c r="P243" i="3"/>
  <c r="H490" i="3"/>
  <c r="M70" i="3"/>
  <c r="L639" i="3"/>
  <c r="K176" i="3"/>
  <c r="G130" i="3"/>
  <c r="I36" i="3"/>
  <c r="K96" i="3"/>
  <c r="D396" i="3"/>
  <c r="F271" i="3"/>
  <c r="N130" i="3"/>
  <c r="D484" i="3"/>
  <c r="D105" i="3"/>
  <c r="I581" i="3"/>
  <c r="J541" i="2"/>
  <c r="P227" i="3"/>
  <c r="K105" i="3"/>
  <c r="I498" i="3"/>
  <c r="C105" i="3"/>
  <c r="P174" i="3"/>
  <c r="A433" i="3"/>
  <c r="F405" i="3"/>
  <c r="M168" i="3"/>
  <c r="B468" i="3"/>
  <c r="F640" i="3"/>
  <c r="G454" i="3"/>
  <c r="O497" i="3"/>
  <c r="M353" i="3"/>
  <c r="E3" i="2"/>
  <c r="C278" i="3"/>
  <c r="K532" i="3"/>
  <c r="G256" i="3"/>
  <c r="J98" i="2"/>
  <c r="F255" i="3"/>
  <c r="E512" i="2"/>
  <c r="H345" i="3"/>
  <c r="C633" i="3"/>
  <c r="B636" i="3"/>
  <c r="H259" i="3"/>
  <c r="P168" i="3"/>
  <c r="N598" i="3"/>
  <c r="L232" i="3"/>
  <c r="K247" i="3"/>
  <c r="N590" i="3"/>
  <c r="O230" i="3"/>
  <c r="E186" i="2"/>
  <c r="A337" i="3"/>
  <c r="L495" i="3"/>
  <c r="H74" i="3"/>
  <c r="B94" i="3"/>
  <c r="N220" i="3"/>
  <c r="H536" i="3"/>
  <c r="C142" i="3"/>
  <c r="N509" i="3"/>
  <c r="J150" i="2"/>
  <c r="L78" i="3"/>
  <c r="J413" i="2"/>
  <c r="C324" i="3"/>
  <c r="M123" i="3"/>
  <c r="J483" i="2"/>
  <c r="P630" i="3"/>
  <c r="H535" i="3"/>
  <c r="N194" i="3"/>
  <c r="J24" i="2"/>
  <c r="E361" i="2"/>
  <c r="E245" i="2"/>
  <c r="B58" i="3"/>
  <c r="C116" i="3"/>
  <c r="G302" i="3"/>
  <c r="G301" i="3"/>
  <c r="I123" i="3"/>
  <c r="N484" i="3"/>
  <c r="G59" i="3"/>
  <c r="O88" i="3"/>
  <c r="O258" i="3"/>
  <c r="F161" i="3"/>
  <c r="O105" i="3"/>
  <c r="N499" i="3"/>
  <c r="H26" i="3"/>
  <c r="E531" i="2"/>
  <c r="H596" i="3"/>
  <c r="O78" i="3"/>
  <c r="E292" i="2"/>
  <c r="P137" i="3"/>
  <c r="F494" i="3"/>
  <c r="I88" i="3"/>
  <c r="P45" i="3"/>
  <c r="I145" i="3"/>
  <c r="O233" i="3"/>
  <c r="K536" i="3"/>
  <c r="E260" i="2"/>
  <c r="C131" i="3"/>
  <c r="I153" i="3"/>
  <c r="C17" i="3"/>
  <c r="E402" i="2"/>
  <c r="I536" i="3"/>
  <c r="I419" i="3"/>
  <c r="M97" i="3"/>
  <c r="L523" i="3"/>
  <c r="K340" i="3"/>
  <c r="M639" i="3"/>
  <c r="C136" i="3"/>
  <c r="B323" i="3"/>
  <c r="O199" i="3"/>
  <c r="O439" i="3"/>
  <c r="E384" i="2"/>
  <c r="I429" i="3"/>
  <c r="E119" i="2"/>
  <c r="P418" i="3"/>
  <c r="G396" i="3"/>
  <c r="F245" i="3"/>
  <c r="D259" i="3"/>
  <c r="P513" i="3"/>
  <c r="E69" i="2"/>
  <c r="I269" i="3"/>
  <c r="H380" i="3"/>
  <c r="F378" i="3"/>
  <c r="F421" i="3"/>
  <c r="C567" i="3"/>
  <c r="K436" i="3"/>
  <c r="I418" i="3"/>
  <c r="N488" i="3"/>
  <c r="K412" i="3"/>
  <c r="E230" i="2"/>
  <c r="F154" i="3"/>
  <c r="H375" i="3"/>
  <c r="B43" i="3"/>
  <c r="B626" i="3"/>
  <c r="C429" i="3"/>
  <c r="C65" i="3"/>
  <c r="K570" i="3"/>
  <c r="N190" i="3"/>
  <c r="C423" i="3"/>
  <c r="N326" i="3"/>
  <c r="N306" i="3"/>
  <c r="E398" i="2"/>
  <c r="N514" i="3"/>
  <c r="I542" i="3"/>
  <c r="K310" i="3"/>
  <c r="A555" i="3"/>
  <c r="F156" i="3"/>
  <c r="J12" i="2"/>
  <c r="H469" i="3"/>
  <c r="G620" i="3"/>
  <c r="P172" i="3"/>
  <c r="P569" i="3"/>
  <c r="M205" i="3"/>
  <c r="G82" i="3"/>
  <c r="F104" i="3"/>
  <c r="G361" i="3"/>
  <c r="P61" i="3"/>
  <c r="K518" i="3"/>
  <c r="N531" i="3"/>
  <c r="I304" i="3"/>
  <c r="K604" i="3"/>
  <c r="N223" i="3"/>
  <c r="M151" i="3"/>
  <c r="J419" i="2"/>
  <c r="B234" i="3"/>
  <c r="O69" i="3"/>
  <c r="E474" i="2"/>
  <c r="F90" i="3"/>
  <c r="A405" i="3"/>
  <c r="N204" i="3"/>
  <c r="B298" i="3"/>
  <c r="H411" i="3"/>
  <c r="N335" i="3"/>
  <c r="M482" i="3"/>
  <c r="J255" i="2"/>
  <c r="L86" i="3"/>
  <c r="C72" i="3"/>
  <c r="K254" i="3"/>
  <c r="F619" i="3"/>
  <c r="G47" i="3"/>
  <c r="J475" i="2"/>
  <c r="H158" i="3"/>
  <c r="J388" i="2"/>
  <c r="A131" i="3"/>
  <c r="P43" i="3"/>
  <c r="H342" i="3"/>
  <c r="M428" i="3"/>
  <c r="J594" i="2"/>
  <c r="M161" i="3"/>
  <c r="M148" i="3"/>
  <c r="M108" i="3"/>
  <c r="L608" i="3"/>
  <c r="L363" i="3"/>
  <c r="B260" i="3"/>
  <c r="K71" i="3"/>
  <c r="H305" i="3"/>
  <c r="G281" i="3"/>
  <c r="H237" i="3"/>
  <c r="M227" i="3"/>
  <c r="E357" i="2"/>
  <c r="O262" i="3"/>
  <c r="E284" i="2"/>
  <c r="F541" i="3"/>
  <c r="K276" i="3"/>
  <c r="N200" i="3"/>
  <c r="A547" i="3"/>
  <c r="L377" i="3"/>
  <c r="J624" i="2"/>
  <c r="N513" i="3"/>
  <c r="M628" i="3"/>
  <c r="F327" i="3"/>
  <c r="G626" i="3"/>
  <c r="B104" i="3"/>
  <c r="A95" i="3"/>
  <c r="J583" i="2"/>
  <c r="O456" i="3"/>
  <c r="M200" i="3"/>
  <c r="M174" i="3"/>
  <c r="N13" i="3"/>
  <c r="K342" i="3"/>
  <c r="N597" i="3"/>
  <c r="P165" i="3"/>
  <c r="A563" i="3"/>
  <c r="L85" i="3"/>
  <c r="P555" i="3"/>
  <c r="F128" i="3"/>
  <c r="L191" i="3"/>
  <c r="H579" i="3"/>
  <c r="B459" i="3"/>
  <c r="L109" i="3"/>
  <c r="J587" i="2"/>
  <c r="M194" i="3"/>
  <c r="J270" i="2"/>
  <c r="C189" i="3"/>
  <c r="L32" i="3"/>
  <c r="N584" i="3"/>
  <c r="I493" i="3"/>
  <c r="J11" i="2"/>
  <c r="D380" i="3"/>
  <c r="A219" i="3"/>
  <c r="N614" i="3"/>
  <c r="C160" i="3"/>
  <c r="M405" i="3"/>
  <c r="B513" i="3"/>
  <c r="N288" i="3"/>
  <c r="H131" i="3"/>
  <c r="D496" i="3"/>
  <c r="B505" i="3"/>
  <c r="B10" i="3"/>
  <c r="L278" i="3"/>
  <c r="G443" i="3"/>
  <c r="L585" i="3"/>
  <c r="J639" i="2"/>
  <c r="O33" i="3"/>
  <c r="M540" i="3"/>
  <c r="O14" i="3"/>
  <c r="F383" i="3"/>
  <c r="B122" i="3"/>
  <c r="P126" i="3"/>
  <c r="H312" i="3"/>
  <c r="L543" i="3"/>
  <c r="D562" i="3"/>
  <c r="P428" i="3"/>
  <c r="B544" i="3"/>
  <c r="L282" i="3"/>
  <c r="M460" i="3"/>
  <c r="K522" i="3"/>
  <c r="H98" i="3"/>
  <c r="M50" i="3"/>
  <c r="F446" i="3"/>
  <c r="A169" i="3"/>
  <c r="M425" i="3"/>
  <c r="C176" i="3"/>
  <c r="G87" i="3"/>
  <c r="I468" i="3"/>
  <c r="H453" i="3"/>
  <c r="C83" i="3"/>
  <c r="P413" i="3"/>
  <c r="B351" i="3"/>
  <c r="G317" i="3"/>
  <c r="J291" i="2"/>
  <c r="I354" i="3"/>
  <c r="B353" i="3"/>
  <c r="J258" i="2"/>
  <c r="M613" i="3"/>
  <c r="H241" i="3"/>
  <c r="E363" i="2"/>
  <c r="C106" i="3"/>
  <c r="I401" i="3"/>
  <c r="K403" i="3"/>
  <c r="O264" i="3"/>
  <c r="G295" i="3"/>
  <c r="J99" i="2"/>
  <c r="B47" i="3"/>
  <c r="M605" i="3"/>
  <c r="O379" i="3"/>
  <c r="J54" i="2"/>
  <c r="C355" i="3"/>
  <c r="D249" i="3"/>
  <c r="I71" i="3"/>
  <c r="N556" i="3"/>
  <c r="K407" i="3"/>
  <c r="C179" i="3"/>
  <c r="A207" i="3"/>
  <c r="A24" i="3"/>
  <c r="D343" i="3"/>
  <c r="K620" i="3"/>
  <c r="J57" i="2"/>
  <c r="E546" i="2"/>
  <c r="P305" i="3"/>
  <c r="C400" i="3"/>
  <c r="K163" i="3"/>
  <c r="O621" i="3"/>
  <c r="A265" i="3"/>
  <c r="G78" i="3"/>
  <c r="B629" i="3"/>
  <c r="I158" i="3"/>
  <c r="D465" i="3"/>
  <c r="G194" i="3"/>
  <c r="A165" i="3"/>
  <c r="J487" i="2"/>
  <c r="B132" i="3"/>
  <c r="C26" i="3"/>
  <c r="I396" i="3"/>
  <c r="P254" i="3"/>
  <c r="H160" i="3"/>
  <c r="B90" i="3"/>
  <c r="M126" i="3"/>
  <c r="K366" i="3"/>
  <c r="P411" i="3"/>
  <c r="B392" i="3"/>
  <c r="O28" i="3"/>
  <c r="J124" i="2"/>
  <c r="C154" i="3"/>
  <c r="F631" i="3"/>
  <c r="D14" i="3"/>
  <c r="A447" i="3"/>
  <c r="H230" i="3"/>
  <c r="B231" i="3"/>
  <c r="K257" i="3"/>
  <c r="P206" i="3"/>
  <c r="P507" i="3"/>
  <c r="E10" i="2"/>
  <c r="C529" i="3"/>
  <c r="E441" i="2"/>
  <c r="N255" i="3"/>
  <c r="E338" i="2"/>
  <c r="E171" i="2"/>
  <c r="J640" i="2"/>
  <c r="B602" i="3"/>
  <c r="I407" i="3"/>
  <c r="K183" i="3"/>
  <c r="F188" i="3"/>
  <c r="C610" i="3"/>
  <c r="C267" i="3"/>
  <c r="M602" i="3"/>
  <c r="M37" i="3"/>
  <c r="B369" i="3"/>
  <c r="O254" i="3"/>
  <c r="I344" i="3"/>
  <c r="D131" i="3"/>
  <c r="K130" i="3"/>
  <c r="F484" i="3"/>
  <c r="H209" i="3"/>
  <c r="K18" i="3"/>
  <c r="H213" i="3"/>
  <c r="G568" i="3"/>
  <c r="B500" i="3"/>
  <c r="O427" i="3"/>
  <c r="C409" i="3"/>
  <c r="B202" i="3"/>
  <c r="C47" i="3"/>
  <c r="B509" i="3"/>
  <c r="C627" i="3"/>
  <c r="D63" i="3"/>
  <c r="C80" i="3"/>
  <c r="P585" i="3"/>
  <c r="E495" i="2"/>
  <c r="B414" i="3"/>
  <c r="A26" i="3"/>
  <c r="P12" i="3"/>
  <c r="B438" i="3"/>
  <c r="L251" i="3"/>
  <c r="G213" i="3"/>
  <c r="O229" i="3"/>
  <c r="H409" i="3"/>
  <c r="A9" i="3"/>
  <c r="C2" i="3"/>
  <c r="O106" i="3"/>
  <c r="D289" i="3"/>
  <c r="D448" i="3"/>
  <c r="M340" i="3"/>
  <c r="M636" i="3"/>
  <c r="C622" i="3"/>
  <c r="C129" i="3"/>
  <c r="H370" i="3"/>
  <c r="F382" i="3"/>
  <c r="A21" i="3"/>
  <c r="O627" i="3"/>
  <c r="B398" i="3"/>
  <c r="G605" i="3"/>
  <c r="H635" i="3"/>
  <c r="N539" i="3"/>
  <c r="A491" i="3"/>
  <c r="H480" i="3"/>
  <c r="H292" i="3"/>
  <c r="B248" i="3"/>
  <c r="H606" i="3"/>
  <c r="N183" i="3"/>
  <c r="P297" i="3"/>
  <c r="I431" i="3"/>
  <c r="F508" i="3"/>
  <c r="M269" i="3"/>
  <c r="B95" i="3"/>
  <c r="H85" i="3"/>
  <c r="E43" i="2"/>
  <c r="O556" i="3"/>
  <c r="L582" i="3"/>
  <c r="C527" i="3"/>
  <c r="I449" i="3"/>
  <c r="J600" i="2"/>
  <c r="I638" i="3"/>
  <c r="K187" i="3"/>
  <c r="H410" i="3"/>
  <c r="L437" i="3"/>
  <c r="D27" i="3"/>
  <c r="I41" i="3"/>
  <c r="K173" i="3"/>
  <c r="B385" i="3"/>
  <c r="B630" i="3"/>
  <c r="P84" i="3"/>
  <c r="G68" i="3"/>
  <c r="J470" i="2"/>
  <c r="F620" i="3"/>
  <c r="B268" i="3"/>
  <c r="G490" i="3"/>
  <c r="F582" i="3"/>
  <c r="K550" i="3"/>
  <c r="M145" i="3"/>
  <c r="A247" i="3"/>
  <c r="A388" i="3"/>
  <c r="I105" i="3"/>
  <c r="K288" i="3"/>
  <c r="G32" i="3"/>
  <c r="O165" i="3"/>
  <c r="C387" i="3"/>
  <c r="B293" i="3"/>
  <c r="N122" i="3"/>
  <c r="B285" i="3"/>
  <c r="G184" i="3"/>
  <c r="O455" i="3"/>
  <c r="F166" i="3"/>
  <c r="C346" i="3"/>
  <c r="L236" i="3"/>
  <c r="I55" i="3"/>
  <c r="L606" i="3"/>
  <c r="F388" i="3"/>
  <c r="G250" i="3"/>
  <c r="F178" i="3"/>
  <c r="E107" i="2"/>
  <c r="H421" i="3"/>
  <c r="J170" i="2"/>
  <c r="G188" i="3"/>
  <c r="P132" i="3"/>
  <c r="D445" i="3"/>
  <c r="B131" i="3"/>
  <c r="E508" i="2"/>
  <c r="M196" i="3"/>
  <c r="I617" i="3"/>
  <c r="N189" i="3"/>
  <c r="M444" i="3"/>
  <c r="B364" i="3"/>
  <c r="P586" i="3"/>
  <c r="N83" i="3"/>
  <c r="J58" i="2"/>
  <c r="L571" i="3"/>
  <c r="I610" i="3"/>
  <c r="N146" i="3"/>
  <c r="K487" i="3"/>
  <c r="M311" i="3"/>
  <c r="A605" i="3"/>
  <c r="L22" i="3"/>
  <c r="N300" i="3"/>
  <c r="G373" i="3"/>
  <c r="E237" i="2"/>
  <c r="B553" i="3"/>
  <c r="O251" i="3"/>
  <c r="I490" i="3"/>
  <c r="O218" i="3"/>
  <c r="J239" i="2"/>
  <c r="C155" i="3"/>
  <c r="L589" i="3"/>
  <c r="G447" i="3"/>
  <c r="G171" i="3"/>
  <c r="C551" i="3"/>
  <c r="M333" i="3"/>
  <c r="E522" i="2"/>
  <c r="E41" i="2"/>
  <c r="L310" i="3"/>
  <c r="F83" i="3"/>
  <c r="B426" i="3"/>
  <c r="F145" i="3"/>
  <c r="K328" i="3"/>
  <c r="A616" i="3"/>
  <c r="J354" i="2"/>
  <c r="I317" i="3"/>
  <c r="M286" i="3"/>
  <c r="N522" i="3"/>
  <c r="K274" i="3"/>
  <c r="L294" i="3"/>
  <c r="K2" i="3"/>
  <c r="B347" i="3"/>
  <c r="A520" i="3"/>
  <c r="G69" i="3"/>
  <c r="P359" i="3"/>
  <c r="I240" i="3"/>
  <c r="I194" i="3"/>
  <c r="F624" i="3"/>
  <c r="O460" i="3"/>
  <c r="L353" i="3"/>
  <c r="L305" i="3"/>
  <c r="K213" i="3"/>
  <c r="M480" i="3"/>
  <c r="M611" i="3"/>
  <c r="A474" i="3"/>
  <c r="H398" i="3"/>
  <c r="A519" i="3"/>
  <c r="I555" i="3"/>
  <c r="P135" i="3"/>
  <c r="K225" i="3"/>
  <c r="M80" i="3"/>
  <c r="O291" i="3"/>
  <c r="H382" i="3"/>
  <c r="N173" i="3"/>
  <c r="K299" i="3"/>
  <c r="C188" i="3"/>
  <c r="A79" i="3"/>
  <c r="G567" i="3"/>
  <c r="E33" i="2"/>
  <c r="K114" i="3"/>
  <c r="K38" i="3"/>
  <c r="E423" i="2"/>
  <c r="I476" i="3"/>
  <c r="A235" i="3"/>
  <c r="G556" i="3"/>
  <c r="G190" i="3"/>
  <c r="D26" i="3"/>
  <c r="J517" i="2"/>
  <c r="C626" i="3"/>
  <c r="O377" i="3"/>
  <c r="J457" i="2"/>
  <c r="E316" i="2"/>
  <c r="E222" i="2"/>
  <c r="N82" i="3"/>
  <c r="P492" i="3"/>
  <c r="J540" i="2"/>
  <c r="E291" i="2"/>
  <c r="H601" i="3"/>
  <c r="G359" i="3"/>
  <c r="M127" i="3"/>
  <c r="A525" i="3"/>
  <c r="A629" i="3"/>
  <c r="B23" i="3"/>
  <c r="H624" i="3"/>
  <c r="A35" i="3"/>
  <c r="N251" i="3"/>
  <c r="H489" i="3"/>
  <c r="J146" i="2"/>
  <c r="K307" i="3"/>
  <c r="H422" i="3"/>
  <c r="P545" i="3"/>
  <c r="P110" i="3"/>
  <c r="F78" i="3"/>
  <c r="I83" i="3"/>
  <c r="F177" i="3"/>
  <c r="E105" i="2"/>
  <c r="G223" i="3"/>
  <c r="N2" i="3"/>
  <c r="L430" i="3"/>
  <c r="D61" i="3"/>
  <c r="D2" i="3"/>
  <c r="K264" i="3"/>
  <c r="M594" i="3"/>
  <c r="O151" i="3"/>
  <c r="I543" i="3"/>
  <c r="O298" i="3"/>
  <c r="I204" i="3"/>
  <c r="M131" i="3"/>
  <c r="N586" i="3"/>
  <c r="K37" i="3"/>
  <c r="A159" i="3"/>
  <c r="I422" i="3"/>
  <c r="L598" i="3"/>
  <c r="E273" i="2"/>
  <c r="J441" i="2"/>
  <c r="E340" i="2"/>
  <c r="J506" i="2"/>
  <c r="I19" i="3"/>
  <c r="L162" i="3"/>
  <c r="P584" i="3"/>
  <c r="E220" i="2"/>
  <c r="N412" i="3"/>
  <c r="B587" i="3"/>
  <c r="E536" i="2"/>
  <c r="O372" i="3"/>
  <c r="F548" i="3"/>
  <c r="G607" i="3"/>
  <c r="A611" i="3"/>
  <c r="K322" i="3"/>
  <c r="H177" i="3"/>
  <c r="I199" i="3"/>
  <c r="K639" i="3"/>
  <c r="M207" i="3"/>
  <c r="I282" i="3"/>
  <c r="C565" i="3"/>
  <c r="F274" i="3"/>
  <c r="H180" i="3"/>
  <c r="C214" i="3"/>
  <c r="D447" i="3"/>
  <c r="B530" i="3"/>
  <c r="O231" i="3"/>
  <c r="A180" i="3"/>
  <c r="D511" i="3"/>
  <c r="P194" i="3"/>
  <c r="A582" i="3"/>
  <c r="N344" i="3"/>
  <c r="A139" i="3"/>
  <c r="N533" i="3"/>
  <c r="C69" i="3"/>
  <c r="M226" i="3"/>
  <c r="M541" i="3"/>
  <c r="C328" i="3"/>
  <c r="D182" i="3"/>
  <c r="P210" i="3"/>
  <c r="J311" i="2"/>
  <c r="C494" i="3"/>
  <c r="E129" i="2"/>
  <c r="P233" i="3"/>
  <c r="E145" i="2"/>
  <c r="H573" i="3"/>
  <c r="L183" i="3"/>
  <c r="L378" i="3"/>
  <c r="P179" i="3"/>
  <c r="A439" i="3"/>
  <c r="O610" i="3"/>
  <c r="O325" i="3"/>
  <c r="E150" i="2"/>
  <c r="K177" i="3"/>
  <c r="H603" i="3"/>
  <c r="O424" i="3"/>
  <c r="E527" i="2"/>
  <c r="L180" i="3"/>
  <c r="J490" i="2"/>
  <c r="J539" i="2"/>
  <c r="L170" i="3"/>
  <c r="I611" i="3"/>
  <c r="K572" i="3"/>
  <c r="M604" i="3"/>
  <c r="E182" i="2"/>
  <c r="A206" i="3"/>
  <c r="L35" i="3"/>
  <c r="H101" i="3"/>
  <c r="H204" i="3"/>
  <c r="I24" i="3"/>
  <c r="I84" i="3"/>
  <c r="B276" i="3"/>
  <c r="F252" i="3"/>
  <c r="F151" i="3"/>
  <c r="K168" i="3"/>
  <c r="I639" i="3"/>
  <c r="F447" i="3"/>
  <c r="A524" i="3"/>
  <c r="E442" i="2"/>
  <c r="G477" i="3"/>
  <c r="G630" i="3"/>
  <c r="F133" i="3"/>
  <c r="E223" i="2"/>
  <c r="E177" i="2"/>
  <c r="L604" i="3"/>
  <c r="B342" i="3"/>
  <c r="E482" i="2"/>
  <c r="E208" i="2"/>
  <c r="K404" i="3"/>
  <c r="P390" i="3"/>
  <c r="K370" i="3"/>
  <c r="C249" i="3"/>
  <c r="E608" i="2"/>
  <c r="P164" i="3"/>
  <c r="B129" i="3"/>
  <c r="A210" i="3"/>
  <c r="E302" i="2"/>
  <c r="J410" i="2"/>
  <c r="O479" i="3"/>
  <c r="J208" i="2"/>
  <c r="D592" i="3"/>
  <c r="J244" i="2"/>
  <c r="O386" i="3"/>
  <c r="G288" i="3"/>
  <c r="D260" i="3"/>
  <c r="I308" i="3"/>
  <c r="D274" i="3"/>
  <c r="E561" i="2"/>
  <c r="B177" i="3"/>
  <c r="D333" i="3"/>
  <c r="K161" i="3"/>
  <c r="K216" i="3"/>
  <c r="A102" i="3"/>
  <c r="D320" i="3"/>
  <c r="L541" i="3"/>
  <c r="K99" i="3"/>
  <c r="A591" i="3"/>
  <c r="C299" i="3"/>
  <c r="B182" i="3"/>
  <c r="I477" i="3"/>
  <c r="L30" i="3"/>
  <c r="E56" i="2"/>
  <c r="E25" i="2"/>
  <c r="B368" i="3"/>
  <c r="J565" i="2"/>
  <c r="D234" i="3"/>
  <c r="I455" i="3"/>
  <c r="L12" i="3"/>
  <c r="B290" i="3"/>
  <c r="M48" i="3"/>
  <c r="N81" i="3"/>
  <c r="E348" i="2"/>
  <c r="I481" i="3"/>
  <c r="I249" i="3"/>
  <c r="N371" i="3"/>
  <c r="B96" i="3"/>
  <c r="A532" i="3"/>
  <c r="I404" i="3"/>
  <c r="K129" i="3"/>
  <c r="C487" i="3"/>
  <c r="I62" i="3"/>
  <c r="B269" i="3"/>
  <c r="G611" i="3"/>
  <c r="D542" i="3"/>
  <c r="E490" i="2"/>
  <c r="D520" i="3"/>
  <c r="P122" i="3"/>
  <c r="C581" i="3"/>
  <c r="F527" i="3"/>
  <c r="I244" i="3"/>
  <c r="B228" i="3"/>
  <c r="L268" i="3"/>
  <c r="N291" i="3"/>
  <c r="C314" i="3"/>
  <c r="P620" i="3"/>
  <c r="K224" i="3"/>
  <c r="P434" i="3"/>
  <c r="J317" i="2"/>
  <c r="B464" i="3"/>
  <c r="P386" i="3"/>
  <c r="N629" i="3"/>
  <c r="D444" i="3"/>
  <c r="B580" i="3"/>
  <c r="F63" i="3"/>
  <c r="A33" i="3"/>
  <c r="F170" i="3"/>
  <c r="C606" i="3"/>
  <c r="K546" i="3"/>
  <c r="P560" i="3"/>
  <c r="K448" i="3"/>
  <c r="K493" i="3"/>
  <c r="I245" i="3"/>
  <c r="N383" i="3"/>
  <c r="D421" i="3"/>
  <c r="C95" i="3"/>
  <c r="H565" i="3"/>
  <c r="F12" i="3"/>
  <c r="F191" i="3"/>
  <c r="C8" i="3"/>
  <c r="I60" i="3"/>
  <c r="H420" i="3"/>
  <c r="G471" i="3"/>
  <c r="L638" i="3"/>
  <c r="E426" i="2"/>
  <c r="F61" i="3"/>
  <c r="K369" i="3"/>
  <c r="M543" i="3"/>
  <c r="J408" i="2"/>
  <c r="N322" i="3"/>
  <c r="N19" i="3"/>
  <c r="O9" i="3"/>
  <c r="I334" i="3"/>
  <c r="I593" i="3"/>
  <c r="L466" i="3"/>
  <c r="G80" i="3"/>
  <c r="L449" i="3"/>
  <c r="M162" i="3"/>
  <c r="N250" i="3"/>
  <c r="L202" i="3"/>
  <c r="F259" i="3"/>
  <c r="A617" i="3"/>
  <c r="P333" i="3"/>
  <c r="F566" i="3"/>
  <c r="C158" i="3"/>
  <c r="G434" i="3"/>
  <c r="A507" i="3"/>
  <c r="L427" i="3"/>
  <c r="P289" i="3"/>
  <c r="H500" i="3"/>
  <c r="P232" i="3"/>
  <c r="K251" i="3"/>
  <c r="J530" i="2"/>
  <c r="D228" i="3"/>
  <c r="M493" i="3"/>
  <c r="N119" i="3"/>
  <c r="M31" i="3"/>
  <c r="N113" i="3"/>
  <c r="N395" i="3"/>
  <c r="N293" i="3"/>
  <c r="I388" i="3"/>
  <c r="K120" i="3"/>
  <c r="I471" i="3"/>
  <c r="H327" i="3"/>
  <c r="N490" i="3"/>
  <c r="M511" i="3"/>
  <c r="G232" i="3"/>
  <c r="H402" i="3"/>
  <c r="P538" i="3"/>
  <c r="C271" i="3"/>
  <c r="D246" i="3"/>
  <c r="L559" i="3"/>
  <c r="N52" i="3"/>
  <c r="P497" i="3"/>
  <c r="C225" i="3"/>
  <c r="E525" i="2"/>
  <c r="B56" i="3"/>
  <c r="H498" i="3"/>
  <c r="P228" i="3"/>
  <c r="E268" i="2"/>
  <c r="L504" i="3"/>
  <c r="K625" i="3"/>
  <c r="P284" i="3"/>
  <c r="C81" i="3"/>
  <c r="E16" i="2"/>
  <c r="L447" i="3"/>
  <c r="L522" i="3"/>
  <c r="O307" i="3"/>
  <c r="D488" i="3"/>
  <c r="C629" i="3"/>
  <c r="P537" i="3"/>
  <c r="M304" i="3"/>
  <c r="K615" i="3"/>
  <c r="P241" i="3"/>
  <c r="G118" i="3"/>
  <c r="E207" i="2"/>
  <c r="D563" i="3"/>
  <c r="I591" i="3"/>
  <c r="J266" i="2"/>
  <c r="L133" i="3"/>
  <c r="P502" i="3"/>
  <c r="M36" i="3"/>
  <c r="A316" i="3"/>
  <c r="A160" i="3"/>
  <c r="H35" i="3"/>
  <c r="I297" i="3"/>
  <c r="N236" i="3"/>
  <c r="E77" i="2"/>
  <c r="D92" i="3"/>
  <c r="F622" i="3"/>
  <c r="J423" i="2"/>
  <c r="P313" i="3"/>
  <c r="E154" i="2"/>
  <c r="P529" i="3"/>
  <c r="E179" i="2"/>
  <c r="P489" i="3"/>
  <c r="L135" i="3"/>
  <c r="K50" i="3"/>
  <c r="P417" i="3"/>
  <c r="C358" i="3"/>
  <c r="B433" i="3"/>
  <c r="E187" i="2"/>
  <c r="A623" i="3"/>
  <c r="L411" i="3"/>
  <c r="F501" i="3"/>
  <c r="A354" i="3"/>
  <c r="N88" i="3"/>
  <c r="P462" i="3"/>
  <c r="M257" i="3"/>
  <c r="E447" i="2"/>
  <c r="I9" i="3"/>
  <c r="O637" i="3"/>
  <c r="H232" i="3"/>
  <c r="C242" i="3"/>
  <c r="O170" i="3"/>
  <c r="G462" i="3"/>
  <c r="L622" i="3"/>
  <c r="I159" i="3"/>
  <c r="J361" i="2"/>
  <c r="J64" i="2"/>
  <c r="K557" i="3"/>
  <c r="K390" i="3"/>
  <c r="F60" i="3"/>
  <c r="H592" i="3"/>
  <c r="K249" i="3"/>
  <c r="E604" i="2"/>
  <c r="L203" i="3"/>
  <c r="M27" i="3"/>
  <c r="C257" i="3"/>
  <c r="J629" i="2"/>
  <c r="P597" i="3"/>
  <c r="P221" i="3"/>
  <c r="M225" i="3"/>
  <c r="P549" i="3"/>
  <c r="M64" i="3"/>
  <c r="J184" i="2"/>
  <c r="H269" i="3"/>
  <c r="L316" i="3"/>
  <c r="L67" i="3"/>
  <c r="E518" i="2"/>
  <c r="N227" i="3"/>
  <c r="M510" i="3"/>
  <c r="I631" i="3"/>
  <c r="A487" i="3"/>
  <c r="A220" i="3"/>
  <c r="L302" i="3"/>
  <c r="P347" i="3"/>
  <c r="H456" i="3"/>
  <c r="B448" i="3"/>
  <c r="G209" i="3"/>
  <c r="C244" i="3"/>
  <c r="E436" i="2"/>
  <c r="A323" i="3"/>
  <c r="I348" i="3"/>
  <c r="E431" i="2"/>
  <c r="N497" i="3"/>
  <c r="L200" i="3"/>
  <c r="C502" i="3"/>
  <c r="J140" i="2"/>
  <c r="M237" i="3"/>
  <c r="E488" i="2"/>
  <c r="F186" i="3"/>
  <c r="G243" i="3"/>
  <c r="J564" i="2"/>
  <c r="A56" i="3"/>
  <c r="B110" i="3"/>
  <c r="A438" i="3"/>
  <c r="D50" i="3"/>
  <c r="J370" i="2"/>
  <c r="J362" i="2"/>
  <c r="M159" i="3"/>
  <c r="B432" i="3"/>
  <c r="F190" i="3"/>
  <c r="I191" i="3"/>
  <c r="M487" i="3"/>
  <c r="I399" i="3"/>
  <c r="A434" i="3"/>
  <c r="K462" i="3"/>
  <c r="B102" i="3"/>
  <c r="F199" i="3"/>
  <c r="N482" i="3"/>
  <c r="N131" i="3"/>
  <c r="C480" i="3"/>
  <c r="I544" i="3"/>
  <c r="E394" i="2"/>
  <c r="K473" i="3"/>
  <c r="A297" i="3"/>
  <c r="O353" i="3"/>
  <c r="G514" i="3"/>
  <c r="I220" i="3"/>
  <c r="O347" i="3"/>
  <c r="A151" i="3"/>
  <c r="I87" i="3"/>
  <c r="J91" i="2"/>
  <c r="N213" i="3"/>
  <c r="G481" i="3"/>
  <c r="P496" i="3"/>
  <c r="H198" i="3"/>
  <c r="F552" i="3"/>
  <c r="A261" i="3"/>
  <c r="I373" i="3"/>
  <c r="L397" i="3"/>
  <c r="N25" i="3"/>
  <c r="K343" i="3"/>
  <c r="A442" i="3"/>
  <c r="L42" i="3"/>
  <c r="N527" i="3"/>
  <c r="B82" i="3"/>
  <c r="F414" i="3"/>
  <c r="H631" i="3"/>
  <c r="J152" i="2"/>
  <c r="E98" i="2"/>
  <c r="L380" i="3"/>
  <c r="I356" i="3"/>
  <c r="H170" i="3"/>
  <c r="I405" i="3"/>
  <c r="A289" i="3"/>
  <c r="K534" i="3"/>
  <c r="A77" i="3"/>
  <c r="F486" i="3"/>
  <c r="A123" i="3"/>
  <c r="J481" i="2"/>
  <c r="O559" i="3"/>
  <c r="N626" i="3"/>
  <c r="G563" i="3"/>
  <c r="L147" i="3"/>
  <c r="M376" i="3"/>
  <c r="J608" i="2"/>
  <c r="A368" i="3"/>
  <c r="J196" i="2"/>
  <c r="P536" i="3"/>
  <c r="K571" i="3"/>
  <c r="A369" i="3"/>
  <c r="O624" i="3"/>
  <c r="A213" i="3"/>
  <c r="B534" i="3"/>
  <c r="J320" i="2"/>
  <c r="E203" i="2"/>
  <c r="P576" i="3"/>
  <c r="E615" i="2"/>
  <c r="P429" i="3"/>
  <c r="P389" i="3"/>
  <c r="L456" i="3"/>
  <c r="O296" i="3"/>
  <c r="M153" i="3"/>
  <c r="P372" i="3"/>
  <c r="G483" i="3"/>
  <c r="K107" i="3"/>
  <c r="M21" i="3"/>
  <c r="A359" i="3"/>
  <c r="G310" i="3"/>
  <c r="K231" i="3"/>
  <c r="F196" i="3"/>
  <c r="J277" i="2"/>
  <c r="N76" i="3"/>
  <c r="L364" i="3"/>
  <c r="H311" i="3"/>
  <c r="K317" i="3"/>
  <c r="L480" i="3"/>
  <c r="P550" i="3"/>
  <c r="N21" i="3"/>
  <c r="G387" i="3"/>
  <c r="L494" i="3"/>
  <c r="C453" i="3"/>
  <c r="M214" i="3"/>
  <c r="C57" i="3"/>
  <c r="N121" i="3"/>
  <c r="O543" i="3"/>
  <c r="A602" i="3"/>
  <c r="H294" i="3"/>
  <c r="I386" i="3"/>
  <c r="A423" i="3"/>
  <c r="N159" i="3"/>
  <c r="H605" i="3"/>
  <c r="O367" i="3"/>
  <c r="O266" i="3"/>
  <c r="L158" i="3"/>
  <c r="F254" i="3"/>
  <c r="P587" i="3"/>
  <c r="L285" i="3"/>
  <c r="K494" i="3"/>
  <c r="A276" i="3"/>
  <c r="E70" i="2"/>
  <c r="N580" i="3"/>
  <c r="I263" i="3"/>
  <c r="C426" i="3"/>
  <c r="E45" i="2"/>
  <c r="A501" i="3"/>
  <c r="O467" i="3"/>
  <c r="N4" i="3"/>
  <c r="C577" i="3"/>
  <c r="E276" i="2"/>
  <c r="O274" i="3"/>
  <c r="K375" i="3"/>
  <c r="N503" i="3"/>
  <c r="M608" i="3"/>
  <c r="F569" i="3"/>
  <c r="E417" i="2"/>
  <c r="L100" i="3"/>
  <c r="I133" i="3"/>
  <c r="M219" i="3"/>
  <c r="I232" i="3"/>
  <c r="A499" i="3"/>
  <c r="L575" i="3"/>
  <c r="H347" i="3"/>
  <c r="G552" i="3"/>
  <c r="M46" i="3"/>
  <c r="N544" i="3"/>
  <c r="O119" i="3"/>
  <c r="E174" i="2"/>
  <c r="O300" i="3"/>
  <c r="F466" i="3"/>
  <c r="M133" i="3"/>
  <c r="K77" i="3"/>
  <c r="K618" i="3"/>
  <c r="E68" i="2"/>
  <c r="K358" i="3"/>
  <c r="P184" i="3"/>
  <c r="J390" i="2"/>
  <c r="P558" i="3"/>
  <c r="E142" i="2"/>
  <c r="E450" i="2"/>
  <c r="G372" i="3"/>
  <c r="M492" i="3"/>
  <c r="J47" i="2"/>
  <c r="F606" i="3"/>
  <c r="M291" i="3"/>
  <c r="O226" i="3"/>
  <c r="B480" i="3"/>
  <c r="F375" i="3"/>
  <c r="P240" i="3"/>
  <c r="I241" i="3"/>
  <c r="M581" i="3"/>
  <c r="G588" i="3"/>
  <c r="G269" i="3"/>
  <c r="F38" i="3"/>
  <c r="G48" i="3"/>
  <c r="J49" i="2"/>
  <c r="H412" i="3"/>
  <c r="O503" i="3"/>
  <c r="P56" i="3"/>
  <c r="L43" i="3"/>
  <c r="M204" i="3"/>
  <c r="J298" i="2"/>
  <c r="K51" i="3"/>
  <c r="N361" i="3"/>
  <c r="A477" i="3"/>
  <c r="P134" i="3"/>
  <c r="M323" i="3"/>
  <c r="A39" i="3"/>
  <c r="N102" i="3"/>
  <c r="N260" i="3"/>
  <c r="B141" i="3"/>
  <c r="G393" i="3"/>
  <c r="J148" i="2"/>
  <c r="E389" i="2"/>
  <c r="E460" i="2"/>
  <c r="B371" i="3"/>
  <c r="L394" i="3"/>
  <c r="O268" i="3"/>
  <c r="K568" i="3"/>
  <c r="L226" i="3"/>
  <c r="J80" i="2"/>
  <c r="E133" i="2"/>
  <c r="P330" i="3"/>
  <c r="A394" i="3"/>
  <c r="P332" i="3"/>
  <c r="L152" i="3"/>
  <c r="J446" i="2"/>
  <c r="E121" i="2"/>
  <c r="E67" i="2"/>
  <c r="F532" i="3"/>
  <c r="K566" i="3"/>
  <c r="F400" i="3"/>
  <c r="H264" i="3"/>
  <c r="G84" i="3"/>
  <c r="B120" i="3"/>
  <c r="N415" i="3"/>
  <c r="M574" i="3"/>
  <c r="N414" i="3"/>
  <c r="H235" i="3"/>
  <c r="K452" i="3"/>
  <c r="N548" i="3"/>
  <c r="H613" i="3"/>
  <c r="G375" i="3"/>
  <c r="O481" i="3"/>
  <c r="I636" i="3"/>
  <c r="F387" i="3"/>
  <c r="J336" i="2"/>
  <c r="K81" i="3"/>
  <c r="O364" i="3"/>
  <c r="J256" i="2"/>
  <c r="J225" i="2"/>
  <c r="F596" i="3"/>
  <c r="E155" i="2"/>
  <c r="F370" i="3"/>
  <c r="J327" i="2"/>
  <c r="I279" i="3"/>
  <c r="L19" i="3"/>
  <c r="O137" i="3"/>
  <c r="P102" i="3"/>
  <c r="C591" i="3"/>
  <c r="M284" i="3"/>
  <c r="M346" i="3"/>
  <c r="I628" i="3"/>
  <c r="E631" i="2"/>
  <c r="A341" i="3"/>
  <c r="G545" i="3"/>
  <c r="P407" i="3"/>
  <c r="A383" i="3"/>
  <c r="E153" i="2"/>
  <c r="N36" i="3"/>
  <c r="B134" i="3"/>
  <c r="C526" i="3"/>
  <c r="M129" i="3"/>
  <c r="B255" i="3"/>
  <c r="E317" i="2"/>
  <c r="J183" i="2"/>
  <c r="P486" i="3"/>
  <c r="H335" i="3"/>
  <c r="K542" i="3"/>
  <c r="N92" i="3"/>
  <c r="C166" i="3"/>
  <c r="K464" i="3"/>
  <c r="J558" i="2"/>
  <c r="C226" i="3"/>
  <c r="C470" i="3"/>
  <c r="H254" i="3"/>
  <c r="O362" i="3"/>
  <c r="K222" i="3"/>
  <c r="O464" i="3"/>
  <c r="F514" i="3"/>
  <c r="K295" i="3"/>
  <c r="I186" i="3"/>
  <c r="G533" i="3"/>
  <c r="B579" i="3"/>
  <c r="G423" i="3"/>
  <c r="D221" i="3"/>
  <c r="F425" i="3"/>
  <c r="O594" i="3"/>
  <c r="F236" i="3"/>
  <c r="O396" i="3"/>
  <c r="F376" i="3"/>
  <c r="J171" i="2"/>
  <c r="I96" i="3"/>
  <c r="D426" i="3"/>
  <c r="A482" i="3"/>
  <c r="D341" i="3"/>
  <c r="A309" i="3"/>
  <c r="D316" i="3"/>
  <c r="M47" i="3"/>
  <c r="O573" i="3"/>
  <c r="G623" i="3"/>
  <c r="I507" i="3"/>
  <c r="K32" i="3"/>
  <c r="F627" i="3"/>
  <c r="P268" i="3"/>
  <c r="C137" i="3"/>
  <c r="G491" i="3"/>
  <c r="K526" i="3"/>
  <c r="B457" i="3"/>
  <c r="K179" i="3"/>
  <c r="P217" i="3"/>
  <c r="G414" i="3"/>
  <c r="H541" i="3"/>
  <c r="N478" i="3"/>
  <c r="A371" i="3"/>
  <c r="P371" i="3"/>
  <c r="L122" i="3"/>
  <c r="B106" i="3"/>
  <c r="B383" i="3"/>
  <c r="P253" i="3"/>
  <c r="K300" i="3"/>
  <c r="K428" i="3"/>
  <c r="I16" i="3"/>
  <c r="B80" i="3"/>
  <c r="J35" i="2"/>
  <c r="F160" i="3"/>
  <c r="L636" i="3"/>
  <c r="E403" i="2"/>
  <c r="M138" i="3"/>
  <c r="J567" i="2"/>
  <c r="G474" i="3"/>
  <c r="K381" i="3"/>
  <c r="D111" i="3"/>
  <c r="B536" i="3"/>
  <c r="O566" i="3"/>
  <c r="F609" i="3"/>
  <c r="J167" i="2"/>
  <c r="C538" i="3"/>
  <c r="O12" i="3"/>
  <c r="I575" i="3"/>
  <c r="L328" i="3"/>
  <c r="J53" i="2"/>
  <c r="P140" i="3"/>
  <c r="D337" i="3"/>
  <c r="G517" i="3"/>
  <c r="O352" i="3"/>
  <c r="A103" i="3"/>
  <c r="B421" i="3"/>
  <c r="F162" i="3"/>
  <c r="C181" i="3"/>
  <c r="C202" i="3"/>
  <c r="D462" i="3"/>
  <c r="J554" i="2"/>
  <c r="E466" i="2"/>
  <c r="P421" i="3"/>
  <c r="L53" i="3"/>
  <c r="L552" i="3"/>
  <c r="M499" i="3"/>
  <c r="E44" i="2"/>
  <c r="A565" i="3"/>
  <c r="L178" i="3"/>
  <c r="L54" i="3"/>
  <c r="F568" i="3"/>
  <c r="C614" i="3"/>
  <c r="N195" i="3"/>
  <c r="F417" i="3"/>
  <c r="O472" i="3"/>
  <c r="D197" i="3"/>
  <c r="P8" i="3"/>
  <c r="K477" i="3"/>
  <c r="K336" i="3"/>
  <c r="J568" i="2"/>
  <c r="I274" i="3"/>
  <c r="D52" i="3"/>
  <c r="D137" i="3"/>
  <c r="H475" i="3"/>
  <c r="B133" i="3"/>
  <c r="K167" i="3"/>
  <c r="G231" i="3"/>
  <c r="G11" i="3"/>
  <c r="J227" i="2"/>
  <c r="I345" i="3"/>
  <c r="N558" i="3"/>
  <c r="F77" i="3"/>
  <c r="K128" i="3"/>
  <c r="I473" i="3"/>
  <c r="L243" i="3"/>
  <c r="C616" i="3"/>
  <c r="N579" i="3"/>
  <c r="A592" i="3"/>
  <c r="J218" i="2"/>
  <c r="G403" i="3"/>
  <c r="L157" i="3"/>
  <c r="N16" i="3"/>
  <c r="E409" i="2"/>
  <c r="N505" i="3"/>
  <c r="I571" i="3"/>
  <c r="L218" i="3"/>
  <c r="K52" i="3"/>
  <c r="E205" i="2"/>
  <c r="J71" i="2"/>
  <c r="C36" i="3"/>
  <c r="A86" i="3"/>
  <c r="C343" i="3"/>
  <c r="K379" i="3"/>
  <c r="D351" i="3"/>
  <c r="J145" i="2"/>
  <c r="F80" i="3"/>
  <c r="J626" i="2"/>
  <c r="D443" i="3"/>
  <c r="G115" i="3"/>
  <c r="G448" i="3"/>
  <c r="J193" i="2"/>
  <c r="J316" i="2"/>
  <c r="P397" i="3"/>
  <c r="O149" i="3"/>
  <c r="H20" i="3"/>
  <c r="K348" i="3"/>
  <c r="K567" i="3"/>
  <c r="M49" i="3"/>
  <c r="B397" i="3"/>
  <c r="H263" i="3"/>
  <c r="N33" i="3"/>
  <c r="L352" i="3"/>
  <c r="E570" i="2"/>
  <c r="O528" i="3"/>
  <c r="P322" i="3"/>
  <c r="M87" i="3"/>
  <c r="I311" i="3"/>
  <c r="N378" i="3"/>
  <c r="J215" i="2"/>
  <c r="H196" i="3"/>
  <c r="L231" i="3"/>
  <c r="P51" i="3"/>
  <c r="H150" i="3"/>
  <c r="G498" i="3"/>
  <c r="G612" i="3"/>
  <c r="O548" i="3"/>
  <c r="F473" i="3"/>
  <c r="L265" i="3"/>
  <c r="D347" i="3"/>
  <c r="O45" i="3"/>
  <c r="M374" i="3"/>
  <c r="P47" i="3"/>
  <c r="I13" i="3"/>
  <c r="G581" i="3"/>
  <c r="M288" i="3"/>
  <c r="D204" i="3"/>
  <c r="J415" i="2"/>
  <c r="C511" i="3"/>
  <c r="L235" i="3"/>
  <c r="J9" i="2"/>
  <c r="C506" i="3"/>
  <c r="D142" i="3"/>
  <c r="L351" i="3"/>
  <c r="F364" i="3"/>
  <c r="B184" i="3"/>
  <c r="O598" i="3"/>
  <c r="J25" i="2"/>
  <c r="O42" i="3"/>
  <c r="N543" i="3"/>
  <c r="F506" i="3"/>
  <c r="B218" i="3"/>
  <c r="F187" i="3"/>
  <c r="A357" i="3"/>
  <c r="L139" i="3"/>
  <c r="C578" i="3"/>
  <c r="J243" i="2"/>
  <c r="M40" i="3"/>
  <c r="M520" i="3"/>
  <c r="H316" i="3"/>
  <c r="I268" i="3"/>
  <c r="M440" i="3"/>
  <c r="L539" i="3"/>
  <c r="F521" i="3"/>
  <c r="H324" i="3"/>
  <c r="P306" i="3"/>
  <c r="E339" i="2"/>
  <c r="A221" i="3"/>
  <c r="D442" i="3"/>
  <c r="L272" i="3"/>
  <c r="J142" i="2"/>
  <c r="G8" i="3"/>
  <c r="J465" i="2"/>
  <c r="O192" i="3"/>
  <c r="K311" i="3"/>
  <c r="A363" i="3"/>
  <c r="O574" i="3"/>
  <c r="L548" i="3"/>
  <c r="J498" i="2"/>
  <c r="F214" i="3"/>
  <c r="O133" i="3"/>
  <c r="N6" i="3"/>
  <c r="D588" i="3"/>
  <c r="J314" i="2"/>
  <c r="C77" i="3"/>
  <c r="F307" i="3"/>
  <c r="E464" i="2"/>
  <c r="G202" i="3"/>
  <c r="J181" i="2"/>
  <c r="F42" i="3"/>
  <c r="E103" i="2"/>
  <c r="F28" i="3"/>
  <c r="L499" i="3"/>
  <c r="O277" i="3"/>
  <c r="H247" i="3"/>
  <c r="L375" i="3"/>
  <c r="M547" i="3"/>
  <c r="E323" i="2"/>
  <c r="M252" i="3"/>
  <c r="N104" i="3"/>
  <c r="B233" i="3"/>
  <c r="E65" i="2"/>
  <c r="D240" i="3"/>
  <c r="F100" i="3"/>
  <c r="I470" i="3"/>
  <c r="M564" i="3"/>
  <c r="I410" i="3"/>
  <c r="G340" i="3"/>
  <c r="H518" i="3"/>
  <c r="F97" i="3"/>
  <c r="L450" i="3"/>
  <c r="F317" i="3"/>
  <c r="M432" i="3"/>
  <c r="F14" i="3"/>
  <c r="K217" i="3"/>
  <c r="M52" i="3"/>
  <c r="A118" i="3"/>
  <c r="G285" i="3"/>
  <c r="P580" i="3"/>
  <c r="M471" i="3"/>
  <c r="E486" i="2"/>
  <c r="D438" i="3"/>
  <c r="P395" i="3"/>
  <c r="H228" i="3"/>
  <c r="F437" i="3"/>
  <c r="L317" i="3"/>
  <c r="C639" i="3"/>
  <c r="L562" i="3"/>
  <c r="H116" i="3"/>
  <c r="A612" i="3"/>
  <c r="I622" i="3"/>
  <c r="M135" i="3"/>
  <c r="M143" i="3"/>
  <c r="E176" i="2"/>
  <c r="O314" i="3"/>
  <c r="E29" i="2"/>
  <c r="K638" i="3"/>
  <c r="M349" i="3"/>
  <c r="F502" i="3"/>
  <c r="O592" i="3"/>
  <c r="L257" i="3"/>
  <c r="P532" i="3"/>
  <c r="I29" i="3"/>
  <c r="A51" i="3"/>
  <c r="L280" i="3"/>
  <c r="J373" i="2"/>
  <c r="I209" i="3"/>
  <c r="H15" i="3"/>
  <c r="L415" i="3"/>
  <c r="G590" i="3"/>
  <c r="L8" i="3"/>
  <c r="B450" i="3"/>
  <c r="C122" i="3"/>
  <c r="H343" i="3"/>
  <c r="M370" i="3"/>
  <c r="N449" i="3"/>
  <c r="D77" i="3"/>
  <c r="K170" i="3"/>
  <c r="C117" i="3"/>
  <c r="N565" i="3"/>
  <c r="K398" i="3"/>
  <c r="A401" i="3"/>
  <c r="G609" i="3"/>
  <c r="M536" i="3"/>
  <c r="J274" i="2"/>
  <c r="B570" i="3"/>
  <c r="N181" i="3"/>
  <c r="L594" i="3"/>
  <c r="I129" i="3"/>
  <c r="O61" i="3"/>
  <c r="F295" i="3"/>
  <c r="K565" i="3"/>
  <c r="O605" i="3"/>
  <c r="J162" i="2"/>
  <c r="E244" i="2"/>
  <c r="D88" i="3"/>
  <c r="P364" i="3"/>
  <c r="F74" i="3"/>
  <c r="N205" i="3"/>
  <c r="H556" i="3"/>
  <c r="J163" i="2"/>
  <c r="F278" i="3"/>
  <c r="K576" i="3"/>
  <c r="M243" i="3"/>
  <c r="L271" i="3"/>
  <c r="M312" i="3"/>
  <c r="B416" i="3"/>
  <c r="O354" i="3"/>
  <c r="A237" i="3"/>
  <c r="M320" i="3"/>
  <c r="B407" i="3"/>
  <c r="G90" i="3"/>
  <c r="G273" i="3"/>
  <c r="K418" i="3"/>
  <c r="G439" i="3"/>
  <c r="J377" i="2"/>
  <c r="M379" i="3"/>
  <c r="O344" i="3"/>
  <c r="M13" i="3"/>
  <c r="N134" i="3"/>
  <c r="O332" i="3"/>
  <c r="K460" i="3"/>
  <c r="L277" i="3"/>
  <c r="O280" i="3"/>
  <c r="E132" i="2"/>
  <c r="G421" i="3"/>
  <c r="E128" i="2"/>
  <c r="J272" i="2"/>
  <c r="P387" i="3"/>
  <c r="F373" i="3"/>
  <c r="O215" i="3"/>
  <c r="E57" i="2"/>
  <c r="N336" i="3"/>
  <c r="L432" i="3"/>
  <c r="N432" i="3"/>
  <c r="I324" i="3"/>
  <c r="B49" i="3"/>
  <c r="M544" i="3"/>
  <c r="G411" i="3"/>
  <c r="N313" i="3"/>
  <c r="O600" i="3"/>
  <c r="J303" i="2"/>
  <c r="G363" i="3"/>
  <c r="J260" i="2"/>
  <c r="M411" i="3"/>
  <c r="J240" i="2"/>
  <c r="J4" i="2"/>
  <c r="E8" i="2"/>
  <c r="K200" i="3"/>
  <c r="N537" i="3"/>
  <c r="E274" i="2"/>
  <c r="M362" i="3"/>
  <c r="L550" i="3"/>
  <c r="K103" i="3"/>
  <c r="H621" i="3"/>
  <c r="I460" i="3"/>
  <c r="A334" i="3"/>
  <c r="O225" i="3"/>
  <c r="B283" i="3"/>
  <c r="L465" i="3"/>
  <c r="F480" i="3"/>
  <c r="G520" i="3"/>
  <c r="N165" i="3"/>
  <c r="F249" i="3"/>
  <c r="E515" i="2"/>
  <c r="G575" i="3"/>
  <c r="H123" i="3"/>
  <c r="A152" i="3"/>
  <c r="G606" i="3"/>
  <c r="F551" i="3"/>
  <c r="I57" i="3"/>
  <c r="F366" i="3"/>
  <c r="H325" i="3"/>
  <c r="E583" i="2"/>
  <c r="H281" i="3"/>
  <c r="J566" i="2"/>
  <c r="J138" i="2"/>
  <c r="H547" i="3"/>
  <c r="A8" i="3"/>
  <c r="E156" i="2"/>
  <c r="P491" i="3"/>
  <c r="F106" i="3"/>
  <c r="I61" i="3"/>
  <c r="I176" i="3"/>
  <c r="P403" i="3"/>
  <c r="E517" i="2"/>
  <c r="N386" i="3"/>
  <c r="N7" i="3"/>
  <c r="F538" i="3"/>
  <c r="A192" i="3"/>
  <c r="G229" i="3"/>
  <c r="H495" i="3"/>
  <c r="A445" i="3"/>
  <c r="P197" i="3"/>
  <c r="L182" i="3"/>
  <c r="K223" i="3"/>
  <c r="F9" i="3"/>
  <c r="M382" i="3"/>
  <c r="J282" i="2"/>
  <c r="A326" i="3"/>
  <c r="K12" i="3"/>
  <c r="F220" i="3"/>
  <c r="J21" i="2"/>
  <c r="L239" i="3"/>
  <c r="D195" i="3"/>
  <c r="O459" i="3"/>
  <c r="J391" i="2"/>
  <c r="G380" i="3"/>
  <c r="D338" i="3"/>
  <c r="O565" i="3"/>
  <c r="P512" i="3"/>
  <c r="A332" i="3"/>
  <c r="H542" i="3"/>
  <c r="L348" i="3"/>
  <c r="E475" i="2"/>
  <c r="H511" i="3"/>
  <c r="J392" i="2"/>
  <c r="K617" i="3"/>
  <c r="O250" i="3"/>
  <c r="O261" i="3"/>
  <c r="J440" i="2"/>
  <c r="K80" i="3"/>
  <c r="L104" i="3"/>
  <c r="J180" i="2"/>
  <c r="J290" i="2"/>
  <c r="P523" i="3"/>
  <c r="F180" i="3"/>
  <c r="L441" i="3"/>
  <c r="B40" i="3"/>
  <c r="N263" i="3"/>
  <c r="I453" i="3"/>
  <c r="H18" i="3"/>
  <c r="H397" i="3"/>
  <c r="J264" i="2"/>
  <c r="N570" i="3"/>
  <c r="N112" i="3"/>
  <c r="M16" i="3"/>
  <c r="M344" i="3"/>
  <c r="F497" i="3"/>
  <c r="N199" i="3"/>
  <c r="O101" i="3"/>
  <c r="J449" i="2"/>
  <c r="J14" i="2"/>
  <c r="N471" i="3"/>
  <c r="A252" i="3"/>
  <c r="B471" i="3"/>
  <c r="P55" i="3"/>
  <c r="P21" i="3"/>
  <c r="L615" i="3"/>
  <c r="M232" i="3"/>
  <c r="E483" i="2"/>
  <c r="I219" i="3"/>
  <c r="E109" i="2"/>
  <c r="L207" i="3"/>
  <c r="P638" i="3"/>
  <c r="I564" i="3"/>
  <c r="N5" i="3"/>
  <c r="L390" i="3"/>
  <c r="A458" i="3"/>
  <c r="I127" i="3"/>
  <c r="L448" i="3"/>
  <c r="H546" i="3"/>
  <c r="E79" i="2"/>
  <c r="J437" i="2"/>
  <c r="F86" i="3"/>
  <c r="G116" i="3"/>
  <c r="N553" i="3"/>
  <c r="L339" i="3"/>
  <c r="N150" i="3"/>
  <c r="I600" i="3"/>
  <c r="E329" i="2"/>
  <c r="N349" i="3"/>
  <c r="C87" i="3"/>
  <c r="A275" i="3"/>
  <c r="C437" i="3"/>
  <c r="H389" i="3"/>
  <c r="A178" i="3"/>
  <c r="M192" i="3"/>
  <c r="J619" i="2"/>
  <c r="H516" i="3"/>
  <c r="D97" i="3"/>
  <c r="D630" i="3"/>
  <c r="L506" i="3"/>
  <c r="A398" i="3"/>
  <c r="K121" i="3"/>
  <c r="H628" i="3"/>
  <c r="G51" i="3"/>
  <c r="K417" i="3"/>
  <c r="E370" i="2"/>
  <c r="I272" i="3"/>
  <c r="G418" i="3"/>
  <c r="M557" i="3"/>
  <c r="H275" i="3"/>
  <c r="M170" i="3"/>
  <c r="A175" i="3"/>
  <c r="J538" i="2"/>
  <c r="O282" i="3"/>
  <c r="L256" i="3"/>
  <c r="N427" i="3"/>
  <c r="P635" i="3"/>
  <c r="L347" i="3"/>
  <c r="F633" i="3"/>
  <c r="A640" i="3"/>
  <c r="E256" i="2"/>
  <c r="M381" i="3"/>
  <c r="N285" i="3"/>
  <c r="F489" i="3"/>
  <c r="O132" i="3"/>
  <c r="K385" i="3"/>
  <c r="K215" i="3"/>
  <c r="M572" i="3"/>
  <c r="M548" i="3"/>
  <c r="N475" i="3"/>
  <c r="L201" i="3"/>
  <c r="K432" i="3"/>
  <c r="F62" i="3"/>
  <c r="A397" i="3"/>
  <c r="A27" i="3"/>
  <c r="J149" i="2"/>
  <c r="N111" i="3"/>
  <c r="N74" i="3"/>
  <c r="F472" i="3"/>
  <c r="P487" i="3"/>
  <c r="I503" i="3"/>
  <c r="J389" i="2"/>
  <c r="L118" i="3"/>
  <c r="A204" i="3"/>
  <c r="K285" i="3"/>
  <c r="E336" i="2"/>
  <c r="O340" i="3"/>
  <c r="D407" i="3"/>
  <c r="J213" i="2"/>
  <c r="E218" i="2"/>
  <c r="D345" i="3"/>
  <c r="E614" i="2"/>
  <c r="F5" i="3"/>
  <c r="I75" i="3"/>
  <c r="B365" i="3"/>
  <c r="E628" i="2"/>
  <c r="P628" i="3"/>
  <c r="A446" i="3"/>
  <c r="P151" i="3"/>
  <c r="F465" i="3"/>
  <c r="K569" i="3"/>
  <c r="G518" i="3"/>
  <c r="K279" i="3"/>
  <c r="F380" i="3"/>
  <c r="G110" i="3"/>
  <c r="H349" i="3"/>
  <c r="C432" i="3"/>
  <c r="P285" i="3"/>
  <c r="N476" i="3"/>
  <c r="P201" i="3"/>
  <c r="O270" i="3"/>
  <c r="F218" i="3"/>
  <c r="J178" i="2"/>
  <c r="H5" i="3"/>
  <c r="P116" i="3"/>
  <c r="I382" i="3"/>
  <c r="I496" i="3"/>
  <c r="N534" i="3"/>
  <c r="J209" i="2"/>
  <c r="M408" i="3"/>
  <c r="O385" i="3"/>
  <c r="M451" i="3"/>
  <c r="L20" i="3"/>
  <c r="O433" i="3"/>
  <c r="A30" i="3"/>
  <c r="K289" i="3"/>
  <c r="H472" i="3"/>
  <c r="G154" i="3"/>
  <c r="G594" i="3"/>
  <c r="G332" i="3"/>
  <c r="E362" i="2"/>
  <c r="A608" i="3"/>
  <c r="G274" i="3"/>
  <c r="G459" i="3"/>
  <c r="L252" i="3"/>
  <c r="H444" i="3"/>
  <c r="K424" i="3"/>
  <c r="P519" i="3"/>
  <c r="F390" i="3"/>
  <c r="L455" i="3"/>
  <c r="P316" i="3"/>
  <c r="O244" i="3"/>
  <c r="L40" i="3"/>
  <c r="D353" i="3"/>
  <c r="I286" i="3"/>
  <c r="N269" i="3"/>
  <c r="A107" i="3"/>
  <c r="O224" i="3"/>
  <c r="D550" i="3"/>
  <c r="I510" i="3"/>
  <c r="D292" i="3"/>
  <c r="P48" i="3"/>
  <c r="K538" i="3"/>
  <c r="H43" i="3"/>
  <c r="I361" i="3"/>
  <c r="B161" i="3"/>
  <c r="F451" i="3"/>
  <c r="O117" i="3"/>
  <c r="L63" i="3"/>
  <c r="K165" i="3"/>
  <c r="K339" i="3"/>
  <c r="A37" i="3"/>
  <c r="K219" i="3"/>
  <c r="A140" i="3"/>
  <c r="N254" i="3"/>
  <c r="F448" i="3"/>
  <c r="C22" i="3"/>
  <c r="G283" i="3"/>
  <c r="P381" i="3"/>
  <c r="O589" i="3"/>
  <c r="A382" i="3"/>
  <c r="F546" i="3"/>
  <c r="K610" i="3"/>
  <c r="K554" i="3"/>
  <c r="N294" i="3"/>
  <c r="J23" i="2"/>
  <c r="N461" i="3"/>
  <c r="A408" i="3"/>
  <c r="I207" i="3"/>
  <c r="F204" i="3"/>
  <c r="M270" i="3"/>
  <c r="I197" i="3"/>
  <c r="H276" i="3"/>
  <c r="L142" i="3"/>
  <c r="B16" i="3"/>
  <c r="A355" i="3"/>
  <c r="N87" i="3"/>
  <c r="E47" i="2"/>
  <c r="O283" i="3"/>
  <c r="I532" i="3"/>
  <c r="P520" i="3"/>
  <c r="K443" i="3"/>
  <c r="M102" i="3"/>
  <c r="O213" i="3"/>
  <c r="I168" i="3"/>
  <c r="J234" i="2"/>
  <c r="P149" i="3"/>
  <c r="K397" i="3"/>
  <c r="K111" i="3"/>
  <c r="L74" i="3"/>
  <c r="J106" i="2"/>
  <c r="M420" i="3"/>
  <c r="H574" i="3"/>
  <c r="I290" i="3"/>
  <c r="M322" i="3"/>
  <c r="B314" i="3"/>
  <c r="M91" i="3"/>
  <c r="H499" i="3"/>
  <c r="E439" i="2"/>
  <c r="P89" i="3"/>
  <c r="K214" i="3"/>
  <c r="P603" i="3"/>
  <c r="H135" i="3"/>
  <c r="G534" i="3"/>
  <c r="O360" i="3"/>
  <c r="N575" i="3"/>
  <c r="G92" i="3"/>
  <c r="E301" i="2"/>
  <c r="E106" i="2"/>
  <c r="M239" i="3"/>
  <c r="P533" i="3"/>
  <c r="B8" i="3"/>
  <c r="O545" i="3"/>
  <c r="M549" i="3"/>
  <c r="F209" i="3"/>
  <c r="H268" i="3"/>
  <c r="N370" i="3"/>
  <c r="E325" i="2"/>
  <c r="L590" i="3"/>
  <c r="H388" i="3"/>
  <c r="H290" i="3"/>
  <c r="H121" i="3"/>
  <c r="K88" i="3"/>
  <c r="L60" i="3"/>
  <c r="A55" i="3"/>
  <c r="F576" i="3"/>
  <c r="G43" i="3"/>
  <c r="H63" i="3"/>
  <c r="G67" i="3"/>
  <c r="K628" i="3"/>
  <c r="F419" i="3"/>
  <c r="O328" i="3"/>
  <c r="F238" i="3"/>
  <c r="G25" i="3"/>
  <c r="F153" i="3"/>
  <c r="I177" i="3"/>
  <c r="K511" i="3"/>
  <c r="A314" i="3"/>
  <c r="J448" i="2"/>
  <c r="I337" i="3"/>
  <c r="M6" i="3"/>
  <c r="I320" i="3"/>
  <c r="G140" i="3"/>
  <c r="E90" i="2"/>
  <c r="M263" i="3"/>
  <c r="N39" i="3"/>
  <c r="P344" i="3"/>
  <c r="L443" i="3"/>
  <c r="H457" i="3"/>
  <c r="A47" i="3"/>
  <c r="N364" i="3"/>
  <c r="E303" i="2"/>
  <c r="F321" i="3"/>
  <c r="F301" i="3"/>
  <c r="I262" i="3"/>
  <c r="M68" i="3"/>
  <c r="G536" i="3"/>
  <c r="I331" i="3"/>
  <c r="K474" i="3"/>
  <c r="E148" i="2"/>
  <c r="F223" i="3"/>
  <c r="P617" i="3"/>
  <c r="J369" i="2"/>
  <c r="P561" i="3"/>
  <c r="O327" i="3"/>
  <c r="J308" i="2"/>
  <c r="L173" i="3"/>
  <c r="A171" i="3"/>
  <c r="A489" i="3"/>
  <c r="B403" i="3"/>
  <c r="F89" i="3"/>
  <c r="E572" i="2"/>
  <c r="F467" i="3"/>
  <c r="H471" i="3"/>
  <c r="N530" i="3"/>
  <c r="L563" i="3"/>
  <c r="E326" i="2"/>
  <c r="F584" i="3"/>
  <c r="O166" i="3"/>
  <c r="L489" i="3"/>
  <c r="H615" i="3"/>
  <c r="E294" i="2"/>
  <c r="G591" i="3"/>
  <c r="M371" i="3"/>
  <c r="I187" i="3"/>
  <c r="A201" i="3"/>
  <c r="N517" i="3"/>
  <c r="O532" i="3"/>
  <c r="C88" i="3"/>
  <c r="N69" i="3"/>
  <c r="P601" i="3"/>
  <c r="B253" i="3"/>
  <c r="J77" i="2"/>
  <c r="A273" i="3"/>
  <c r="F601" i="3"/>
  <c r="F217" i="3"/>
  <c r="H172" i="3"/>
  <c r="N442" i="3"/>
  <c r="M523" i="3"/>
  <c r="E130" i="2"/>
  <c r="L321" i="3"/>
  <c r="K86" i="3"/>
  <c r="J347" i="2"/>
  <c r="K472" i="3"/>
  <c r="H432" i="3"/>
  <c r="D478" i="3"/>
  <c r="P60" i="3"/>
  <c r="A60" i="3"/>
  <c r="P24" i="3"/>
  <c r="H372" i="3"/>
  <c r="I578" i="3"/>
  <c r="K483" i="3"/>
  <c r="A84" i="3"/>
  <c r="M154" i="3"/>
  <c r="E418" i="2"/>
  <c r="F50" i="3"/>
  <c r="C233" i="3"/>
  <c r="F547" i="3"/>
  <c r="P405" i="3"/>
  <c r="L530" i="3"/>
  <c r="A291" i="3"/>
  <c r="I7" i="3"/>
  <c r="A470" i="3"/>
  <c r="N124" i="3"/>
  <c r="J41" i="2"/>
  <c r="O629" i="3"/>
  <c r="J341" i="2"/>
  <c r="N474" i="3"/>
  <c r="P68" i="3"/>
  <c r="I201" i="3"/>
  <c r="F304" i="3"/>
  <c r="P478" i="3"/>
  <c r="H583" i="3"/>
  <c r="A353" i="3"/>
  <c r="M121" i="3"/>
  <c r="A70" i="3"/>
  <c r="J312" i="2"/>
  <c r="H2" i="3"/>
  <c r="P219" i="3"/>
  <c r="L473" i="3"/>
  <c r="H109" i="3"/>
  <c r="M465" i="3"/>
  <c r="K386" i="3"/>
  <c r="E427" i="2"/>
  <c r="L194" i="3"/>
  <c r="K601" i="3"/>
  <c r="D429" i="3"/>
  <c r="J265" i="2"/>
  <c r="C576" i="3"/>
  <c r="E492" i="2"/>
  <c r="K72" i="3"/>
  <c r="F251" i="3"/>
  <c r="L309" i="3"/>
  <c r="M326" i="3"/>
  <c r="F81" i="3"/>
  <c r="A144" i="3"/>
  <c r="O60" i="3"/>
  <c r="A299" i="3"/>
  <c r="J228" i="2"/>
  <c r="G539" i="3"/>
  <c r="G482" i="3"/>
  <c r="M627" i="3"/>
  <c r="A120" i="3"/>
  <c r="F523" i="3"/>
  <c r="N550" i="3"/>
  <c r="O183" i="3"/>
  <c r="M388" i="3"/>
  <c r="J61" i="2"/>
  <c r="E607" i="2"/>
  <c r="A143" i="3"/>
  <c r="F68" i="3"/>
  <c r="H333" i="3"/>
  <c r="F500" i="3"/>
  <c r="P619" i="3"/>
  <c r="I379" i="3"/>
  <c r="J444" i="2"/>
  <c r="H155" i="3"/>
  <c r="L623" i="3"/>
  <c r="A305" i="3"/>
  <c r="H138" i="3"/>
  <c r="B463" i="3"/>
  <c r="M8" i="3"/>
  <c r="J432" i="2"/>
  <c r="O152" i="3"/>
  <c r="I296" i="3"/>
  <c r="I287" i="3"/>
  <c r="N274" i="3"/>
  <c r="G161" i="3"/>
  <c r="H162" i="3"/>
  <c r="P470" i="3"/>
  <c r="E263" i="2"/>
  <c r="J157" i="2"/>
  <c r="L159" i="3"/>
  <c r="C125" i="3"/>
  <c r="E473" i="2"/>
  <c r="M307" i="3"/>
  <c r="L131" i="3"/>
  <c r="G259" i="3"/>
  <c r="E344" i="2"/>
  <c r="A575" i="3"/>
  <c r="F550" i="3"/>
  <c r="F389" i="3"/>
  <c r="H353" i="3"/>
  <c r="P278" i="3"/>
  <c r="N147" i="3"/>
  <c r="C134" i="3"/>
  <c r="A421" i="3"/>
  <c r="K405" i="3"/>
  <c r="I32" i="3"/>
  <c r="N546" i="3"/>
  <c r="A328" i="3"/>
  <c r="G584" i="3"/>
  <c r="J459" i="2"/>
  <c r="M589" i="3"/>
  <c r="J447" i="2"/>
  <c r="N24" i="3"/>
  <c r="J512" i="2"/>
  <c r="J232" i="2"/>
  <c r="I615" i="3"/>
  <c r="P298" i="3"/>
  <c r="L537" i="3"/>
  <c r="O505" i="3"/>
  <c r="G266" i="3"/>
  <c r="F233" i="3"/>
  <c r="I459" i="3"/>
  <c r="J421" i="2"/>
  <c r="A539" i="3"/>
  <c r="G108" i="3"/>
  <c r="I417" i="3"/>
  <c r="B436" i="3"/>
  <c r="H632" i="3"/>
  <c r="E542" i="2"/>
  <c r="J65" i="2"/>
  <c r="M306" i="3"/>
  <c r="D141" i="3"/>
  <c r="P224" i="3"/>
  <c r="B148" i="3"/>
  <c r="P626" i="3"/>
  <c r="G346" i="3"/>
  <c r="A218" i="3"/>
  <c r="J165" i="2"/>
  <c r="J97" i="2"/>
  <c r="A485" i="3"/>
  <c r="J513" i="2"/>
  <c r="J147" i="2"/>
  <c r="F124" i="3"/>
  <c r="P93" i="3"/>
  <c r="K117" i="3"/>
  <c r="P408" i="3"/>
  <c r="A598" i="3"/>
  <c r="O144" i="3"/>
  <c r="P448" i="3"/>
  <c r="E289" i="2"/>
  <c r="I293" i="3"/>
  <c r="J514" i="2"/>
  <c r="G467" i="3"/>
  <c r="O596" i="3"/>
  <c r="G284" i="3"/>
  <c r="J63" i="2"/>
  <c r="K409" i="3"/>
  <c r="O345" i="3"/>
  <c r="I184" i="3"/>
  <c r="J557" i="2"/>
  <c r="J154" i="2"/>
  <c r="N40" i="3"/>
  <c r="F71" i="3"/>
  <c r="L482" i="3"/>
  <c r="L356" i="3"/>
  <c r="L370" i="3"/>
  <c r="A412" i="3"/>
  <c r="H416" i="3"/>
  <c r="J120" i="2"/>
  <c r="P237" i="3"/>
  <c r="G60" i="3"/>
  <c r="J176" i="2"/>
  <c r="B48" i="3"/>
  <c r="K298" i="3"/>
  <c r="L275" i="3"/>
  <c r="P363" i="3"/>
  <c r="H462" i="3"/>
  <c r="O510" i="3"/>
  <c r="L270" i="3"/>
  <c r="C138" i="3"/>
  <c r="J5" i="2"/>
  <c r="I146" i="3"/>
  <c r="E410" i="2"/>
  <c r="L508" i="3"/>
  <c r="F406" i="3"/>
  <c r="I443" i="3"/>
  <c r="O489" i="3"/>
  <c r="N171" i="3"/>
  <c r="A622" i="3"/>
  <c r="M317" i="3"/>
  <c r="O189" i="3"/>
  <c r="H81" i="3"/>
  <c r="M285" i="3"/>
  <c r="H404" i="3"/>
  <c r="N57" i="3"/>
  <c r="I558" i="3"/>
  <c r="H386" i="3"/>
  <c r="M273" i="3"/>
  <c r="M367" i="3"/>
  <c r="F365" i="3"/>
  <c r="G257" i="3"/>
  <c r="H73" i="3"/>
  <c r="N297" i="3"/>
  <c r="K87" i="3"/>
  <c r="K592" i="3"/>
  <c r="F303" i="3"/>
  <c r="F535" i="3"/>
  <c r="N467" i="3"/>
  <c r="E224" i="2"/>
  <c r="J254" i="2"/>
  <c r="I346" i="3"/>
  <c r="L258" i="3"/>
  <c r="L355" i="3"/>
  <c r="M614" i="3"/>
  <c r="P85" i="3"/>
  <c r="L11" i="3"/>
  <c r="E231" i="2"/>
  <c r="E91" i="2"/>
  <c r="H42" i="3"/>
  <c r="P596" i="3"/>
  <c r="N345" i="3"/>
  <c r="L113" i="3"/>
  <c r="A375" i="3"/>
  <c r="E359" i="2"/>
  <c r="K10" i="3"/>
  <c r="L324" i="3"/>
  <c r="A335" i="3"/>
  <c r="L56" i="3"/>
  <c r="K330" i="3"/>
  <c r="A610" i="3"/>
  <c r="J496" i="2"/>
  <c r="N320" i="3"/>
  <c r="M525" i="3"/>
  <c r="P401" i="3"/>
  <c r="J166" i="2"/>
  <c r="F574" i="3"/>
  <c r="K145" i="3"/>
  <c r="M364" i="3"/>
  <c r="E416" i="2"/>
  <c r="F402" i="3"/>
  <c r="G537" i="3"/>
  <c r="O103" i="3"/>
  <c r="I155" i="3"/>
  <c r="B187" i="3"/>
  <c r="K133" i="3"/>
  <c r="O452" i="3"/>
  <c r="K387" i="3"/>
  <c r="F183" i="3"/>
  <c r="P541" i="3"/>
  <c r="K195" i="3"/>
  <c r="A66" i="3"/>
  <c r="L326" i="3"/>
  <c r="O107" i="3"/>
  <c r="G632" i="3"/>
  <c r="K504" i="3"/>
  <c r="O447" i="3"/>
  <c r="J186" i="2"/>
  <c r="H61" i="3"/>
  <c r="K55" i="3"/>
  <c r="E261" i="2"/>
  <c r="O442" i="3"/>
  <c r="N54" i="3"/>
  <c r="M498" i="3"/>
  <c r="J27" i="2"/>
  <c r="A385" i="3"/>
  <c r="M351" i="3"/>
  <c r="L230" i="3"/>
  <c r="I369" i="3"/>
  <c r="G601" i="3"/>
  <c r="B631" i="3"/>
  <c r="N552" i="3"/>
  <c r="H415" i="3"/>
  <c r="N468" i="3"/>
  <c r="L169" i="3"/>
  <c r="D250" i="3"/>
  <c r="H70" i="3"/>
  <c r="K499" i="3"/>
  <c r="C564" i="3"/>
  <c r="M136" i="3"/>
  <c r="F623" i="3"/>
  <c r="M114" i="3"/>
  <c r="L350" i="3"/>
  <c r="H426" i="3"/>
  <c r="P263" i="3"/>
  <c r="H99" i="3"/>
  <c r="D286" i="3"/>
  <c r="H520" i="3"/>
  <c r="I509" i="3"/>
  <c r="I125" i="3"/>
  <c r="I73" i="3"/>
  <c r="G319" i="3"/>
  <c r="L618" i="3"/>
  <c r="K57" i="3"/>
  <c r="O597" i="3"/>
  <c r="F91" i="3"/>
  <c r="G365" i="3"/>
  <c r="M355" i="3"/>
  <c r="N387" i="3"/>
  <c r="K186" i="3"/>
  <c r="E429" i="2"/>
  <c r="D30" i="3"/>
  <c r="M321" i="3"/>
  <c r="L213" i="3"/>
  <c r="K543" i="3"/>
  <c r="G74" i="3"/>
  <c r="G34" i="3"/>
  <c r="H366" i="3"/>
  <c r="I223" i="3"/>
  <c r="J29" i="2"/>
  <c r="L248" i="3"/>
  <c r="B616" i="3"/>
  <c r="H354" i="3"/>
  <c r="F322" i="3"/>
  <c r="B151" i="3"/>
  <c r="N363" i="3"/>
  <c r="I302" i="3"/>
  <c r="M325" i="3"/>
  <c r="M44" i="3"/>
  <c r="O67" i="3"/>
  <c r="I229" i="3"/>
  <c r="M377" i="3"/>
  <c r="B287" i="3"/>
  <c r="H38" i="3"/>
  <c r="J451" i="2"/>
  <c r="N447" i="3"/>
  <c r="L205" i="3"/>
  <c r="H159" i="3"/>
  <c r="M260" i="3"/>
  <c r="F26" i="3"/>
  <c r="H408" i="3"/>
  <c r="N640" i="3"/>
  <c r="L137" i="3"/>
  <c r="A476" i="3"/>
  <c r="L626" i="3"/>
  <c r="F594" i="3"/>
  <c r="L610" i="3"/>
  <c r="K49" i="3"/>
  <c r="K234" i="3"/>
  <c r="O383" i="3"/>
  <c r="K529" i="3"/>
  <c r="L635" i="3"/>
  <c r="O51" i="3"/>
  <c r="M299" i="3"/>
  <c r="O572" i="3"/>
  <c r="G502" i="3"/>
  <c r="B532" i="3"/>
  <c r="G404" i="3"/>
  <c r="K435" i="3"/>
  <c r="K140" i="3"/>
  <c r="L373" i="3"/>
  <c r="J279" i="2"/>
  <c r="E579" i="2"/>
  <c r="H87" i="3"/>
  <c r="A112" i="3"/>
  <c r="O509" i="3"/>
  <c r="O182" i="3"/>
  <c r="N495" i="3"/>
  <c r="A468" i="3"/>
  <c r="F194" i="3"/>
  <c r="F618" i="3"/>
  <c r="N498" i="3"/>
  <c r="J445" i="2"/>
  <c r="B444" i="3"/>
  <c r="J92" i="2"/>
  <c r="P319" i="3"/>
  <c r="F241" i="3"/>
  <c r="N355" i="3"/>
  <c r="L124" i="3"/>
  <c r="J602" i="2"/>
  <c r="L498" i="3"/>
  <c r="O322" i="3"/>
  <c r="K11" i="3"/>
  <c r="G585" i="3"/>
  <c r="H564" i="3"/>
  <c r="N80" i="3"/>
  <c r="P127" i="3"/>
  <c r="O288" i="3"/>
  <c r="H371" i="3"/>
  <c r="G576" i="3"/>
  <c r="K523" i="3"/>
  <c r="O206" i="3"/>
  <c r="J601" i="2"/>
  <c r="G251" i="3"/>
  <c r="P483" i="3"/>
  <c r="G105" i="3"/>
  <c r="P87" i="3"/>
  <c r="K583" i="3"/>
  <c r="K613" i="3"/>
  <c r="F52" i="3"/>
  <c r="A500" i="3"/>
  <c r="K466" i="3"/>
  <c r="O113" i="3"/>
  <c r="F549" i="3"/>
  <c r="I148" i="3"/>
  <c r="I169" i="3"/>
  <c r="C505" i="3"/>
  <c r="I570" i="3"/>
  <c r="P177" i="3"/>
  <c r="M592" i="3"/>
  <c r="A197" i="3"/>
  <c r="G29" i="3"/>
  <c r="I637" i="3"/>
  <c r="M110" i="3"/>
  <c r="J543" i="2"/>
  <c r="A254" i="3"/>
  <c r="J295" i="2"/>
  <c r="J397" i="2"/>
  <c r="J188" i="2"/>
  <c r="F341" i="3"/>
  <c r="C586" i="3"/>
  <c r="M437" i="3"/>
  <c r="J8" i="2"/>
  <c r="M445" i="3"/>
  <c r="P342" i="3"/>
  <c r="K528" i="3"/>
  <c r="H52" i="3"/>
  <c r="N578" i="3"/>
  <c r="N523" i="3"/>
  <c r="H595" i="3"/>
  <c r="O378" i="3"/>
  <c r="O8" i="3"/>
  <c r="G95" i="3"/>
  <c r="O551" i="3"/>
  <c r="P607" i="3"/>
  <c r="F589" i="3"/>
  <c r="K90" i="3"/>
  <c r="F17" i="3"/>
  <c r="G258" i="3"/>
  <c r="M73" i="3"/>
  <c r="N106" i="3"/>
  <c r="A352" i="3"/>
  <c r="A410" i="3"/>
  <c r="P547" i="3"/>
  <c r="I452" i="3"/>
  <c r="O450" i="3"/>
  <c r="O380" i="3"/>
  <c r="G325" i="3"/>
  <c r="L241" i="3"/>
  <c r="E58" i="2"/>
  <c r="A589" i="3"/>
  <c r="G488" i="3"/>
  <c r="A306" i="3"/>
  <c r="O468" i="3"/>
  <c r="B191" i="3"/>
  <c r="P109" i="3"/>
  <c r="M76" i="3"/>
  <c r="G608" i="3"/>
  <c r="M267" i="3"/>
  <c r="E378" i="2"/>
  <c r="C376" i="3"/>
  <c r="O47" i="3"/>
  <c r="M393" i="3"/>
  <c r="K640" i="3"/>
  <c r="L405" i="3"/>
  <c r="E467" i="2"/>
  <c r="F3" i="3"/>
  <c r="G198" i="3"/>
  <c r="N32" i="3"/>
  <c r="M220" i="3"/>
  <c r="D309" i="3"/>
  <c r="G450" i="3"/>
  <c r="M404" i="3"/>
  <c r="N459" i="3"/>
  <c r="H234" i="3"/>
  <c r="H350" i="3"/>
  <c r="H502" i="3"/>
  <c r="L34" i="3"/>
  <c r="M453" i="3"/>
  <c r="J436" i="2"/>
  <c r="I102" i="3"/>
  <c r="I106" i="3"/>
  <c r="J95" i="2"/>
  <c r="K399" i="3"/>
  <c r="L421" i="3"/>
  <c r="P235" i="3"/>
  <c r="M591" i="3"/>
  <c r="L478" i="3"/>
  <c r="P622" i="3"/>
  <c r="M418" i="3"/>
  <c r="G225" i="3"/>
  <c r="M369" i="3"/>
  <c r="I239" i="3"/>
  <c r="N587" i="3"/>
  <c r="L602" i="3"/>
  <c r="O201" i="3"/>
  <c r="B634" i="3"/>
  <c r="G546" i="3"/>
  <c r="P209" i="3"/>
  <c r="L15" i="3"/>
  <c r="J563" i="2"/>
  <c r="P522" i="3"/>
  <c r="E592" i="2"/>
  <c r="I597" i="3"/>
  <c r="K525" i="3"/>
  <c r="P57" i="3"/>
  <c r="F155" i="3"/>
  <c r="A59" i="3"/>
  <c r="K280" i="3"/>
  <c r="P283" i="3"/>
  <c r="L199" i="3"/>
  <c r="N210" i="3"/>
  <c r="G548" i="3"/>
  <c r="H279" i="3"/>
  <c r="E566" i="2"/>
  <c r="L467" i="3"/>
  <c r="M347" i="3"/>
  <c r="G538" i="3"/>
  <c r="A599" i="3"/>
  <c r="N372" i="3"/>
  <c r="K181" i="3"/>
  <c r="F311" i="3"/>
  <c r="M277" i="3"/>
  <c r="M30" i="3"/>
  <c r="P425" i="3"/>
  <c r="G152" i="3"/>
  <c r="K116" i="3"/>
  <c r="N562" i="3"/>
  <c r="A437" i="3"/>
  <c r="G268" i="3"/>
  <c r="O302" i="3"/>
  <c r="M603" i="3"/>
  <c r="H504" i="3"/>
  <c r="G102" i="3"/>
  <c r="C180" i="3"/>
  <c r="J616" i="2"/>
  <c r="P130" i="3"/>
  <c r="J433" i="2"/>
  <c r="I437" i="3"/>
  <c r="O536" i="3"/>
  <c r="O607" i="3"/>
  <c r="K384" i="3"/>
  <c r="L369" i="3"/>
  <c r="P325" i="3"/>
  <c r="K14" i="3"/>
  <c r="H307" i="3"/>
  <c r="D430" i="3"/>
  <c r="O515" i="3"/>
  <c r="J197" i="2"/>
  <c r="N610" i="3"/>
  <c r="P309" i="3"/>
  <c r="F102" i="3"/>
  <c r="H317" i="3"/>
  <c r="N155" i="3"/>
  <c r="D3" i="3"/>
  <c r="K270" i="3"/>
  <c r="L112" i="3"/>
  <c r="L436" i="3"/>
  <c r="L149" i="3"/>
  <c r="L614" i="3"/>
  <c r="G106" i="3"/>
  <c r="O471" i="3"/>
  <c r="K246" i="3"/>
  <c r="M199" i="3"/>
  <c r="L458" i="3"/>
  <c r="O269" i="3"/>
  <c r="G349" i="3"/>
  <c r="N621" i="3"/>
  <c r="F529" i="3"/>
  <c r="L507" i="3"/>
  <c r="F511" i="3"/>
  <c r="H362" i="3"/>
  <c r="H176" i="3"/>
  <c r="G40" i="3"/>
  <c r="H165" i="3"/>
  <c r="C481" i="3"/>
  <c r="E170" i="2"/>
  <c r="O156" i="3"/>
  <c r="E610" i="2"/>
  <c r="O434" i="3"/>
  <c r="H134" i="3"/>
  <c r="O613" i="3"/>
  <c r="K401" i="3"/>
  <c r="M212" i="3"/>
  <c r="L4" i="3"/>
  <c r="M463" i="3"/>
  <c r="K123" i="3"/>
  <c r="P527" i="3"/>
  <c r="D387" i="3"/>
  <c r="H245" i="3"/>
  <c r="E168" i="2"/>
  <c r="I193" i="3"/>
  <c r="H584" i="3"/>
  <c r="J338" i="2"/>
  <c r="O276" i="3"/>
  <c r="M165" i="3"/>
  <c r="E240" i="2"/>
  <c r="P302" i="3"/>
  <c r="J88" i="2"/>
  <c r="H169" i="3"/>
  <c r="K495" i="3"/>
  <c r="D101" i="3"/>
  <c r="A313" i="3"/>
  <c r="N601" i="3"/>
  <c r="K316" i="3"/>
  <c r="E380" i="2"/>
  <c r="G451" i="3"/>
  <c r="H557" i="3"/>
  <c r="J358" i="2"/>
  <c r="G294" i="3"/>
  <c r="M479" i="3"/>
  <c r="G367" i="3"/>
  <c r="P4" i="3"/>
  <c r="M619" i="3"/>
  <c r="O400" i="3"/>
  <c r="J332" i="2"/>
  <c r="B620" i="3"/>
  <c r="K629" i="3"/>
  <c r="O317" i="3"/>
  <c r="K230" i="3"/>
  <c r="N435" i="3"/>
  <c r="K383" i="3"/>
  <c r="F374" i="3"/>
  <c r="G16" i="3"/>
  <c r="I414" i="3"/>
  <c r="O159" i="3"/>
  <c r="F600" i="3"/>
  <c r="J219" i="2"/>
  <c r="E320" i="2"/>
  <c r="B194" i="3"/>
  <c r="P573" i="3"/>
  <c r="M616" i="3"/>
  <c r="L368" i="3"/>
  <c r="M421" i="3"/>
  <c r="G512" i="3"/>
  <c r="I580" i="3"/>
  <c r="H455" i="3"/>
  <c r="M593" i="3"/>
  <c r="N588" i="3"/>
  <c r="E620" i="2"/>
  <c r="A311" i="3"/>
  <c r="M197" i="3"/>
  <c r="D74" i="3"/>
  <c r="M631" i="3"/>
  <c r="I424" i="3"/>
  <c r="O265" i="3"/>
  <c r="M101" i="3"/>
  <c r="D491" i="3"/>
  <c r="M422" i="3"/>
  <c r="M142" i="3"/>
  <c r="L64" i="3"/>
  <c r="O255" i="3"/>
  <c r="E453" i="2"/>
  <c r="M300" i="3"/>
  <c r="N15" i="3"/>
  <c r="P385" i="3"/>
  <c r="H496" i="3"/>
  <c r="E118" i="2"/>
  <c r="L431" i="3"/>
  <c r="P218" i="3"/>
  <c r="I51" i="3"/>
  <c r="O35" i="3"/>
  <c r="A530" i="3"/>
  <c r="J497" i="2"/>
  <c r="C25" i="3"/>
  <c r="F528" i="3"/>
  <c r="G21" i="3"/>
  <c r="A90" i="3"/>
  <c r="L349" i="3"/>
  <c r="A228" i="3"/>
  <c r="L632" i="3"/>
  <c r="A157" i="3"/>
  <c r="P557" i="3"/>
  <c r="H221" i="3"/>
  <c r="H179" i="3"/>
  <c r="M345" i="3"/>
  <c r="A496" i="3"/>
  <c r="K425" i="3"/>
  <c r="N466" i="3"/>
  <c r="O580" i="3"/>
  <c r="H320" i="3"/>
  <c r="O71" i="3"/>
  <c r="I605" i="3"/>
  <c r="K132" i="3"/>
  <c r="G307" i="3"/>
  <c r="G427" i="3"/>
  <c r="G36" i="3"/>
  <c r="O493" i="3"/>
  <c r="J84" i="2"/>
  <c r="L263" i="3"/>
  <c r="H588" i="3"/>
  <c r="I312" i="3"/>
  <c r="L514" i="3"/>
  <c r="K327" i="3"/>
  <c r="A217" i="3"/>
  <c r="O342" i="3"/>
  <c r="A304" i="3"/>
  <c r="P621" i="3"/>
  <c r="K115" i="3"/>
  <c r="I167" i="3"/>
  <c r="P225" i="3"/>
  <c r="O232" i="3"/>
  <c r="A566" i="3"/>
  <c r="E181" i="2"/>
  <c r="N430" i="3"/>
  <c r="O235" i="3"/>
  <c r="J382" i="2"/>
  <c r="A18" i="3"/>
  <c r="F563" i="3"/>
  <c r="G617" i="3"/>
  <c r="J101" i="2"/>
  <c r="B545" i="3"/>
  <c r="N367" i="3"/>
  <c r="L217" i="3"/>
  <c r="M556" i="3"/>
  <c r="N604" i="3"/>
  <c r="J81" i="2"/>
  <c r="G305" i="3"/>
  <c r="E42" i="2"/>
  <c r="M122" i="3"/>
  <c r="M365" i="3"/>
  <c r="O422" i="3"/>
  <c r="P178" i="3"/>
  <c r="I454" i="3"/>
  <c r="A173" i="3"/>
  <c r="A280" i="3"/>
  <c r="I624" i="3"/>
  <c r="P139" i="3"/>
  <c r="K241" i="3"/>
  <c r="B419" i="3"/>
  <c r="E23" i="2"/>
  <c r="H153" i="3"/>
  <c r="M74" i="3"/>
  <c r="G468" i="3"/>
  <c r="I475" i="3"/>
  <c r="F88" i="3"/>
  <c r="O13" i="3"/>
  <c r="A12" i="3"/>
  <c r="M141" i="3"/>
  <c r="J238" i="2"/>
  <c r="M213" i="3"/>
  <c r="L381" i="3"/>
  <c r="I520" i="3"/>
  <c r="P86" i="3"/>
  <c r="K312" i="3"/>
  <c r="H66" i="3"/>
  <c r="K70" i="3"/>
  <c r="H17" i="3"/>
  <c r="M125" i="3"/>
  <c r="G582" i="3"/>
  <c r="C632" i="3"/>
  <c r="H529" i="3"/>
  <c r="B477" i="3"/>
  <c r="N399" i="3"/>
  <c r="J55" i="2"/>
  <c r="E51" i="2"/>
  <c r="P572" i="3"/>
  <c r="K136" i="3"/>
  <c r="O260" i="3"/>
  <c r="M464" i="3"/>
  <c r="A561" i="3"/>
  <c r="K144" i="3"/>
  <c r="H523" i="3"/>
  <c r="H163" i="3"/>
  <c r="O534" i="3"/>
  <c r="A457" i="3"/>
  <c r="F555" i="3"/>
  <c r="L620" i="3"/>
  <c r="G254" i="3"/>
  <c r="K19" i="3"/>
  <c r="L529" i="3"/>
  <c r="L195" i="3"/>
  <c r="K255" i="3"/>
  <c r="P264" i="3"/>
  <c r="L45" i="3"/>
  <c r="A302" i="3"/>
  <c r="G38" i="3"/>
  <c r="P99" i="3"/>
  <c r="M119" i="3"/>
  <c r="A373" i="3"/>
  <c r="L161" i="3"/>
  <c r="M100" i="3"/>
  <c r="D85" i="3"/>
  <c r="P420" i="3"/>
  <c r="J489" i="2"/>
  <c r="P388" i="3"/>
  <c r="L545" i="3"/>
  <c r="K600" i="3"/>
  <c r="J416" i="2"/>
  <c r="O374" i="3"/>
  <c r="P458" i="3"/>
  <c r="K268" i="3"/>
  <c r="E428" i="2"/>
  <c r="L546" i="3"/>
  <c r="J550" i="2"/>
  <c r="I323" i="3"/>
  <c r="F109" i="3"/>
  <c r="G192" i="3"/>
  <c r="A607" i="3"/>
  <c r="A346" i="3"/>
  <c r="K7" i="3"/>
  <c r="G558" i="3"/>
  <c r="G532" i="3"/>
  <c r="P321" i="3"/>
  <c r="P318" i="3"/>
  <c r="H570" i="3"/>
  <c r="M249" i="3"/>
  <c r="H400" i="3"/>
  <c r="M33" i="3"/>
  <c r="I58" i="3"/>
  <c r="F113" i="3"/>
  <c r="K475" i="3"/>
  <c r="D461" i="3"/>
  <c r="H114" i="3"/>
  <c r="F272" i="3"/>
  <c r="G424" i="3"/>
  <c r="E330" i="2"/>
  <c r="K551" i="3"/>
  <c r="F73" i="3"/>
  <c r="J229" i="2"/>
  <c r="A216" i="3"/>
  <c r="O97" i="3"/>
  <c r="C624" i="3"/>
  <c r="N70" i="3"/>
  <c r="A181" i="3"/>
  <c r="J398" i="2"/>
  <c r="H129" i="3"/>
  <c r="H84" i="3"/>
  <c r="H602" i="3"/>
  <c r="B83" i="3"/>
  <c r="M623" i="3"/>
  <c r="F458" i="3"/>
  <c r="A463" i="3"/>
  <c r="I108" i="3"/>
  <c r="O409" i="3"/>
  <c r="L155" i="3"/>
  <c r="I185" i="3"/>
  <c r="P3" i="3"/>
  <c r="E50" i="2"/>
  <c r="L568" i="3"/>
  <c r="L527" i="3"/>
  <c r="G15" i="3"/>
  <c r="L171" i="3"/>
  <c r="H562" i="3"/>
  <c r="O319" i="3"/>
  <c r="N115" i="3"/>
  <c r="M398" i="3"/>
  <c r="I70" i="3"/>
  <c r="G311" i="3"/>
  <c r="L98" i="3"/>
  <c r="J289" i="2"/>
  <c r="G360" i="3"/>
  <c r="L134" i="3"/>
  <c r="F575" i="3"/>
  <c r="L196" i="3"/>
  <c r="G238" i="3"/>
  <c r="L214" i="3"/>
  <c r="M55" i="3"/>
  <c r="G309" i="3"/>
  <c r="J144" i="2"/>
  <c r="K278" i="3"/>
  <c r="E143" i="2"/>
  <c r="I327" i="3"/>
  <c r="A188" i="3"/>
  <c r="F586" i="3"/>
  <c r="G156" i="3"/>
  <c r="J630" i="2"/>
  <c r="H145" i="3"/>
  <c r="G338" i="3"/>
  <c r="I450" i="3"/>
  <c r="K434" i="3"/>
  <c r="O334" i="3"/>
  <c r="P510" i="3"/>
  <c r="J371" i="2"/>
  <c r="I271" i="3"/>
  <c r="G437" i="3"/>
  <c r="K530" i="3"/>
  <c r="O538" i="3"/>
  <c r="P477" i="3"/>
  <c r="O175" i="3"/>
  <c r="L242" i="3"/>
  <c r="M521" i="3"/>
  <c r="M241" i="3"/>
  <c r="M329" i="3"/>
  <c r="H334" i="3"/>
  <c r="J286" i="2"/>
  <c r="P272" i="3"/>
  <c r="G168" i="3"/>
  <c r="F337" i="3"/>
  <c r="I409" i="3"/>
  <c r="J190" i="2"/>
  <c r="A11" i="3"/>
  <c r="A454" i="3"/>
  <c r="B518" i="3"/>
  <c r="G621" i="3"/>
  <c r="M458" i="3"/>
  <c r="L103" i="3"/>
  <c r="F72" i="3"/>
  <c r="M39" i="3"/>
  <c r="A87" i="3"/>
  <c r="G328" i="3"/>
  <c r="I554" i="3"/>
  <c r="I380" i="3"/>
  <c r="I300" i="3"/>
  <c r="A244" i="3"/>
  <c r="K544" i="3"/>
  <c r="F219" i="3"/>
  <c r="J233" i="2"/>
  <c r="E201" i="2"/>
  <c r="I561" i="3"/>
  <c r="I541" i="3"/>
  <c r="I111" i="3"/>
  <c r="J523" i="2"/>
  <c r="G524" i="3"/>
  <c r="F639" i="3"/>
  <c r="N218" i="3"/>
  <c r="P423" i="3"/>
  <c r="L621" i="3"/>
  <c r="F13" i="3"/>
  <c r="F82" i="3"/>
  <c r="M610" i="3"/>
  <c r="O95" i="3"/>
  <c r="F167" i="3"/>
  <c r="L23" i="3"/>
  <c r="M132" i="3"/>
  <c r="O196" i="3"/>
  <c r="P517" i="3"/>
  <c r="O82" i="3"/>
  <c r="G515" i="3"/>
  <c r="K296" i="3"/>
  <c r="F105" i="3"/>
  <c r="H534" i="3"/>
  <c r="F182" i="3"/>
  <c r="F120" i="3"/>
  <c r="A601" i="3"/>
  <c r="M400" i="3"/>
  <c r="E135" i="2"/>
  <c r="I267" i="3"/>
  <c r="E243" i="2"/>
  <c r="O311" i="3"/>
  <c r="O284" i="3"/>
  <c r="M568" i="3"/>
  <c r="L289" i="3"/>
  <c r="F230" i="3"/>
  <c r="J100" i="2"/>
  <c r="L300" i="3"/>
  <c r="A96" i="3"/>
  <c r="H227" i="3"/>
  <c r="J348" i="2"/>
  <c r="F75" i="3"/>
  <c r="J546" i="2"/>
  <c r="M61" i="3"/>
  <c r="F253" i="3"/>
  <c r="I25" i="3"/>
  <c r="B519" i="3"/>
  <c r="E122" i="2"/>
  <c r="A542" i="3"/>
  <c r="H526" i="3"/>
  <c r="N188" i="3"/>
  <c r="H419" i="3"/>
  <c r="G253" i="3"/>
  <c r="E253" i="2"/>
  <c r="E581" i="2"/>
  <c r="O120" i="3"/>
  <c r="A46" i="3"/>
  <c r="A536" i="3"/>
  <c r="J549" i="2"/>
  <c r="M600" i="3"/>
  <c r="C435" i="3"/>
  <c r="L223" i="3"/>
  <c r="G23" i="3"/>
  <c r="F122" i="3"/>
  <c r="J43" i="2"/>
  <c r="I276" i="3"/>
  <c r="G507" i="3"/>
  <c r="C23" i="3"/>
  <c r="H321" i="3"/>
  <c r="K158" i="3"/>
  <c r="I196" i="3"/>
  <c r="K44" i="3"/>
  <c r="N620" i="3"/>
  <c r="H188" i="3"/>
  <c r="P16" i="3"/>
  <c r="N118" i="3"/>
  <c r="E622" i="2"/>
  <c r="O34" i="3"/>
  <c r="N557" i="3"/>
  <c r="H497" i="3"/>
  <c r="F117" i="3"/>
  <c r="H240" i="3"/>
  <c r="G270" i="3"/>
  <c r="E355" i="2"/>
  <c r="E493" i="2"/>
  <c r="O39" i="3"/>
  <c r="H306" i="3"/>
  <c r="A526" i="3"/>
  <c r="A153" i="3"/>
  <c r="F590" i="3"/>
  <c r="N321" i="3"/>
  <c r="A10" i="3"/>
  <c r="I584" i="3"/>
  <c r="P410" i="3"/>
  <c r="G478" i="3"/>
  <c r="P317" i="3"/>
  <c r="E137" i="2"/>
  <c r="E40" i="2"/>
  <c r="F290" i="3"/>
  <c r="J542" i="2"/>
  <c r="I478" i="3"/>
  <c r="B543" i="3"/>
  <c r="K515" i="3"/>
  <c r="G397" i="3"/>
  <c r="J360" i="2"/>
  <c r="M238" i="3"/>
  <c r="F599" i="3"/>
  <c r="J337" i="2"/>
  <c r="C454" i="3"/>
  <c r="E321" i="2"/>
  <c r="L601" i="3"/>
  <c r="H527" i="3"/>
  <c r="I59" i="3"/>
  <c r="O19" i="3"/>
  <c r="N143" i="3"/>
  <c r="O553" i="3"/>
  <c r="J511" i="2"/>
  <c r="A399" i="3"/>
  <c r="H96" i="3"/>
  <c r="G236" i="3"/>
  <c r="C427" i="3"/>
  <c r="N11" i="3"/>
  <c r="H181" i="3"/>
  <c r="J426" i="2"/>
  <c r="H197" i="3"/>
  <c r="K82" i="3"/>
  <c r="A17" i="3"/>
  <c r="A471" i="3"/>
  <c r="J288" i="2"/>
  <c r="L153" i="3"/>
  <c r="J524" i="2"/>
  <c r="G22" i="3"/>
  <c r="I381" i="3"/>
  <c r="H383" i="3"/>
  <c r="O162" i="3"/>
  <c r="G185" i="3"/>
  <c r="H577" i="3"/>
  <c r="O388" i="3"/>
  <c r="A508" i="3"/>
  <c r="J60" i="2"/>
  <c r="J393" i="2"/>
  <c r="A546" i="3"/>
  <c r="I495" i="3"/>
  <c r="I198" i="3"/>
  <c r="I120" i="3"/>
  <c r="J96" i="2"/>
  <c r="H187" i="3"/>
  <c r="L501" i="3"/>
  <c r="K267" i="3"/>
  <c r="K308" i="3"/>
  <c r="E470" i="2"/>
  <c r="A202" i="3"/>
  <c r="P508" i="3"/>
  <c r="L38" i="3"/>
  <c r="O43" i="3"/>
  <c r="P33" i="3"/>
  <c r="A230" i="3"/>
  <c r="H512" i="3"/>
  <c r="K510" i="3"/>
  <c r="H194" i="3"/>
  <c r="K75" i="3"/>
  <c r="N79" i="3"/>
  <c r="I69" i="3"/>
  <c r="L393" i="3"/>
  <c r="E533" i="2"/>
  <c r="F522" i="3"/>
  <c r="L312" i="3"/>
  <c r="H273" i="3"/>
  <c r="A200" i="3"/>
  <c r="I375" i="3"/>
  <c r="H616" i="3"/>
  <c r="J117" i="2"/>
  <c r="I34" i="3"/>
  <c r="H130" i="3"/>
  <c r="G235" i="3"/>
  <c r="N602" i="3"/>
  <c r="H118" i="3"/>
  <c r="I351" i="3"/>
  <c r="G579" i="3"/>
  <c r="N157" i="3"/>
  <c r="O449" i="3"/>
  <c r="H460" i="3"/>
  <c r="E116" i="2"/>
  <c r="F461" i="3"/>
  <c r="A72" i="3"/>
  <c r="I458" i="3"/>
  <c r="K89" i="3"/>
  <c r="F93" i="3"/>
  <c r="J617" i="2"/>
  <c r="F310" i="3"/>
  <c r="C296" i="3"/>
  <c r="E626" i="2"/>
  <c r="L392" i="3"/>
  <c r="J134" i="2"/>
  <c r="G406" i="3"/>
  <c r="K341" i="3"/>
  <c r="F270" i="3"/>
  <c r="O195" i="3"/>
  <c r="A533" i="3"/>
  <c r="B399" i="3"/>
  <c r="K286" i="3"/>
  <c r="P17" i="3"/>
  <c r="F431" i="3"/>
  <c r="I4" i="3"/>
  <c r="J115" i="2"/>
  <c r="L418" i="3"/>
  <c r="M528" i="3"/>
  <c r="O163" i="3"/>
  <c r="P391" i="3"/>
  <c r="B147" i="3"/>
  <c r="N90" i="3"/>
  <c r="J592" i="2"/>
  <c r="F95" i="3"/>
  <c r="K151" i="3"/>
  <c r="J79" i="2"/>
  <c r="O99" i="3"/>
  <c r="G391" i="3"/>
  <c r="A416" i="3"/>
  <c r="I479" i="3"/>
  <c r="L518" i="3"/>
  <c r="F279" i="3"/>
  <c r="H225" i="3"/>
  <c r="I336" i="3"/>
  <c r="N191" i="3"/>
  <c r="K371" i="3"/>
  <c r="G457" i="3"/>
  <c r="O576" i="3"/>
  <c r="J453" i="2"/>
  <c r="K497" i="3"/>
  <c r="N354" i="3"/>
  <c r="K150" i="3"/>
  <c r="G355" i="3"/>
  <c r="F482" i="3"/>
  <c r="O583" i="3"/>
  <c r="F200" i="3"/>
  <c r="M403" i="3"/>
  <c r="I45" i="3"/>
  <c r="I535" i="3"/>
  <c r="O423" i="3"/>
  <c r="L574" i="3"/>
  <c r="G246" i="3"/>
  <c r="A145" i="3"/>
  <c r="I303" i="3"/>
  <c r="G237" i="3"/>
  <c r="C357" i="3"/>
  <c r="P160" i="3"/>
  <c r="D580" i="3"/>
  <c r="J324" i="2"/>
  <c r="P229" i="3"/>
  <c r="N593" i="3"/>
  <c r="I328" i="3"/>
  <c r="K468" i="3"/>
  <c r="E81" i="2"/>
  <c r="C466" i="3"/>
  <c r="E335" i="2"/>
  <c r="E210" i="2"/>
  <c r="J301" i="2"/>
  <c r="E498" i="2"/>
  <c r="N507" i="3"/>
  <c r="F118" i="3"/>
  <c r="K23" i="3"/>
  <c r="K445" i="3"/>
  <c r="I181" i="3"/>
  <c r="F137" i="3"/>
  <c r="M551" i="3"/>
  <c r="M17" i="3"/>
  <c r="K283" i="3"/>
  <c r="F213" i="3"/>
  <c r="A240" i="3"/>
  <c r="J307" i="2"/>
  <c r="A516" i="3"/>
  <c r="E526" i="2"/>
  <c r="A364" i="3"/>
  <c r="K541" i="3"/>
  <c r="E167" i="2"/>
  <c r="O614" i="3"/>
  <c r="E96" i="2"/>
  <c r="N393" i="3"/>
  <c r="E161" i="2"/>
  <c r="G445" i="3"/>
  <c r="B183" i="3"/>
  <c r="G306" i="3"/>
  <c r="K59" i="3"/>
  <c r="F306" i="3"/>
  <c r="F335" i="3"/>
  <c r="P258" i="3"/>
  <c r="N277" i="3"/>
  <c r="L569" i="3"/>
  <c r="E374" i="2"/>
  <c r="I277" i="3"/>
  <c r="H473" i="3"/>
  <c r="J521" i="2"/>
  <c r="M144" i="3"/>
  <c r="J226" i="2"/>
  <c r="I513" i="3"/>
  <c r="N278" i="3"/>
  <c r="L388" i="3"/>
  <c r="L143" i="3"/>
  <c r="H217" i="3"/>
  <c r="I559" i="3"/>
  <c r="F562" i="3"/>
  <c r="M406" i="3"/>
  <c r="O549" i="3"/>
  <c r="D339" i="3"/>
  <c r="F415" i="3"/>
  <c r="O631" i="3"/>
  <c r="I384" i="3"/>
  <c r="P463" i="3"/>
  <c r="J443" i="2"/>
  <c r="J595" i="2"/>
  <c r="H100" i="3"/>
  <c r="F76" i="3"/>
  <c r="E306" i="2"/>
  <c r="F616" i="3"/>
  <c r="K262" i="3"/>
  <c r="O7" i="3"/>
  <c r="H435" i="3"/>
  <c r="O341" i="3"/>
  <c r="F487" i="3"/>
  <c r="F444" i="3"/>
  <c r="N22" i="3"/>
  <c r="E80" i="2"/>
  <c r="K21" i="3"/>
  <c r="F324" i="3"/>
  <c r="K549" i="3"/>
  <c r="N532" i="3"/>
  <c r="A469" i="3"/>
  <c r="I519" i="3"/>
  <c r="M96" i="3"/>
  <c r="F413" i="3"/>
  <c r="E621" i="2"/>
  <c r="A324" i="3"/>
  <c r="H413" i="3"/>
  <c r="P303" i="3"/>
  <c r="C167" i="3"/>
  <c r="P590" i="3"/>
  <c r="J241" i="2"/>
  <c r="I566" i="3"/>
  <c r="C430" i="3"/>
  <c r="P287" i="3"/>
  <c r="P554" i="3"/>
  <c r="O167" i="3"/>
  <c r="K22" i="3"/>
  <c r="E189" i="2"/>
  <c r="C203" i="3"/>
  <c r="N525" i="3"/>
  <c r="G485" i="3"/>
  <c r="E345" i="2"/>
  <c r="L451" i="3"/>
  <c r="E229" i="2"/>
  <c r="E123" i="2"/>
  <c r="O535" i="3"/>
  <c r="I321" i="3"/>
  <c r="M414" i="3"/>
  <c r="F520" i="3"/>
  <c r="K281" i="3"/>
  <c r="F499" i="3"/>
  <c r="E585" i="2"/>
  <c r="F282" i="3"/>
  <c r="A158" i="3"/>
  <c r="L126" i="3"/>
  <c r="O241" i="3"/>
  <c r="O470" i="3"/>
  <c r="K194" i="3"/>
  <c r="J575" i="2"/>
  <c r="P563" i="3"/>
  <c r="A92" i="3"/>
  <c r="M331" i="3"/>
  <c r="K422" i="3"/>
  <c r="H572" i="3"/>
  <c r="M146" i="3"/>
  <c r="L68" i="3"/>
  <c r="E283" i="2"/>
  <c r="E239" i="2"/>
  <c r="O305" i="3"/>
  <c r="O498" i="3"/>
  <c r="L295" i="3"/>
  <c r="E213" i="2"/>
  <c r="H566" i="3"/>
  <c r="M327" i="3"/>
  <c r="D409" i="3"/>
  <c r="M348" i="3"/>
  <c r="N312" i="3"/>
  <c r="M118" i="3"/>
  <c r="N350" i="3"/>
  <c r="K573" i="3"/>
  <c r="L254" i="3"/>
  <c r="H488" i="3"/>
  <c r="P471" i="3"/>
  <c r="C513" i="3"/>
  <c r="J559" i="2"/>
  <c r="E360" i="2"/>
  <c r="L299" i="3"/>
  <c r="P166" i="3"/>
  <c r="M266" i="3"/>
  <c r="M294" i="3"/>
  <c r="O365" i="3"/>
  <c r="I601" i="3"/>
  <c r="P479" i="3"/>
  <c r="L583" i="3"/>
  <c r="M85" i="3"/>
  <c r="H553" i="3"/>
  <c r="H494" i="3"/>
  <c r="M255" i="3"/>
  <c r="G207" i="3"/>
  <c r="B24" i="3"/>
  <c r="K380" i="3"/>
  <c r="A52" i="3"/>
  <c r="N622" i="3"/>
  <c r="M501" i="3"/>
  <c r="L485" i="3"/>
  <c r="P115" i="3"/>
  <c r="J609" i="2"/>
  <c r="J613" i="2"/>
  <c r="A99" i="3"/>
  <c r="N628" i="3"/>
  <c r="I421" i="3"/>
  <c r="E37" i="2"/>
  <c r="F442" i="3"/>
  <c r="J105" i="2"/>
  <c r="N302" i="3"/>
  <c r="F228" i="3"/>
  <c r="L187" i="3"/>
  <c r="M104" i="3"/>
  <c r="G169" i="3"/>
  <c r="H257" i="3"/>
  <c r="E521" i="2"/>
  <c r="M632" i="3"/>
  <c r="F338" i="3"/>
  <c r="K459" i="3"/>
  <c r="A583" i="3"/>
  <c r="D48" i="3"/>
  <c r="I595" i="3"/>
  <c r="I314" i="3"/>
  <c r="L468" i="3"/>
  <c r="H586" i="3"/>
  <c r="E93" i="2"/>
  <c r="F184" i="3"/>
  <c r="M223" i="3"/>
  <c r="N224" i="3"/>
  <c r="H519" i="3"/>
  <c r="P39" i="3"/>
  <c r="I117" i="3"/>
  <c r="G122" i="3"/>
  <c r="J340" i="2"/>
  <c r="N156" i="3"/>
  <c r="K239" i="3"/>
  <c r="G527" i="3"/>
  <c r="C408" i="3"/>
  <c r="D529" i="3"/>
  <c r="O80" i="3"/>
  <c r="M473" i="3"/>
  <c r="N98" i="3"/>
  <c r="K517" i="3"/>
  <c r="I20" i="3"/>
  <c r="O506" i="3"/>
  <c r="I366" i="3"/>
  <c r="B286" i="3"/>
  <c r="G314" i="3"/>
  <c r="L57" i="3"/>
  <c r="O436" i="3"/>
  <c r="I486" i="3"/>
  <c r="F495" i="3"/>
  <c r="N252" i="3"/>
  <c r="N128" i="3"/>
  <c r="P26" i="3"/>
  <c r="M130" i="3"/>
  <c r="M152" i="3"/>
  <c r="N229" i="3"/>
  <c r="G519" i="3"/>
  <c r="P35" i="3"/>
  <c r="B15" i="3"/>
  <c r="P337" i="3"/>
  <c r="P633" i="3"/>
  <c r="G27" i="3"/>
  <c r="M599" i="3"/>
  <c r="H168" i="3"/>
  <c r="O530" i="3"/>
  <c r="E188" i="2"/>
  <c r="L210" i="3"/>
  <c r="H599" i="3"/>
  <c r="H614" i="3"/>
  <c r="M54" i="3"/>
  <c r="M413" i="3"/>
  <c r="H597" i="3"/>
  <c r="I21" i="3"/>
  <c r="J396" i="2"/>
  <c r="M545" i="3"/>
  <c r="A419" i="3"/>
  <c r="E6" i="2"/>
  <c r="L556" i="3"/>
  <c r="A290" i="3"/>
  <c r="A255" i="3"/>
  <c r="O248" i="3"/>
  <c r="M90" i="3"/>
  <c r="L287" i="3"/>
  <c r="G56" i="3"/>
  <c r="K392" i="3"/>
  <c r="J621" i="2"/>
  <c r="I231" i="3"/>
  <c r="O599" i="3"/>
  <c r="J224" i="2"/>
  <c r="E192" i="2"/>
  <c r="H590" i="3"/>
  <c r="I548" i="3"/>
  <c r="A108" i="3"/>
  <c r="E364" i="2"/>
  <c r="I66" i="3"/>
  <c r="O356" i="3"/>
  <c r="O499" i="3"/>
  <c r="I305" i="3"/>
  <c r="H501" i="3"/>
  <c r="H442" i="3"/>
  <c r="H303" i="3"/>
  <c r="L540" i="3"/>
  <c r="L105" i="3"/>
  <c r="P326" i="3"/>
  <c r="O446" i="3"/>
  <c r="P454" i="3"/>
  <c r="H47" i="3"/>
  <c r="L288" i="3"/>
  <c r="N186" i="3"/>
  <c r="E38" i="2"/>
  <c r="M292" i="3"/>
  <c r="J236" i="2"/>
  <c r="N388" i="3"/>
  <c r="A379" i="3"/>
  <c r="E617" i="2"/>
  <c r="B462" i="3"/>
  <c r="O160" i="3"/>
  <c r="I608" i="3"/>
  <c r="O10" i="3"/>
  <c r="O488" i="3"/>
  <c r="O541" i="3"/>
  <c r="H634" i="3"/>
  <c r="H56" i="3"/>
  <c r="I218" i="3"/>
  <c r="I329" i="3"/>
  <c r="J491" i="2"/>
  <c r="P443" i="3"/>
  <c r="C344" i="3"/>
  <c r="G444" i="3"/>
  <c r="A509" i="3"/>
  <c r="K6" i="3"/>
  <c r="E353" i="2"/>
  <c r="I226" i="3"/>
  <c r="E586" i="2"/>
  <c r="O632" i="3"/>
  <c r="G96" i="3"/>
  <c r="N501" i="3"/>
  <c r="N17" i="3"/>
  <c r="E455" i="2"/>
  <c r="I208" i="3"/>
  <c r="E17" i="2"/>
  <c r="O407" i="3"/>
  <c r="I412" i="3"/>
  <c r="F246" i="3"/>
  <c r="F615" i="3"/>
  <c r="J500" i="2"/>
  <c r="O252" i="3"/>
  <c r="K208" i="3"/>
  <c r="K362" i="3"/>
  <c r="G203" i="3"/>
  <c r="G386" i="3"/>
  <c r="O413" i="3"/>
  <c r="E352" i="2"/>
  <c r="J461" i="2"/>
  <c r="G24" i="3"/>
  <c r="P114" i="3"/>
  <c r="E388" i="2"/>
  <c r="F2" i="3"/>
  <c r="J90" i="2"/>
  <c r="M107" i="3"/>
  <c r="A205" i="3"/>
  <c r="M539" i="3"/>
  <c r="J296" i="2"/>
  <c r="N309" i="3"/>
  <c r="L599" i="3"/>
  <c r="G604" i="3"/>
  <c r="H220" i="3"/>
  <c r="L208" i="3"/>
  <c r="J156" i="2"/>
  <c r="O186" i="3"/>
  <c r="L49" i="3"/>
  <c r="E540" i="2"/>
  <c r="E350" i="2"/>
  <c r="N243" i="3"/>
  <c r="G137" i="3"/>
  <c r="H368" i="3"/>
  <c r="G401" i="3"/>
  <c r="O321" i="3"/>
  <c r="N144" i="3"/>
  <c r="N366" i="3"/>
  <c r="I307" i="3"/>
  <c r="L573" i="3"/>
  <c r="P98" i="3"/>
  <c r="P591" i="3"/>
  <c r="F36" i="3"/>
  <c r="G17" i="3"/>
  <c r="O295" i="3"/>
  <c r="O384" i="3"/>
  <c r="P310" i="3"/>
  <c r="P526" i="3"/>
  <c r="M389" i="3"/>
  <c r="J407" i="2"/>
  <c r="J15" i="2"/>
  <c r="O309" i="3"/>
  <c r="I464" i="3"/>
  <c r="O524" i="3"/>
  <c r="M32" i="3"/>
  <c r="N234" i="3"/>
  <c r="N164" i="3"/>
  <c r="J6" i="2"/>
  <c r="F94" i="3"/>
  <c r="F244" i="3"/>
  <c r="N209" i="3"/>
  <c r="J462" i="2"/>
  <c r="L28" i="3"/>
  <c r="F10" i="3"/>
  <c r="A552" i="3"/>
  <c r="I556" i="3"/>
  <c r="K189" i="3"/>
  <c r="P257" i="3"/>
  <c r="P528" i="3"/>
  <c r="F314" i="3"/>
  <c r="C491" i="3"/>
  <c r="A362" i="3"/>
  <c r="G282" i="3"/>
  <c r="K79" i="3"/>
  <c r="P288" i="3"/>
  <c r="I332" i="3"/>
  <c r="K106" i="3"/>
  <c r="M606" i="3"/>
  <c r="E465" i="2"/>
  <c r="I573" i="3"/>
  <c r="P5" i="3"/>
  <c r="J187" i="2"/>
  <c r="M476" i="3"/>
  <c r="F19" i="3"/>
  <c r="K574" i="3"/>
  <c r="M584" i="3"/>
  <c r="K305" i="3"/>
  <c r="I633" i="3"/>
  <c r="H594" i="3"/>
  <c r="I487" i="3"/>
  <c r="P355" i="3"/>
  <c r="J422" i="2"/>
  <c r="M202" i="3"/>
  <c r="E603" i="2"/>
  <c r="J278" i="2"/>
  <c r="J69" i="2"/>
  <c r="L524" i="3"/>
  <c r="O220" i="3"/>
  <c r="L547" i="3"/>
  <c r="L190" i="3"/>
  <c r="E178" i="2"/>
  <c r="M534" i="3"/>
  <c r="N357" i="3"/>
  <c r="E454" i="2"/>
  <c r="P294" i="3"/>
  <c r="O531" i="3"/>
  <c r="I609" i="3"/>
  <c r="K147" i="3"/>
  <c r="I547" i="3"/>
  <c r="E640" i="2"/>
  <c r="I525" i="3"/>
  <c r="F302" i="3"/>
  <c r="O242" i="3"/>
  <c r="O382" i="3"/>
  <c r="E407" i="2"/>
  <c r="P41" i="3"/>
  <c r="D399" i="3"/>
  <c r="H97" i="3"/>
  <c r="J622" i="2"/>
  <c r="O86" i="3"/>
  <c r="M467" i="3"/>
  <c r="A571" i="3"/>
  <c r="E415" i="2"/>
  <c r="O247" i="3"/>
  <c r="K221" i="3"/>
  <c r="G117" i="3"/>
  <c r="H299" i="3"/>
  <c r="M283" i="3"/>
  <c r="N301" i="3"/>
  <c r="H558" i="3"/>
  <c r="K345" i="3"/>
  <c r="M35" i="3"/>
  <c r="L402" i="3"/>
  <c r="F567" i="3"/>
  <c r="M526" i="3"/>
  <c r="O208" i="3"/>
  <c r="A198" i="3"/>
  <c r="N423" i="3"/>
  <c r="P62" i="3"/>
  <c r="B124" i="3"/>
  <c r="M128" i="3"/>
  <c r="N45" i="3"/>
  <c r="I252" i="3"/>
  <c r="C566" i="3"/>
  <c r="L616" i="3"/>
  <c r="J206" i="2"/>
  <c r="G42" i="3"/>
  <c r="M315" i="3"/>
  <c r="K199" i="3"/>
  <c r="A372" i="3"/>
  <c r="F348" i="3"/>
  <c r="L472" i="3"/>
  <c r="E127" i="2"/>
  <c r="F320" i="3"/>
  <c r="J428" i="2"/>
  <c r="I456" i="3"/>
  <c r="H226" i="3"/>
  <c r="D285" i="3"/>
  <c r="O173" i="3"/>
  <c r="N126" i="3"/>
  <c r="D116" i="3"/>
  <c r="J199" i="2"/>
  <c r="G267" i="3"/>
  <c r="F544" i="3"/>
  <c r="J420" i="2"/>
  <c r="N267" i="3"/>
  <c r="H308" i="3"/>
  <c r="F533" i="3"/>
  <c r="J427" i="2"/>
  <c r="H48" i="3"/>
  <c r="I180" i="3"/>
  <c r="O389" i="3"/>
  <c r="L70" i="3"/>
  <c r="A109" i="3"/>
  <c r="N630" i="3"/>
  <c r="E120" i="2"/>
  <c r="F108" i="3"/>
  <c r="M640" i="3"/>
  <c r="A347" i="3"/>
  <c r="P205" i="3"/>
  <c r="K535" i="3"/>
  <c r="H378" i="3"/>
  <c r="B475" i="3"/>
  <c r="E180" i="2"/>
  <c r="O5" i="3"/>
  <c r="A331" i="3"/>
  <c r="N445" i="3"/>
  <c r="M512" i="3"/>
  <c r="B105" i="3"/>
  <c r="E505" i="2"/>
  <c r="H507" i="3"/>
  <c r="P524" i="3"/>
  <c r="K48" i="3"/>
  <c r="P304" i="3"/>
  <c r="A65" i="3"/>
  <c r="K480" i="3"/>
  <c r="N406" i="3"/>
  <c r="L313" i="3"/>
  <c r="P439" i="3"/>
  <c r="G417" i="3"/>
  <c r="E636" i="2"/>
  <c r="A484" i="3"/>
  <c r="P409" i="3"/>
  <c r="I517" i="3"/>
  <c r="E462" i="2"/>
  <c r="C461" i="3"/>
  <c r="G93" i="3"/>
  <c r="N149" i="3"/>
  <c r="M301" i="3"/>
  <c r="N282" i="3"/>
  <c r="G280" i="3"/>
  <c r="P476" i="3"/>
  <c r="H492" i="3"/>
  <c r="G260" i="3"/>
  <c r="K372" i="3"/>
  <c r="P366" i="3"/>
  <c r="G429" i="3"/>
  <c r="L10" i="3"/>
  <c r="K359" i="3"/>
  <c r="A179" i="3"/>
  <c r="G639" i="3"/>
  <c r="O48" i="3"/>
  <c r="J59" i="2"/>
  <c r="P392" i="3"/>
  <c r="M484" i="3"/>
  <c r="L3" i="3"/>
  <c r="E506" i="2"/>
  <c r="M571" i="3"/>
  <c r="A68" i="3"/>
  <c r="J528" i="2"/>
  <c r="M93" i="3"/>
  <c r="C7" i="3"/>
  <c r="N56" i="3"/>
  <c r="P171" i="3"/>
  <c r="H581" i="3"/>
  <c r="F277" i="3"/>
  <c r="K598" i="3"/>
  <c r="J116" i="2"/>
  <c r="I174" i="3"/>
  <c r="A195" i="3"/>
  <c r="F87" i="3"/>
  <c r="N241" i="3"/>
  <c r="H242" i="3"/>
  <c r="A177" i="3"/>
  <c r="H249" i="3"/>
  <c r="F359" i="3"/>
  <c r="K416" i="3"/>
  <c r="G449" i="3"/>
  <c r="N43" i="3"/>
  <c r="N253" i="3"/>
  <c r="H119" i="3"/>
  <c r="E557" i="2"/>
  <c r="N338" i="3"/>
  <c r="F424" i="3"/>
  <c r="L247" i="3"/>
  <c r="O516" i="3"/>
  <c r="I112" i="3"/>
  <c r="E625" i="2"/>
  <c r="J292" i="2"/>
  <c r="L322" i="3"/>
  <c r="M264" i="3"/>
  <c r="F256" i="3"/>
  <c r="F222" i="3"/>
  <c r="L76" i="3"/>
  <c r="J353" i="2"/>
  <c r="G466" i="3"/>
  <c r="J474" i="2"/>
  <c r="A101" i="3"/>
  <c r="H10" i="3"/>
  <c r="J450" i="2"/>
  <c r="H191" i="3"/>
  <c r="N611" i="3"/>
  <c r="G81" i="3"/>
  <c r="K488" i="3"/>
  <c r="J552" i="2"/>
  <c r="G10" i="3"/>
  <c r="K607" i="3"/>
  <c r="L166" i="3"/>
  <c r="P376" i="3"/>
  <c r="K153" i="3"/>
  <c r="P159" i="3"/>
  <c r="K624" i="3"/>
  <c r="A424" i="3"/>
  <c r="F385" i="3"/>
  <c r="A597" i="3"/>
  <c r="C433" i="3"/>
  <c r="E497" i="2"/>
  <c r="H539" i="3"/>
  <c r="G344" i="3"/>
  <c r="F509" i="3"/>
  <c r="M629" i="3"/>
  <c r="I562" i="3"/>
  <c r="H91" i="3"/>
  <c r="G141" i="3"/>
  <c r="L281" i="3"/>
  <c r="F208" i="3"/>
  <c r="N48" i="3"/>
  <c r="L237" i="3"/>
  <c r="M553" i="3"/>
  <c r="I387" i="3"/>
  <c r="N613" i="3"/>
  <c r="A625" i="3"/>
  <c r="D319" i="3"/>
  <c r="K347" i="3"/>
  <c r="C417" i="3"/>
  <c r="P460" i="3"/>
  <c r="H28" i="3"/>
  <c r="I110" i="3"/>
  <c r="F266" i="3"/>
  <c r="N332" i="3"/>
  <c r="K74" i="3"/>
  <c r="J411" i="2"/>
  <c r="A243" i="3"/>
  <c r="G589" i="3"/>
  <c r="A370" i="3"/>
  <c r="A495" i="3"/>
  <c r="L476" i="3"/>
  <c r="L73" i="3"/>
  <c r="L301" i="3"/>
  <c r="P128" i="3"/>
  <c r="L163" i="3"/>
  <c r="J400" i="2"/>
  <c r="I514" i="3"/>
  <c r="O486" i="3"/>
  <c r="L399" i="3"/>
  <c r="M164" i="3"/>
  <c r="F339" i="3"/>
  <c r="M309" i="3"/>
  <c r="O527" i="3"/>
  <c r="O125" i="3"/>
  <c r="J214" i="2"/>
  <c r="G553" i="3"/>
  <c r="L417" i="3"/>
  <c r="O623" i="3"/>
  <c r="A325" i="3"/>
  <c r="P340" i="3"/>
  <c r="H454" i="3"/>
  <c r="F29" i="3"/>
  <c r="E270" i="2"/>
  <c r="A632" i="3"/>
  <c r="E541" i="2"/>
  <c r="L479" i="3"/>
  <c r="L206" i="3"/>
  <c r="E75" i="2"/>
  <c r="O290" i="3"/>
  <c r="F455" i="3"/>
  <c r="E569" i="2"/>
  <c r="M516" i="3"/>
  <c r="H626" i="3"/>
  <c r="J222" i="2"/>
  <c r="P28" i="3"/>
  <c r="A182" i="3"/>
  <c r="K465" i="3"/>
  <c r="C517" i="3"/>
  <c r="L136" i="3"/>
  <c r="B320" i="3"/>
  <c r="G500" i="3"/>
  <c r="J438" i="2"/>
  <c r="P36" i="3"/>
  <c r="M15" i="3"/>
  <c r="L146" i="3"/>
  <c r="N535" i="3"/>
  <c r="A638" i="3"/>
  <c r="A149" i="3"/>
  <c r="K507" i="3"/>
  <c r="L185" i="3"/>
  <c r="G299" i="3"/>
  <c r="H449" i="3"/>
  <c r="N91" i="3"/>
  <c r="J505" i="2"/>
  <c r="O490" i="3"/>
  <c r="E18" i="2"/>
  <c r="A604" i="3"/>
  <c r="I135" i="3"/>
  <c r="E227" i="2"/>
  <c r="K556" i="3"/>
  <c r="E136" i="2"/>
  <c r="J346" i="2"/>
  <c r="N237" i="3"/>
  <c r="E21" i="2"/>
  <c r="G526" i="3"/>
  <c r="F334" i="3"/>
  <c r="L255" i="3"/>
  <c r="M3" i="3"/>
  <c r="E36" i="2"/>
  <c r="H3" i="3"/>
  <c r="H331" i="3"/>
  <c r="G351" i="3"/>
  <c r="J111" i="2"/>
  <c r="N473" i="3"/>
  <c r="A142" i="3"/>
  <c r="N310" i="3"/>
  <c r="F4" i="3"/>
  <c r="I483" i="3"/>
  <c r="G329" i="3"/>
  <c r="I550" i="3"/>
  <c r="N154" i="3"/>
  <c r="K192" i="3"/>
  <c r="H530" i="3"/>
  <c r="O584" i="3"/>
  <c r="K134" i="3"/>
  <c r="L314" i="3"/>
  <c r="A466" i="3"/>
  <c r="M612" i="3"/>
  <c r="G45" i="3"/>
  <c r="E476" i="2"/>
  <c r="A301" i="3"/>
  <c r="I342" i="3"/>
  <c r="P32" i="3"/>
  <c r="G272" i="3"/>
  <c r="I270" i="3"/>
  <c r="I343" i="3"/>
  <c r="A267" i="3"/>
  <c r="K277" i="3"/>
  <c r="I474" i="3"/>
  <c r="E400" i="2"/>
  <c r="P329" i="3"/>
  <c r="G442" i="3"/>
  <c r="C103" i="3"/>
  <c r="A115" i="3"/>
  <c r="H251" i="3"/>
  <c r="J104" i="2"/>
  <c r="K545" i="3"/>
  <c r="M407" i="3"/>
  <c r="I43" i="3"/>
  <c r="N511" i="3"/>
  <c r="O154" i="3"/>
  <c r="L528" i="3"/>
  <c r="I118" i="3"/>
  <c r="N426" i="3"/>
  <c r="E449" i="2"/>
  <c r="E448" i="2"/>
  <c r="F248" i="3"/>
  <c r="L215" i="3"/>
  <c r="I258" i="3"/>
  <c r="L21" i="3"/>
  <c r="K256" i="3"/>
  <c r="H231" i="3"/>
  <c r="O153" i="3"/>
  <c r="L267" i="3"/>
  <c r="K122" i="3"/>
  <c r="H19" i="3"/>
  <c r="O416" i="3"/>
  <c r="P215" i="3"/>
  <c r="M217" i="3"/>
  <c r="J588" i="2"/>
  <c r="J431" i="2"/>
  <c r="M190" i="3"/>
  <c r="H560" i="3"/>
  <c r="K25" i="3"/>
  <c r="O281" i="3"/>
  <c r="K15" i="3"/>
  <c r="L2" i="3"/>
  <c r="M633" i="3"/>
  <c r="P119" i="3"/>
  <c r="M352" i="3"/>
  <c r="A98" i="3"/>
  <c r="K332" i="3"/>
  <c r="M576" i="3"/>
  <c r="F263" i="3"/>
  <c r="A319" i="3"/>
  <c r="O292" i="3"/>
  <c r="H280" i="3"/>
  <c r="F139" i="3"/>
  <c r="I265" i="3"/>
  <c r="G554" i="3"/>
  <c r="G615" i="3"/>
  <c r="E376" i="2"/>
  <c r="J493" i="2"/>
  <c r="N85" i="3"/>
  <c r="A190" i="3"/>
  <c r="A156" i="3"/>
  <c r="A193" i="3"/>
  <c r="H248" i="3"/>
  <c r="A550" i="3"/>
  <c r="A32" i="3"/>
  <c r="N460" i="3"/>
  <c r="A620" i="3"/>
  <c r="J435" i="2"/>
  <c r="O148" i="3"/>
  <c r="E74" i="2"/>
  <c r="G428" i="3"/>
  <c r="K447" i="3"/>
  <c r="P71" i="3"/>
  <c r="I93" i="3"/>
  <c r="M254" i="3"/>
  <c r="G28" i="3"/>
  <c r="J504" i="2"/>
  <c r="M169" i="3"/>
  <c r="E599" i="2"/>
  <c r="E200" i="2"/>
  <c r="L119" i="3"/>
  <c r="K319" i="3"/>
  <c r="G31" i="3"/>
  <c r="H7" i="3"/>
  <c r="L628" i="3"/>
  <c r="D401" i="3"/>
  <c r="G52" i="3"/>
  <c r="H515" i="3"/>
  <c r="I423" i="3"/>
  <c r="M185" i="3"/>
  <c r="M624" i="3"/>
  <c r="N612" i="3"/>
  <c r="O465" i="3"/>
  <c r="M178" i="3"/>
  <c r="I539" i="3"/>
  <c r="A45" i="3"/>
  <c r="F350" i="3"/>
  <c r="I552" i="3"/>
  <c r="K63" i="3"/>
  <c r="A348" i="3"/>
  <c r="F112" i="3"/>
  <c r="J137" i="2"/>
  <c r="A85" i="3"/>
  <c r="A340" i="3"/>
  <c r="N492" i="3"/>
  <c r="I619" i="3"/>
  <c r="P276" i="3"/>
  <c r="J618" i="2"/>
  <c r="O158" i="3"/>
  <c r="J581" i="2"/>
  <c r="H379" i="3"/>
  <c r="I65" i="3"/>
  <c r="I124" i="3"/>
  <c r="M339" i="3"/>
  <c r="O123" i="3"/>
  <c r="N317" i="3"/>
  <c r="M310" i="3"/>
  <c r="H256" i="3"/>
  <c r="N607" i="3"/>
  <c r="N330" i="3"/>
  <c r="O338" i="3"/>
  <c r="D610" i="3"/>
  <c r="N93" i="3"/>
  <c r="E564" i="2"/>
  <c r="P629" i="3"/>
  <c r="P70" i="3"/>
  <c r="N409" i="3"/>
  <c r="O140" i="3"/>
  <c r="A274" i="3"/>
  <c r="N524" i="3"/>
  <c r="M429" i="3"/>
  <c r="I391" i="3"/>
  <c r="F84" i="3"/>
  <c r="H318" i="3"/>
  <c r="H589" i="3"/>
  <c r="O368" i="3"/>
  <c r="G18" i="3"/>
  <c r="H637" i="3"/>
  <c r="G525" i="3"/>
  <c r="J562" i="2"/>
  <c r="I352" i="3"/>
  <c r="O94" i="3"/>
  <c r="O72" i="3"/>
  <c r="E134" i="2"/>
  <c r="A147" i="3"/>
  <c r="N542" i="3"/>
  <c r="A478" i="3"/>
  <c r="P295" i="3"/>
  <c r="G50" i="3"/>
  <c r="L186" i="3"/>
  <c r="G381" i="3"/>
  <c r="L138" i="3"/>
  <c r="E215" i="2"/>
  <c r="M98" i="3"/>
  <c r="O475" i="3"/>
  <c r="G364" i="3"/>
  <c r="O404" i="3"/>
  <c r="M615" i="3"/>
  <c r="E61" i="2"/>
  <c r="H505" i="3"/>
  <c r="J492" i="2"/>
  <c r="J131" i="2"/>
  <c r="B220" i="3"/>
  <c r="E451" i="2"/>
  <c r="E343" i="2"/>
  <c r="J335" i="2"/>
  <c r="I23" i="3"/>
  <c r="J273" i="2"/>
  <c r="P485" i="3"/>
  <c r="F336" i="3"/>
  <c r="O609" i="3"/>
  <c r="P307" i="3"/>
  <c r="J85" i="2"/>
  <c r="A284" i="3"/>
  <c r="K4" i="3"/>
  <c r="J367" i="2"/>
  <c r="H612" i="3"/>
  <c r="F426" i="3"/>
  <c r="J86" i="2"/>
  <c r="O445" i="3"/>
  <c r="J627" i="2"/>
  <c r="F257" i="3"/>
  <c r="O540" i="3"/>
  <c r="P579" i="3"/>
  <c r="P146" i="3"/>
  <c r="N201" i="3"/>
  <c r="O285" i="3"/>
  <c r="J547" i="2"/>
  <c r="P175" i="3"/>
  <c r="E169" i="2"/>
  <c r="E285" i="2"/>
  <c r="F225" i="3"/>
  <c r="E609" i="2"/>
  <c r="E481" i="2"/>
  <c r="M314" i="3"/>
  <c r="H283" i="3"/>
  <c r="M504" i="3"/>
  <c r="E30" i="2"/>
  <c r="I435" i="3"/>
  <c r="N337" i="3"/>
  <c r="O381" i="3"/>
  <c r="F358" i="3"/>
  <c r="E264" i="2"/>
  <c r="N280" i="3"/>
  <c r="A245" i="3"/>
  <c r="H164" i="3"/>
  <c r="G377" i="3"/>
  <c r="E293" i="2"/>
  <c r="A444" i="3"/>
  <c r="E149" i="2"/>
  <c r="E504" i="2"/>
  <c r="H133" i="3"/>
  <c r="G100" i="3"/>
  <c r="F612" i="3"/>
  <c r="H403" i="3"/>
  <c r="E252" i="2"/>
  <c r="K512" i="3"/>
  <c r="N272" i="3"/>
  <c r="K3" i="3"/>
  <c r="H224" i="3"/>
  <c r="O271" i="3"/>
  <c r="P457" i="3"/>
  <c r="O487" i="3"/>
  <c r="K453" i="3"/>
  <c r="P242" i="3"/>
  <c r="E22" i="2"/>
  <c r="N279" i="3"/>
  <c r="H143" i="3"/>
  <c r="H600" i="3"/>
  <c r="M495" i="3"/>
  <c r="O625" i="3"/>
  <c r="P291" i="3"/>
  <c r="A2" i="3"/>
  <c r="N373" i="3"/>
  <c r="G416" i="3"/>
  <c r="A472" i="3"/>
  <c r="N625" i="3"/>
  <c r="I359" i="3"/>
  <c r="P442" i="3"/>
  <c r="F288" i="3"/>
  <c r="M441" i="3"/>
  <c r="M78" i="3"/>
  <c r="A569" i="3"/>
  <c r="K314" i="3"/>
  <c r="P176" i="3"/>
  <c r="I216" i="3"/>
  <c r="I395" i="3"/>
  <c r="N403" i="3"/>
  <c r="N472" i="3"/>
  <c r="P422" i="3"/>
  <c r="I406" i="3"/>
  <c r="H37" i="3"/>
  <c r="J3" i="2"/>
  <c r="L116" i="3"/>
  <c r="K516" i="3"/>
  <c r="J615" i="2"/>
  <c r="O63" i="3"/>
  <c r="F604" i="3"/>
  <c r="H326" i="3"/>
  <c r="K599" i="3"/>
  <c r="I235" i="3"/>
  <c r="O54" i="3"/>
  <c r="P480" i="3"/>
  <c r="L591" i="3"/>
  <c r="J526" i="2"/>
  <c r="F410" i="3"/>
  <c r="G637" i="3"/>
  <c r="O246" i="3"/>
  <c r="H445" i="3"/>
  <c r="I438" i="3"/>
  <c r="O478" i="3"/>
  <c r="I603" i="3"/>
  <c r="M469" i="3"/>
  <c r="G126" i="3"/>
  <c r="L37" i="3"/>
  <c r="H295" i="3"/>
  <c r="M380" i="3"/>
  <c r="N616" i="3"/>
  <c r="M172" i="3"/>
  <c r="H29" i="3"/>
  <c r="N10" i="3"/>
  <c r="N506" i="3"/>
  <c r="N145" i="3"/>
  <c r="L225" i="3"/>
  <c r="M308" i="3"/>
  <c r="A49" i="3"/>
  <c r="H214" i="3"/>
  <c r="N365" i="3"/>
  <c r="M455" i="3"/>
  <c r="N207" i="3"/>
  <c r="I30" i="3"/>
  <c r="H576" i="3"/>
  <c r="G163" i="3"/>
  <c r="E337" i="2"/>
  <c r="L204" i="3"/>
  <c r="O239" i="3"/>
  <c r="K248" i="3"/>
  <c r="M258" i="3"/>
  <c r="A365" i="3"/>
  <c r="P559" i="3"/>
  <c r="O187" i="3"/>
  <c r="N284" i="3"/>
  <c r="H537" i="3"/>
  <c r="M555" i="3"/>
  <c r="A577" i="3"/>
  <c r="M427" i="3"/>
  <c r="F573" i="3"/>
  <c r="P180" i="3"/>
  <c r="G323" i="3"/>
  <c r="F379" i="3"/>
  <c r="F399" i="3"/>
  <c r="A132" i="3"/>
  <c r="I206" i="3"/>
  <c r="H467" i="3"/>
  <c r="P214" i="3"/>
  <c r="H522" i="3"/>
  <c r="O109" i="3"/>
  <c r="N316" i="3"/>
  <c r="K346" i="3"/>
  <c r="N245" i="3"/>
  <c r="F377" i="3"/>
  <c r="P594" i="3"/>
  <c r="H157" i="3"/>
  <c r="H148" i="3"/>
  <c r="N444" i="3"/>
  <c r="I284" i="3"/>
  <c r="O209" i="3"/>
  <c r="O102" i="3"/>
  <c r="H578" i="3"/>
  <c r="I259" i="3"/>
  <c r="H328" i="3"/>
  <c r="E596" i="2"/>
  <c r="K210" i="3"/>
  <c r="L141" i="3"/>
  <c r="O256" i="3"/>
  <c r="I164" i="3"/>
  <c r="A498" i="3"/>
  <c r="M81" i="3"/>
  <c r="A473" i="3"/>
  <c r="L108" i="3"/>
  <c r="P163" i="3"/>
  <c r="A6" i="3"/>
  <c r="L428" i="3"/>
  <c r="H304" i="3"/>
  <c r="I534" i="3"/>
  <c r="J471" i="2"/>
  <c r="O297" i="3"/>
  <c r="H190" i="3"/>
  <c r="A7" i="3"/>
  <c r="I292" i="3"/>
  <c r="O582" i="3"/>
  <c r="H201" i="3"/>
  <c r="P323" i="3"/>
  <c r="E193" i="2"/>
  <c r="P30" i="3"/>
  <c r="H124" i="3"/>
  <c r="E602" i="2"/>
  <c r="J249" i="2"/>
  <c r="N360" i="3"/>
  <c r="J455" i="2"/>
  <c r="N18" i="3"/>
  <c r="F85" i="3"/>
  <c r="M397" i="3"/>
  <c r="G124" i="3"/>
  <c r="N270" i="3"/>
  <c r="K303" i="3"/>
  <c r="O420" i="3"/>
  <c r="H384" i="3"/>
  <c r="K335" i="3"/>
  <c r="P394" i="3"/>
  <c r="H261" i="3"/>
  <c r="P450" i="3"/>
  <c r="J287" i="2"/>
  <c r="G278" i="3"/>
  <c r="M86" i="3"/>
  <c r="K152" i="3"/>
  <c r="A543" i="3"/>
  <c r="H95" i="3"/>
  <c r="O628" i="3"/>
  <c r="P346" i="3"/>
  <c r="I415" i="3"/>
  <c r="F459" i="3"/>
  <c r="K261" i="3"/>
  <c r="H291" i="3"/>
  <c r="A381" i="3"/>
  <c r="M532" i="3"/>
  <c r="I357" i="3"/>
  <c r="H332" i="3"/>
  <c r="M210" i="3"/>
  <c r="N391" i="3"/>
  <c r="I488" i="3"/>
  <c r="M359" i="3"/>
  <c r="H146" i="3"/>
  <c r="A154" i="3"/>
  <c r="G327" i="3"/>
  <c r="L366" i="3"/>
  <c r="P599" i="3"/>
  <c r="A292" i="3"/>
  <c r="O304" i="3"/>
  <c r="I210" i="3"/>
  <c r="H538" i="3"/>
  <c r="P216" i="3"/>
  <c r="O57" i="3"/>
  <c r="G65" i="3"/>
  <c r="L640" i="3"/>
  <c r="K83" i="3"/>
  <c r="O139" i="3"/>
  <c r="L383" i="3"/>
  <c r="D114" i="3"/>
  <c r="K240" i="3"/>
  <c r="H376" i="3"/>
  <c r="L538" i="3"/>
  <c r="P604" i="3"/>
  <c r="B363" i="3"/>
  <c r="A628" i="3"/>
  <c r="P281" i="3"/>
  <c r="G247" i="3"/>
  <c r="N540" i="3"/>
  <c r="J172" i="2"/>
  <c r="H593" i="3"/>
  <c r="M410" i="3"/>
  <c r="P331" i="3"/>
  <c r="H222" i="3"/>
  <c r="O145" i="3"/>
  <c r="N161" i="3"/>
  <c r="E53" i="2"/>
  <c r="K9" i="3"/>
  <c r="I80" i="3"/>
  <c r="K188" i="3"/>
  <c r="E590" i="2"/>
  <c r="I621" i="3"/>
  <c r="L425" i="3"/>
  <c r="A338" i="3"/>
  <c r="M586" i="3"/>
  <c r="F39" i="3"/>
  <c r="A256" i="3"/>
  <c r="G475" i="3"/>
  <c r="C534" i="3"/>
  <c r="M228" i="3"/>
  <c r="E487" i="2"/>
  <c r="K228" i="3"/>
  <c r="O216" i="3"/>
  <c r="P360" i="3"/>
  <c r="E310" i="2"/>
  <c r="I42" i="3"/>
  <c r="L82" i="3"/>
  <c r="G255" i="3"/>
  <c r="E539" i="2"/>
  <c r="A277" i="3"/>
  <c r="N407" i="3"/>
  <c r="F357" i="3"/>
  <c r="G208" i="3"/>
  <c r="F333" i="3"/>
  <c r="E108" i="2"/>
  <c r="O104" i="3"/>
  <c r="H414" i="3"/>
  <c r="L110" i="3"/>
  <c r="H106" i="3"/>
  <c r="L39" i="3"/>
  <c r="H183" i="3"/>
  <c r="J520" i="2"/>
  <c r="A380" i="3"/>
  <c r="G97" i="3"/>
  <c r="P482" i="3"/>
  <c r="G407" i="3"/>
  <c r="J173" i="2"/>
  <c r="G432" i="3"/>
  <c r="P65" i="3"/>
  <c r="L150" i="3"/>
  <c r="D535" i="3"/>
  <c r="I598" i="3"/>
  <c r="O492" i="3"/>
  <c r="I2" i="3"/>
  <c r="M531" i="3"/>
  <c r="O544" i="3"/>
  <c r="E629" i="2"/>
  <c r="G26" i="3"/>
  <c r="K438" i="3"/>
  <c r="A584" i="3"/>
  <c r="E190" i="2"/>
  <c r="P208" i="3"/>
  <c r="F450" i="3"/>
  <c r="K84" i="3"/>
  <c r="K352" i="3"/>
  <c r="A420" i="3"/>
  <c r="N606" i="3"/>
  <c r="G120" i="3"/>
  <c r="A296" i="3"/>
  <c r="G145" i="3"/>
  <c r="L605" i="3"/>
  <c r="J164" i="2"/>
  <c r="I315" i="3"/>
  <c r="G131" i="3"/>
  <c r="K364" i="3"/>
  <c r="G374" i="3"/>
  <c r="L27" i="3"/>
  <c r="A506" i="3"/>
  <c r="N464" i="3"/>
  <c r="F201" i="3"/>
  <c r="J387" i="2"/>
  <c r="G494" i="3"/>
  <c r="K98" i="3"/>
  <c r="M275" i="3"/>
  <c r="E516" i="2"/>
  <c r="P469" i="3"/>
  <c r="L132" i="3"/>
  <c r="I378" i="3"/>
  <c r="F475" i="3"/>
  <c r="F319" i="3"/>
  <c r="A321" i="3"/>
  <c r="A89" i="3"/>
  <c r="M234" i="3"/>
  <c r="F490" i="3"/>
  <c r="F140" i="3"/>
  <c r="J302" i="2"/>
  <c r="E568" i="2"/>
  <c r="G422" i="3"/>
  <c r="P91" i="3"/>
  <c r="G176" i="3"/>
  <c r="E234" i="2"/>
  <c r="F477" i="3"/>
  <c r="A626" i="3"/>
  <c r="L47" i="3"/>
  <c r="L330" i="3"/>
  <c r="N295" i="3"/>
  <c r="I278" i="3"/>
  <c r="E259" i="2"/>
  <c r="E600" i="2"/>
  <c r="L459" i="3"/>
  <c r="M392" i="3"/>
  <c r="P113" i="3"/>
  <c r="G263" i="3"/>
  <c r="L611" i="3"/>
  <c r="L304" i="3"/>
  <c r="I214" i="3"/>
  <c r="J525" i="2"/>
  <c r="I604" i="3"/>
  <c r="N637" i="3"/>
  <c r="K243" i="3"/>
  <c r="G543" i="3"/>
  <c r="I150" i="3"/>
  <c r="N421" i="3"/>
  <c r="H443" i="3"/>
  <c r="P82" i="3"/>
  <c r="F308" i="3"/>
  <c r="E141" i="2"/>
  <c r="P290" i="3"/>
  <c r="O588" i="3"/>
  <c r="J351" i="2"/>
  <c r="F530" i="3"/>
  <c r="G510" i="3"/>
  <c r="H293" i="3"/>
  <c r="J319" i="2"/>
  <c r="G33" i="3"/>
  <c r="J509" i="2"/>
  <c r="J179" i="2"/>
  <c r="L107" i="3"/>
  <c r="J374" i="2"/>
  <c r="N500" i="3"/>
  <c r="P280" i="3"/>
  <c r="N636" i="3"/>
  <c r="E295" i="2"/>
  <c r="F203" i="3"/>
  <c r="E509" i="2"/>
  <c r="H394" i="3"/>
  <c r="O68" i="3"/>
  <c r="G241" i="3"/>
  <c r="L533" i="3"/>
  <c r="H315" i="3"/>
  <c r="F130" i="3"/>
  <c r="J403" i="2"/>
  <c r="M430" i="3"/>
  <c r="A42" i="3"/>
  <c r="G148" i="3"/>
  <c r="M137" i="3"/>
  <c r="M490" i="3"/>
  <c r="L481" i="3"/>
  <c r="I147" i="3"/>
  <c r="L151" i="3"/>
  <c r="F101" i="3"/>
  <c r="O55" i="3"/>
  <c r="H139" i="3"/>
  <c r="I246" i="3"/>
  <c r="P296" i="3"/>
  <c r="I140" i="3"/>
  <c r="H13" i="3"/>
  <c r="E477" i="2"/>
  <c r="E366" i="2"/>
  <c r="M12" i="3"/>
  <c r="N192" i="3"/>
  <c r="K520" i="3"/>
  <c r="N496" i="3"/>
  <c r="E226" i="2"/>
  <c r="M496" i="3"/>
  <c r="B366" i="3"/>
  <c r="E435" i="2"/>
  <c r="K586" i="3"/>
  <c r="A456" i="3"/>
  <c r="P31" i="3"/>
  <c r="E413" i="2"/>
  <c r="I200" i="3"/>
  <c r="G123" i="3"/>
  <c r="E262" i="2"/>
  <c r="K218" i="3"/>
  <c r="I144" i="3"/>
  <c r="H640" i="3"/>
  <c r="G230" i="3"/>
  <c r="G528" i="3"/>
  <c r="G368" i="3"/>
  <c r="E78" i="2"/>
  <c r="N469" i="3"/>
  <c r="H284" i="3"/>
  <c r="P251" i="3"/>
  <c r="M209" i="3"/>
  <c r="N576" i="3"/>
  <c r="F192" i="3"/>
  <c r="L172" i="3"/>
  <c r="N348" i="3"/>
  <c r="A515" i="3"/>
  <c r="I426" i="3"/>
  <c r="E163" i="2"/>
  <c r="F33" i="3"/>
  <c r="G292" i="3"/>
  <c r="M439" i="3"/>
  <c r="N257" i="3"/>
  <c r="A253" i="3"/>
  <c r="K242" i="3"/>
  <c r="F488" i="3"/>
  <c r="G291" i="3"/>
  <c r="I590" i="3"/>
  <c r="F141" i="3"/>
  <c r="E425" i="2"/>
  <c r="E125" i="2"/>
  <c r="K108" i="3"/>
  <c r="M5" i="3"/>
  <c r="E538" i="2"/>
  <c r="E452" i="2"/>
  <c r="H184" i="3"/>
  <c r="P456" i="3"/>
  <c r="F296" i="3"/>
  <c r="N110" i="3"/>
  <c r="A336" i="3"/>
  <c r="A522" i="3"/>
  <c r="A391" i="3"/>
  <c r="M83" i="3"/>
  <c r="A241" i="3"/>
  <c r="F99" i="3"/>
  <c r="K451" i="3"/>
  <c r="O502" i="3"/>
  <c r="H423" i="3"/>
  <c r="P367" i="3"/>
  <c r="A505" i="3"/>
  <c r="E369" i="2"/>
  <c r="M7" i="3"/>
  <c r="F34" i="3"/>
  <c r="G550" i="3"/>
  <c r="N356" i="3"/>
  <c r="H107" i="3"/>
  <c r="M580" i="3"/>
  <c r="F361" i="3"/>
  <c r="G522" i="3"/>
  <c r="M431" i="3"/>
  <c r="G385" i="3"/>
  <c r="K501" i="3"/>
  <c r="K127" i="3"/>
  <c r="M206" i="3"/>
  <c r="K291" i="3"/>
  <c r="H607" i="3"/>
  <c r="F607" i="3"/>
  <c r="G219" i="3"/>
  <c r="K367" i="3"/>
  <c r="J356" i="2"/>
  <c r="J52" i="2"/>
  <c r="O477" i="3"/>
  <c r="K469" i="3"/>
  <c r="O585" i="3"/>
  <c r="G564" i="3"/>
  <c r="N299" i="3"/>
  <c r="G127" i="3"/>
  <c r="P350" i="3"/>
  <c r="J221" i="2"/>
  <c r="I154" i="3"/>
  <c r="H309" i="3"/>
  <c r="J276" i="2"/>
  <c r="K376" i="3"/>
  <c r="A3" i="3"/>
  <c r="I250" i="3"/>
  <c r="K28" i="3"/>
  <c r="N327" i="3"/>
  <c r="O75" i="3"/>
  <c r="N51" i="3"/>
  <c r="K533" i="3"/>
  <c r="E532" i="2"/>
  <c r="K91" i="3"/>
  <c r="E530" i="2"/>
  <c r="K227" i="3"/>
  <c r="E491" i="2"/>
  <c r="L77" i="3"/>
  <c r="K33" i="3"/>
  <c r="M274" i="3"/>
  <c r="L65" i="3"/>
  <c r="F143" i="3"/>
  <c r="F503" i="3"/>
  <c r="I149" i="3"/>
  <c r="P293" i="3"/>
  <c r="O263" i="3"/>
  <c r="L87" i="3"/>
  <c r="J620" i="2"/>
  <c r="E461" i="2"/>
  <c r="E612" i="2"/>
  <c r="K175" i="3"/>
  <c r="I392" i="3"/>
  <c r="G503" i="3"/>
  <c r="A88" i="3"/>
  <c r="I563" i="3"/>
  <c r="K635" i="3"/>
  <c r="P222" i="3"/>
  <c r="A374" i="3"/>
  <c r="G313" i="3"/>
  <c r="J625" i="2"/>
  <c r="J612" i="2"/>
  <c r="F452" i="3"/>
  <c r="J10" i="2"/>
  <c r="F174" i="3"/>
  <c r="M578" i="3"/>
  <c r="K430" i="3"/>
  <c r="J378" i="2"/>
  <c r="L587" i="3"/>
  <c r="N34" i="3"/>
  <c r="N28" i="3"/>
  <c r="M106" i="3"/>
  <c r="O517" i="3"/>
  <c r="H447" i="3"/>
  <c r="G164" i="3"/>
  <c r="J76" i="2"/>
  <c r="G211" i="3"/>
  <c r="I592" i="3"/>
  <c r="G172" i="3"/>
  <c r="F54" i="3"/>
  <c r="G542" i="3"/>
  <c r="O410" i="3"/>
  <c r="F412" i="3"/>
  <c r="H524" i="3"/>
  <c r="K481" i="3"/>
  <c r="K337" i="3"/>
  <c r="M585" i="3"/>
  <c r="E238" i="2"/>
  <c r="G201" i="3"/>
  <c r="L517" i="3"/>
  <c r="O253" i="3"/>
  <c r="H484" i="3"/>
  <c r="K297" i="3"/>
  <c r="G395" i="3"/>
  <c r="K589" i="3"/>
  <c r="N29" i="3"/>
  <c r="G296" i="3"/>
  <c r="E575" i="2"/>
  <c r="N37" i="3"/>
  <c r="H617" i="3"/>
  <c r="L512" i="3"/>
  <c r="J343" i="2"/>
  <c r="H461" i="3"/>
  <c r="O234" i="3"/>
  <c r="M256" i="3"/>
  <c r="E524" i="2"/>
  <c r="E430" i="2"/>
  <c r="L565" i="3"/>
  <c r="P552" i="3"/>
  <c r="P136" i="3"/>
  <c r="H67" i="3"/>
  <c r="H267" i="3"/>
  <c r="A453" i="3"/>
  <c r="I530" i="3"/>
  <c r="N129" i="3"/>
  <c r="P144" i="3"/>
  <c r="G350" i="3"/>
  <c r="J633" i="2"/>
  <c r="O18" i="3"/>
  <c r="P261" i="3"/>
  <c r="K60" i="3"/>
  <c r="O485" i="3"/>
  <c r="J2" i="2"/>
  <c r="A320" i="3"/>
  <c r="I10" i="3"/>
  <c r="H68" i="3"/>
  <c r="N203" i="3"/>
  <c r="O504" i="3"/>
  <c r="M506" i="3"/>
  <c r="O373" i="3"/>
  <c r="E593" i="2"/>
  <c r="J17" i="2"/>
  <c r="K419" i="3"/>
  <c r="F381" i="3"/>
  <c r="K396" i="3"/>
  <c r="H24" i="3"/>
  <c r="M330" i="3"/>
  <c r="K212" i="3"/>
  <c r="N97" i="3"/>
  <c r="K101" i="3"/>
  <c r="F517" i="3"/>
  <c r="N222" i="3"/>
  <c r="P589" i="3"/>
  <c r="N564" i="3"/>
  <c r="K587" i="3"/>
  <c r="P593" i="3"/>
  <c r="E172" i="2"/>
  <c r="J429" i="2"/>
  <c r="G347" i="3"/>
  <c r="F483" i="3"/>
  <c r="O371" i="3"/>
  <c r="O278" i="3"/>
  <c r="P473" i="3"/>
  <c r="J574" i="2"/>
  <c r="E573" i="2"/>
  <c r="N315" i="3"/>
  <c r="L544" i="3"/>
  <c r="P498" i="3"/>
  <c r="L249" i="3"/>
  <c r="J31" i="2"/>
  <c r="K203" i="3"/>
  <c r="G298" i="3"/>
  <c r="K413" i="3"/>
  <c r="H105" i="3"/>
  <c r="N249" i="3"/>
  <c r="A126" i="3"/>
  <c r="P543" i="3"/>
  <c r="K238" i="3"/>
  <c r="K637" i="3"/>
  <c r="H474" i="3"/>
  <c r="M546" i="3"/>
  <c r="J330" i="2"/>
  <c r="O150" i="3"/>
  <c r="K378" i="3"/>
  <c r="G113" i="3"/>
  <c r="P37" i="3"/>
  <c r="H192" i="3"/>
  <c r="E305" i="2"/>
  <c r="I254" i="3"/>
  <c r="G244" i="3"/>
  <c r="F347" i="3"/>
  <c r="M157" i="3"/>
  <c r="F369" i="3"/>
  <c r="P600" i="3"/>
  <c r="E66" i="2"/>
  <c r="E437" i="2"/>
  <c r="L511" i="3"/>
  <c r="K164" i="3"/>
  <c r="K174" i="3"/>
  <c r="F176" i="3"/>
  <c r="A58" i="3"/>
  <c r="L520" i="3"/>
  <c r="P52" i="3"/>
  <c r="O301" i="3"/>
  <c r="N462" i="3"/>
  <c r="I50" i="3"/>
  <c r="P461" i="3"/>
  <c r="O473" i="3"/>
  <c r="E391" i="2"/>
  <c r="M570" i="3"/>
  <c r="P382" i="3"/>
  <c r="L474" i="3"/>
  <c r="L493" i="3"/>
  <c r="G456" i="3"/>
  <c r="N519" i="3"/>
  <c r="O346" i="3"/>
  <c r="L333" i="3"/>
  <c r="A293" i="3"/>
  <c r="P193" i="3"/>
  <c r="K46" i="3"/>
  <c r="J211" i="2"/>
  <c r="B559" i="3"/>
  <c r="H193" i="3"/>
  <c r="G376" i="3"/>
  <c r="L114" i="3"/>
  <c r="I402" i="3"/>
  <c r="H175" i="3"/>
  <c r="O228" i="3"/>
  <c r="M630" i="3"/>
  <c r="P314" i="3"/>
  <c r="J246" i="2"/>
  <c r="M558" i="3"/>
  <c r="J482" i="2"/>
  <c r="E202" i="2"/>
  <c r="P189" i="3"/>
  <c r="E543" i="2"/>
  <c r="N64" i="3"/>
  <c r="A285" i="3"/>
  <c r="N265" i="3"/>
  <c r="H540" i="3"/>
  <c r="I236" i="3"/>
  <c r="E616" i="2"/>
  <c r="J503" i="2"/>
  <c r="J379" i="2"/>
  <c r="A624" i="3"/>
  <c r="J417" i="2"/>
  <c r="A511" i="3"/>
  <c r="N127" i="3"/>
  <c r="G147" i="3"/>
  <c r="P562" i="3"/>
  <c r="P416" i="3"/>
  <c r="F433" i="3"/>
  <c r="N577" i="3"/>
  <c r="I582" i="3"/>
  <c r="L93" i="3"/>
  <c r="G277" i="3"/>
  <c r="A564" i="3"/>
  <c r="N549" i="3"/>
  <c r="G593" i="3"/>
  <c r="I115" i="3"/>
  <c r="A111" i="3"/>
  <c r="J468" i="2"/>
  <c r="I31" i="3"/>
  <c r="E393" i="2"/>
  <c r="H441" i="3"/>
  <c r="L566" i="3"/>
  <c r="F578" i="3"/>
  <c r="H300" i="3"/>
  <c r="K344" i="3"/>
  <c r="C113" i="3"/>
  <c r="D132" i="3"/>
  <c r="P14" i="3"/>
  <c r="I182" i="3"/>
  <c r="M117" i="3"/>
  <c r="K201" i="3"/>
  <c r="L58" i="3"/>
  <c r="A390" i="3"/>
  <c r="M452" i="3"/>
  <c r="H568" i="3"/>
  <c r="E101" i="2"/>
  <c r="E24" i="2"/>
  <c r="G624" i="3"/>
  <c r="H36" i="3"/>
  <c r="L510" i="3"/>
  <c r="G240" i="3"/>
  <c r="P213" i="3"/>
  <c r="O519" i="3"/>
  <c r="M175" i="3"/>
  <c r="O21" i="3"/>
  <c r="P609" i="3"/>
  <c r="O457" i="3"/>
  <c r="N404" i="3"/>
  <c r="N508" i="3"/>
  <c r="I151" i="3"/>
  <c r="E424" i="2"/>
  <c r="F224" i="3"/>
  <c r="P419" i="3"/>
  <c r="L88" i="3"/>
  <c r="A312" i="3"/>
  <c r="M438" i="3"/>
  <c r="O293" i="3"/>
  <c r="G504" i="3"/>
  <c r="N358" i="3"/>
  <c r="O24" i="3"/>
  <c r="A639" i="3"/>
  <c r="H464" i="3"/>
  <c r="G597" i="3"/>
  <c r="J74" i="2"/>
  <c r="A229" i="3"/>
  <c r="K287" i="3"/>
  <c r="H6" i="3"/>
  <c r="N101" i="3"/>
  <c r="N66" i="3"/>
  <c r="G441" i="3"/>
  <c r="I447" i="3"/>
  <c r="I339" i="3"/>
  <c r="P393" i="3"/>
  <c r="L526" i="3"/>
  <c r="N352" i="3"/>
  <c r="J309" i="2"/>
  <c r="O207" i="3"/>
  <c r="H189" i="3"/>
  <c r="F579" i="3"/>
  <c r="M577" i="3"/>
  <c r="I47" i="3"/>
  <c r="I189" i="3"/>
  <c r="I439" i="3"/>
  <c r="E545" i="2"/>
  <c r="N58" i="3"/>
  <c r="G150" i="3"/>
  <c r="A146" i="3"/>
  <c r="O273" i="3"/>
  <c r="P46" i="3"/>
  <c r="L24" i="3"/>
  <c r="P634" i="3"/>
  <c r="E638" i="2"/>
  <c r="K250" i="3"/>
  <c r="L41" i="3"/>
  <c r="G321" i="3"/>
  <c r="A518" i="3"/>
  <c r="I109" i="3"/>
  <c r="O56" i="3"/>
  <c r="E267" i="2"/>
  <c r="L7" i="3"/>
  <c r="G62" i="3"/>
  <c r="A395" i="3"/>
  <c r="F479" i="3"/>
  <c r="K446" i="3"/>
  <c r="N512" i="3"/>
  <c r="E165" i="2"/>
  <c r="F22" i="3"/>
  <c r="E124" i="2"/>
  <c r="A104" i="3"/>
  <c r="A502" i="3"/>
  <c r="M395" i="3"/>
  <c r="E76" i="2"/>
  <c r="H171" i="3"/>
  <c r="L462" i="3"/>
  <c r="E434" i="2"/>
  <c r="A409" i="3"/>
  <c r="L534" i="3"/>
  <c r="L340" i="3"/>
  <c r="P88" i="3"/>
  <c r="G458" i="3"/>
  <c r="A124" i="3"/>
  <c r="F427" i="3"/>
  <c r="F27" i="3"/>
  <c r="P369" i="3"/>
  <c r="O303" i="3"/>
  <c r="K588" i="3"/>
  <c r="K204" i="3"/>
  <c r="P231" i="3"/>
  <c r="P495" i="3"/>
  <c r="L446" i="3"/>
  <c r="O414" i="3"/>
  <c r="M461" i="3"/>
  <c r="M233" i="3"/>
  <c r="I626" i="3"/>
  <c r="K35" i="3"/>
  <c r="L408" i="3"/>
  <c r="A127" i="3"/>
  <c r="G20" i="3"/>
  <c r="N319" i="3"/>
  <c r="M332" i="3"/>
  <c r="O157" i="3"/>
  <c r="L384" i="3"/>
  <c r="P614" i="3"/>
  <c r="P259" i="3"/>
  <c r="K180" i="3"/>
  <c r="N437" i="3"/>
  <c r="H440" i="3"/>
  <c r="F250" i="3"/>
  <c r="I212" i="3"/>
  <c r="P118" i="3"/>
  <c r="E484" i="2"/>
  <c r="K623" i="3"/>
  <c r="O463" i="3"/>
  <c r="J285" i="2"/>
  <c r="K496" i="3"/>
  <c r="G83" i="3"/>
  <c r="H127" i="3"/>
  <c r="P402" i="3"/>
  <c r="A20" i="3"/>
  <c r="K456" i="3"/>
  <c r="L233" i="3"/>
  <c r="G508" i="3"/>
  <c r="F66" i="3"/>
  <c r="G210" i="3"/>
  <c r="I86" i="3"/>
  <c r="J561" i="2"/>
  <c r="J132" i="2"/>
  <c r="F291" i="3"/>
  <c r="M535" i="3"/>
  <c r="P2" i="3"/>
  <c r="F332" i="3"/>
  <c r="E438" i="2"/>
  <c r="M507" i="3"/>
  <c r="E111" i="2"/>
  <c r="H117" i="3"/>
  <c r="N283" i="3"/>
  <c r="L435" i="3"/>
  <c r="N100" i="3"/>
  <c r="I294" i="3"/>
  <c r="P154" i="3"/>
  <c r="J412" i="2"/>
  <c r="N108" i="3"/>
  <c r="L283" i="3"/>
  <c r="K395" i="3"/>
  <c r="E110" i="2"/>
  <c r="N38" i="3"/>
  <c r="M203" i="3"/>
  <c r="K357" i="3"/>
  <c r="O633" i="3"/>
  <c r="J30" i="2"/>
  <c r="G398" i="3"/>
  <c r="H491" i="3"/>
  <c r="K154" i="3"/>
  <c r="E630" i="2"/>
  <c r="L17" i="3"/>
  <c r="P262" i="3"/>
  <c r="N23" i="3"/>
  <c r="E574" i="2"/>
  <c r="I64" i="3"/>
  <c r="K324" i="3"/>
  <c r="G132" i="3"/>
  <c r="K552" i="3"/>
  <c r="E258" i="2"/>
  <c r="F460" i="3"/>
  <c r="P534" i="3"/>
  <c r="M435" i="3"/>
  <c r="G41" i="3"/>
  <c r="G484" i="3"/>
  <c r="P34" i="3"/>
  <c r="N390" i="3"/>
  <c r="G66" i="3"/>
  <c r="A329" i="3"/>
  <c r="P265" i="3"/>
  <c r="H270" i="3"/>
  <c r="L400" i="3"/>
  <c r="F602" i="3"/>
  <c r="I444" i="3"/>
  <c r="J204" i="2"/>
  <c r="I579" i="3"/>
  <c r="E440" i="2"/>
  <c r="F468" i="3"/>
  <c r="F242" i="3"/>
  <c r="A461" i="3"/>
  <c r="A91" i="3"/>
  <c r="A414" i="3"/>
  <c r="H390" i="3"/>
  <c r="E605" i="2"/>
  <c r="K100" i="3"/>
  <c r="G165" i="3"/>
  <c r="K53" i="3"/>
  <c r="G598" i="3"/>
  <c r="P204" i="3"/>
  <c r="I338" i="3"/>
  <c r="O121" i="3"/>
  <c r="O441" i="3"/>
  <c r="D66" i="3"/>
  <c r="M69" i="3"/>
  <c r="L94" i="3"/>
  <c r="P125" i="3"/>
  <c r="A134" i="3"/>
  <c r="E92" i="2"/>
  <c r="O462" i="3"/>
  <c r="P266" i="3"/>
  <c r="N560" i="3"/>
  <c r="G561" i="3"/>
  <c r="L111" i="3"/>
  <c r="N489" i="3"/>
  <c r="E419" i="2"/>
  <c r="G186" i="3"/>
  <c r="O318" i="3"/>
  <c r="I335" i="3"/>
  <c r="E314" i="2"/>
  <c r="L269" i="3"/>
  <c r="I632" i="3"/>
  <c r="L175" i="3"/>
  <c r="N8" i="3"/>
  <c r="H186" i="3"/>
  <c r="P94" i="3"/>
  <c r="J636" i="2"/>
  <c r="F608" i="3"/>
  <c r="A436" i="3"/>
  <c r="K614" i="3"/>
  <c r="O131" i="3"/>
  <c r="G506" i="3"/>
  <c r="J380" i="2"/>
  <c r="N456" i="3"/>
  <c r="L359" i="3"/>
  <c r="N166" i="3"/>
  <c r="E5" i="2"/>
  <c r="H72" i="3"/>
  <c r="K508" i="3"/>
  <c r="L62" i="3"/>
  <c r="G76" i="3"/>
  <c r="N211" i="3"/>
  <c r="L593" i="3"/>
  <c r="M272" i="3"/>
  <c r="M251" i="3"/>
  <c r="H620" i="3"/>
  <c r="M224" i="3"/>
  <c r="A208" i="3"/>
  <c r="H439" i="3"/>
  <c r="H246" i="3"/>
  <c r="E232" i="2"/>
  <c r="P341" i="3"/>
  <c r="M9" i="3"/>
  <c r="M324" i="3"/>
  <c r="L91" i="3"/>
  <c r="E399" i="2"/>
  <c r="L211" i="3"/>
  <c r="N31" i="3"/>
  <c r="K294" i="3"/>
  <c r="F598" i="3"/>
  <c r="P270" i="3"/>
  <c r="E89" i="2"/>
  <c r="F210" i="3"/>
  <c r="K54" i="3"/>
  <c r="H587" i="3"/>
  <c r="F407" i="3"/>
  <c r="P343" i="3"/>
  <c r="L260" i="3"/>
  <c r="J454" i="2"/>
  <c r="J28" i="2"/>
  <c r="M588" i="3"/>
  <c r="O64" i="3"/>
  <c r="K394" i="3"/>
  <c r="F454" i="3"/>
  <c r="M198" i="3"/>
  <c r="I22" i="3"/>
  <c r="J195" i="2"/>
  <c r="P150" i="3"/>
  <c r="A270" i="3"/>
  <c r="L597" i="3"/>
  <c r="F404" i="3"/>
  <c r="N374" i="3"/>
  <c r="F284" i="3"/>
  <c r="J322" i="2"/>
  <c r="I37" i="3"/>
  <c r="O550" i="3"/>
  <c r="M276" i="3"/>
  <c r="K76" i="3"/>
  <c r="G583" i="3"/>
  <c r="O100" i="3"/>
  <c r="L627" i="3"/>
  <c r="P101" i="3"/>
  <c r="K338" i="3"/>
  <c r="P438" i="3"/>
  <c r="L500" i="3"/>
  <c r="N438" i="3"/>
  <c r="G4" i="3"/>
  <c r="N287" i="3"/>
  <c r="A168" i="3"/>
  <c r="H387" i="3"/>
  <c r="N339" i="3"/>
  <c r="G297" i="3"/>
  <c r="G85" i="3"/>
  <c r="L117" i="3"/>
  <c r="M598" i="3"/>
  <c r="G521" i="3"/>
  <c r="N521" i="3"/>
  <c r="A413" i="3"/>
  <c r="A396" i="3"/>
  <c r="H417" i="3"/>
  <c r="H205" i="3"/>
  <c r="O542" i="3"/>
  <c r="M579" i="3"/>
  <c r="I165" i="3"/>
  <c r="M470" i="3"/>
  <c r="K326" i="3"/>
  <c r="P107" i="3"/>
  <c r="A136" i="3"/>
  <c r="J304" i="2"/>
  <c r="O476" i="3"/>
  <c r="H314" i="3"/>
  <c r="M517" i="3"/>
  <c r="G487" i="3"/>
  <c r="O243" i="3"/>
  <c r="G30" i="3"/>
  <c r="H23" i="3"/>
  <c r="E372" i="2"/>
  <c r="P54" i="3"/>
  <c r="E591" i="2"/>
  <c r="L414" i="3"/>
  <c r="P292" i="3"/>
  <c r="F316" i="3"/>
  <c r="M502" i="3"/>
  <c r="A148" i="3"/>
  <c r="L160" i="3"/>
  <c r="J623" i="2"/>
  <c r="G139" i="3"/>
  <c r="E520" i="2"/>
  <c r="L284" i="3"/>
  <c r="P230" i="3"/>
  <c r="P211" i="3"/>
  <c r="E471" i="2"/>
  <c r="G622" i="3"/>
  <c r="J133" i="2"/>
  <c r="J294" i="2"/>
  <c r="I620" i="3"/>
  <c r="I360" i="3"/>
  <c r="J141" i="2"/>
  <c r="I537" i="3"/>
  <c r="I14" i="3"/>
  <c r="N341" i="3"/>
  <c r="L521" i="3"/>
  <c r="J75" i="2"/>
  <c r="O480" i="3"/>
  <c r="P103" i="3"/>
  <c r="G640" i="3"/>
  <c r="L245" i="3"/>
  <c r="K553" i="3"/>
  <c r="A93" i="3"/>
  <c r="P631" i="3"/>
  <c r="N400" i="3"/>
  <c r="N187" i="3"/>
  <c r="J345" i="2"/>
  <c r="I141" i="3"/>
  <c r="E162" i="2"/>
  <c r="L429" i="3"/>
  <c r="K519" i="3"/>
  <c r="L188" i="3"/>
  <c r="O375" i="3"/>
  <c r="M483" i="3"/>
  <c r="O525" i="3"/>
  <c r="G101" i="3"/>
  <c r="G362" i="3"/>
  <c r="G180" i="3"/>
  <c r="I77" i="3"/>
  <c r="P468" i="3"/>
  <c r="M383" i="3"/>
  <c r="L101" i="3"/>
  <c r="E342" i="2"/>
  <c r="F229" i="3"/>
  <c r="H582" i="3"/>
  <c r="N448" i="3"/>
  <c r="E271" i="2"/>
  <c r="E113" i="2"/>
  <c r="A527" i="3"/>
  <c r="M34" i="3"/>
  <c r="E368" i="2"/>
  <c r="J93" i="2"/>
  <c r="F275" i="3"/>
  <c r="F30" i="3"/>
  <c r="A529" i="3"/>
  <c r="H338" i="3"/>
  <c r="I364" i="3"/>
  <c r="O636" i="3"/>
  <c r="A279" i="3"/>
  <c r="G513" i="3"/>
  <c r="A242" i="3"/>
  <c r="O53" i="3"/>
  <c r="A528" i="3"/>
  <c r="F391" i="3"/>
  <c r="A36" i="3"/>
  <c r="O312" i="3"/>
  <c r="K585" i="3"/>
  <c r="O320" i="3"/>
  <c r="P611" i="3"/>
  <c r="O198" i="3"/>
  <c r="M240" i="3"/>
  <c r="N520" i="3"/>
  <c r="P624" i="3"/>
  <c r="P282" i="3"/>
  <c r="A521" i="3"/>
  <c r="G420" i="3"/>
  <c r="N342" i="3"/>
  <c r="H211" i="3"/>
  <c r="F7" i="3"/>
  <c r="P100" i="3"/>
  <c r="G627" i="3"/>
  <c r="H21" i="3"/>
  <c r="P424" i="3"/>
  <c r="I385" i="3"/>
  <c r="K45" i="3"/>
  <c r="G400" i="3"/>
  <c r="E191" i="2"/>
  <c r="E63" i="2"/>
  <c r="H608" i="3"/>
  <c r="E304" i="2"/>
  <c r="O496" i="3"/>
  <c r="G547" i="3"/>
  <c r="N26" i="3"/>
  <c r="A40" i="3"/>
  <c r="J409" i="2"/>
  <c r="F329" i="3"/>
  <c r="J210" i="2"/>
  <c r="E379" i="2"/>
  <c r="N275" i="3"/>
  <c r="K309" i="3"/>
  <c r="A590" i="3"/>
  <c r="J114" i="2"/>
  <c r="I467" i="3"/>
  <c r="K590" i="3"/>
  <c r="K595" i="3"/>
  <c r="E249" i="2"/>
  <c r="H374" i="3"/>
  <c r="I350" i="3"/>
  <c r="A339" i="3"/>
  <c r="G173" i="3"/>
  <c r="K85" i="3"/>
  <c r="F457" i="3"/>
  <c r="L84" i="3"/>
  <c r="I489" i="3"/>
  <c r="O568" i="3"/>
  <c r="A596" i="3"/>
  <c r="E144" i="2"/>
  <c r="H62" i="3"/>
  <c r="L596" i="3"/>
  <c r="I131" i="3"/>
  <c r="L297" i="3"/>
  <c r="E300" i="2"/>
  <c r="L475" i="3"/>
  <c r="O603" i="3"/>
  <c r="I523" i="3"/>
  <c r="K263" i="3"/>
  <c r="K284" i="3"/>
  <c r="P377" i="3"/>
  <c r="G540" i="3"/>
  <c r="F556" i="3"/>
  <c r="G435" i="3"/>
  <c r="M569" i="3"/>
  <c r="M58" i="3"/>
  <c r="E396" i="2"/>
  <c r="B461" i="3"/>
  <c r="P430" i="3"/>
  <c r="N377" i="3"/>
  <c r="G557" i="3"/>
  <c r="N596" i="3"/>
  <c r="O257" i="3"/>
  <c r="F280" i="3"/>
  <c r="I116" i="3"/>
  <c r="I238" i="3"/>
  <c r="L509" i="3"/>
  <c r="A635" i="3"/>
  <c r="H195" i="3"/>
  <c r="E97" i="2"/>
  <c r="E279" i="2"/>
  <c r="P27" i="3"/>
  <c r="O474" i="3"/>
  <c r="O612" i="3"/>
  <c r="E299" i="2"/>
  <c r="E184" i="2"/>
  <c r="P200" i="3"/>
  <c r="K146" i="3"/>
  <c r="H27" i="3"/>
  <c r="I99" i="3"/>
  <c r="E32" i="2"/>
  <c r="N452" i="3"/>
  <c r="I527" i="3"/>
  <c r="K266" i="3"/>
  <c r="O116" i="3"/>
  <c r="L487" i="3"/>
  <c r="H377" i="3"/>
  <c r="E383" i="2"/>
  <c r="I630" i="3"/>
  <c r="G335" i="3"/>
  <c r="J89" i="2"/>
  <c r="L250" i="3"/>
  <c r="F37" i="3"/>
  <c r="O130" i="3"/>
  <c r="K363" i="3"/>
  <c r="L630" i="3"/>
  <c r="O435" i="3"/>
  <c r="K450" i="3"/>
  <c r="A239" i="3"/>
  <c r="O164" i="3"/>
  <c r="M221" i="3"/>
  <c r="L442" i="3"/>
  <c r="I403" i="3"/>
  <c r="L452" i="3"/>
  <c r="A614" i="3"/>
  <c r="E528" i="2"/>
  <c r="P192" i="3"/>
  <c r="J182" i="2"/>
  <c r="E501" i="2"/>
  <c r="H623" i="3"/>
  <c r="N609" i="3"/>
  <c r="M542" i="3"/>
  <c r="F537" i="3"/>
  <c r="K427" i="3"/>
  <c r="I516" i="3"/>
  <c r="E83" i="2"/>
  <c r="K382" i="3"/>
  <c r="F396" i="3"/>
  <c r="J537" i="2"/>
  <c r="O122" i="3"/>
  <c r="H167" i="3"/>
  <c r="I46" i="3"/>
  <c r="O190" i="3"/>
  <c r="A480" i="3"/>
  <c r="A225" i="3"/>
  <c r="N529" i="3"/>
  <c r="L362" i="3"/>
  <c r="G523" i="3"/>
  <c r="F136" i="3"/>
  <c r="G159" i="3"/>
  <c r="O387" i="3"/>
  <c r="K125" i="3"/>
  <c r="N242" i="3"/>
  <c r="E327" i="2"/>
  <c r="E194" i="2"/>
  <c r="I107" i="3"/>
  <c r="H258" i="3"/>
  <c r="F21" i="3"/>
  <c r="L345" i="3"/>
  <c r="O76" i="3"/>
  <c r="N422" i="3"/>
  <c r="N405" i="3"/>
  <c r="G196" i="3"/>
  <c r="G182" i="3"/>
  <c r="K374" i="3"/>
  <c r="N574" i="3"/>
  <c r="E387" i="2"/>
  <c r="H531" i="3"/>
  <c r="J310" i="2"/>
  <c r="I283" i="3"/>
  <c r="M360" i="3"/>
  <c r="J259" i="2"/>
  <c r="A259" i="3"/>
  <c r="N547" i="3"/>
  <c r="H451" i="3"/>
  <c r="P81" i="3"/>
  <c r="N217" i="3"/>
  <c r="F269" i="3"/>
  <c r="J339" i="2"/>
  <c r="J628" i="2"/>
  <c r="I502" i="3"/>
  <c r="N105" i="3"/>
  <c r="H203" i="3"/>
  <c r="J478" i="2"/>
  <c r="L484" i="3"/>
  <c r="F462" i="3"/>
  <c r="M375" i="3"/>
  <c r="J46" i="2"/>
  <c r="L357" i="3"/>
  <c r="F557" i="3"/>
  <c r="F621" i="3"/>
  <c r="E514" i="2"/>
  <c r="H215" i="3"/>
  <c r="M19" i="3"/>
  <c r="G197" i="3"/>
  <c r="P627" i="3"/>
  <c r="E117" i="2"/>
  <c r="L445" i="3"/>
  <c r="H274" i="3"/>
  <c r="I551" i="3"/>
  <c r="H401" i="3"/>
  <c r="I114" i="3"/>
  <c r="A452" i="3"/>
  <c r="O36" i="3"/>
  <c r="C493" i="3"/>
  <c r="G599" i="3"/>
  <c r="E598" i="2"/>
  <c r="O512" i="3"/>
  <c r="I192" i="3"/>
  <c r="F328" i="3"/>
  <c r="H486" i="3"/>
  <c r="A615" i="3"/>
  <c r="G394" i="3"/>
  <c r="G252" i="3"/>
  <c r="F146" i="3"/>
  <c r="I420" i="3"/>
  <c r="A634" i="3"/>
  <c r="K102" i="3"/>
  <c r="G390" i="3"/>
  <c r="F561" i="3"/>
  <c r="H78" i="3"/>
  <c r="E397" i="2"/>
  <c r="O81" i="3"/>
  <c r="L154" i="3"/>
  <c r="K226" i="3"/>
  <c r="P452" i="3"/>
  <c r="K211" i="3"/>
  <c r="M601" i="3"/>
  <c r="I576" i="3"/>
  <c r="F265" i="3"/>
  <c r="M481" i="3"/>
  <c r="E385" i="2"/>
  <c r="O428" i="3"/>
  <c r="E88" i="2"/>
  <c r="E594" i="2"/>
  <c r="M261" i="3"/>
  <c r="G73" i="3"/>
  <c r="E565" i="2"/>
  <c r="G629" i="3"/>
  <c r="P374" i="3"/>
  <c r="F157" i="3"/>
  <c r="O249" i="3"/>
  <c r="L536" i="3"/>
  <c r="A426" i="3"/>
  <c r="P267" i="3"/>
  <c r="K609" i="3"/>
  <c r="J203" i="2"/>
  <c r="I3" i="3"/>
  <c r="A155" i="3"/>
  <c r="H34" i="3"/>
  <c r="F273" i="3"/>
  <c r="F637" i="3"/>
  <c r="M488" i="3"/>
  <c r="O286" i="3"/>
  <c r="J333" i="2"/>
  <c r="F340" i="3"/>
  <c r="K206" i="3"/>
  <c r="I322" i="3"/>
  <c r="M57" i="3"/>
  <c r="E633" i="2"/>
  <c r="P615" i="3"/>
  <c r="I234" i="3"/>
  <c r="I565" i="3"/>
  <c r="H357" i="3"/>
  <c r="I612" i="3"/>
  <c r="I301" i="3"/>
  <c r="L97" i="3"/>
  <c r="A534" i="3"/>
  <c r="L130" i="3"/>
  <c r="G129" i="3"/>
  <c r="G71" i="3"/>
  <c r="F345" i="3"/>
  <c r="K282" i="3"/>
  <c r="O578" i="3"/>
  <c r="N518" i="3"/>
  <c r="H144" i="3"/>
  <c r="L240" i="3"/>
  <c r="O491" i="3"/>
  <c r="F354" i="3"/>
  <c r="J597" i="2"/>
  <c r="E265" i="2"/>
  <c r="G136" i="3"/>
  <c r="K68" i="3"/>
  <c r="N197" i="3"/>
  <c r="P384" i="3"/>
  <c r="O323" i="3"/>
  <c r="I365" i="3"/>
  <c r="I101" i="3"/>
  <c r="H363" i="3"/>
  <c r="F142" i="3"/>
  <c r="I398" i="3"/>
  <c r="G149" i="3"/>
  <c r="J350" i="2"/>
  <c r="J66" i="2"/>
  <c r="H265" i="3"/>
  <c r="G413" i="3"/>
  <c r="L253" i="3"/>
  <c r="H359" i="3"/>
  <c r="O146" i="3"/>
  <c r="A125" i="3"/>
  <c r="F342" i="3"/>
  <c r="E266" i="2"/>
  <c r="L629" i="3"/>
  <c r="A48" i="3"/>
  <c r="N411" i="3"/>
  <c r="N14" i="3"/>
  <c r="H75" i="3"/>
  <c r="M42" i="3"/>
  <c r="O49" i="3"/>
  <c r="J231" i="2"/>
  <c r="A464" i="3"/>
  <c r="L354" i="3"/>
  <c r="H545" i="3"/>
  <c r="O294" i="3"/>
  <c r="M156" i="3"/>
  <c r="P83" i="3"/>
  <c r="K193" i="3"/>
  <c r="A54" i="3"/>
  <c r="G460" i="3"/>
  <c r="N583" i="3"/>
  <c r="G276" i="3"/>
  <c r="E444" i="2"/>
  <c r="E341" i="2"/>
  <c r="I173" i="3"/>
  <c r="J580" i="2"/>
  <c r="H212" i="3"/>
  <c r="N434" i="3"/>
  <c r="E282" i="2"/>
  <c r="P245" i="3"/>
  <c r="E254" i="2"/>
  <c r="P252" i="3"/>
  <c r="M515" i="3"/>
  <c r="G431" i="3"/>
  <c r="I526" i="3"/>
  <c r="N639" i="3"/>
  <c r="F330" i="3"/>
  <c r="J442" i="2"/>
  <c r="K349" i="3"/>
  <c r="J401" i="2"/>
  <c r="P327" i="3"/>
  <c r="I341" i="3"/>
  <c r="K478" i="3"/>
  <c r="N170" i="3"/>
  <c r="E15" i="2"/>
  <c r="M424" i="3"/>
  <c r="O11" i="3"/>
  <c r="K479" i="3"/>
  <c r="G348" i="3"/>
  <c r="F635" i="3"/>
  <c r="A257" i="3"/>
  <c r="F148" i="3"/>
  <c r="A557" i="3"/>
  <c r="P63" i="3"/>
  <c r="E9" i="2"/>
  <c r="E588" i="2"/>
  <c r="K334" i="3"/>
  <c r="K207" i="3"/>
  <c r="A415" i="3"/>
  <c r="A541" i="3"/>
  <c r="L631" i="3"/>
  <c r="P373" i="3"/>
  <c r="M246" i="3"/>
  <c r="K457" i="3"/>
  <c r="I74" i="3"/>
  <c r="M109" i="3"/>
  <c r="N346" i="3"/>
  <c r="L617" i="3"/>
  <c r="J488" i="2"/>
  <c r="K377" i="3"/>
  <c r="I27" i="3"/>
  <c r="H120" i="3"/>
  <c r="A459" i="3"/>
  <c r="I121" i="3"/>
  <c r="G415" i="3"/>
  <c r="I132" i="3"/>
  <c r="L9" i="3"/>
  <c r="H216" i="3"/>
  <c r="E82" i="2"/>
  <c r="F411" i="3"/>
  <c r="P379" i="3"/>
  <c r="J572" i="2"/>
  <c r="L396" i="3"/>
  <c r="G496" i="3"/>
  <c r="J425" i="2"/>
  <c r="P592" i="3"/>
  <c r="P544" i="3"/>
  <c r="H346" i="3"/>
  <c r="N182" i="3"/>
  <c r="J399" i="2"/>
  <c r="I436" i="3"/>
  <c r="L497" i="3"/>
  <c r="J293" i="2"/>
  <c r="G382" i="3"/>
  <c r="E280" i="2"/>
  <c r="I469" i="3"/>
  <c r="A517" i="3"/>
  <c r="G79" i="3"/>
  <c r="M563" i="3"/>
  <c r="P370" i="3"/>
  <c r="N408" i="3"/>
  <c r="E346" i="2"/>
  <c r="M268" i="3"/>
  <c r="I163" i="3"/>
  <c r="O393" i="3"/>
  <c r="O469" i="3"/>
  <c r="F439" i="3"/>
  <c r="L433" i="3"/>
  <c r="J535" i="2"/>
  <c r="G183" i="3"/>
  <c r="H369" i="3"/>
  <c r="F20" i="3"/>
  <c r="J610" i="2"/>
  <c r="J257" i="2"/>
  <c r="G287" i="3"/>
  <c r="O630" i="3"/>
  <c r="H348" i="3"/>
  <c r="H141" i="3"/>
  <c r="F189" i="3"/>
  <c r="A523" i="3"/>
  <c r="L89" i="3"/>
  <c r="E392" i="2"/>
  <c r="G479" i="3"/>
  <c r="J48" i="2"/>
  <c r="E613" i="2"/>
  <c r="N573" i="3"/>
  <c r="O522" i="3"/>
  <c r="M366" i="3"/>
  <c r="E297" i="2"/>
  <c r="J531" i="2"/>
  <c r="J430" i="2"/>
  <c r="N359" i="3"/>
  <c r="G566" i="3"/>
  <c r="E555" i="2"/>
  <c r="P279" i="3"/>
  <c r="N235" i="3"/>
  <c r="I175" i="3"/>
  <c r="G262" i="3"/>
  <c r="O554" i="3"/>
  <c r="M167" i="3"/>
  <c r="P256" i="3"/>
  <c r="F40" i="3"/>
  <c r="P472" i="3"/>
  <c r="L584" i="3"/>
  <c r="I596" i="3"/>
  <c r="G46" i="3"/>
  <c r="O539" i="3"/>
  <c r="G195" i="3"/>
  <c r="N296" i="3"/>
  <c r="I528" i="3"/>
  <c r="M595" i="3"/>
  <c r="O401" i="3"/>
  <c r="H151" i="3"/>
  <c r="L416" i="3"/>
  <c r="I67" i="3"/>
  <c r="E206" i="2"/>
  <c r="A119" i="3"/>
  <c r="I162" i="3"/>
  <c r="I521" i="3"/>
  <c r="E576" i="2"/>
  <c r="A549" i="3"/>
  <c r="E459" i="2"/>
  <c r="G239" i="3"/>
  <c r="P437" i="3"/>
  <c r="P525" i="3"/>
  <c r="H622" i="3"/>
  <c r="G633" i="3"/>
  <c r="P80" i="3"/>
  <c r="L557" i="3"/>
  <c r="N433" i="3"/>
  <c r="J125" i="2"/>
  <c r="E308" i="2"/>
  <c r="M216" i="3"/>
  <c r="O590" i="3"/>
  <c r="M477" i="3"/>
  <c r="I137" i="3"/>
  <c r="N135" i="3"/>
  <c r="A361" i="3"/>
  <c r="N219" i="3"/>
  <c r="O357" i="3"/>
  <c r="A548" i="3"/>
  <c r="O507" i="3"/>
  <c r="F491" i="3"/>
  <c r="K454" i="3"/>
  <c r="N608" i="3"/>
  <c r="G610" i="3"/>
  <c r="N138" i="3"/>
  <c r="I255" i="3"/>
  <c r="P356" i="3"/>
  <c r="E356" i="2"/>
  <c r="F149" i="3"/>
  <c r="H236" i="3"/>
  <c r="M187" i="3"/>
  <c r="I363" i="3"/>
  <c r="F132" i="3"/>
  <c r="J466" i="2"/>
  <c r="M454" i="3"/>
  <c r="F212" i="3"/>
  <c r="K373" i="3"/>
  <c r="J529" i="2"/>
  <c r="N493" i="3"/>
  <c r="K491" i="3"/>
  <c r="H430" i="3"/>
  <c r="H11" i="3"/>
  <c r="I217" i="3"/>
  <c r="O602" i="3"/>
  <c r="N65" i="3"/>
  <c r="F512" i="3"/>
  <c r="K360" i="3"/>
  <c r="J45" i="2"/>
  <c r="A82" i="3"/>
  <c r="F232" i="3"/>
  <c r="G134" i="3"/>
  <c r="L296" i="3"/>
  <c r="N20" i="3"/>
  <c r="M51" i="3"/>
  <c r="L505" i="3"/>
  <c r="G224" i="3"/>
  <c r="O453" i="3"/>
  <c r="P236" i="3"/>
  <c r="O432" i="3"/>
  <c r="N353" i="3"/>
  <c r="I28" i="3"/>
  <c r="G187" i="3"/>
  <c r="A343" i="3"/>
  <c r="F356" i="3"/>
  <c r="M149" i="3"/>
  <c r="E472" i="2"/>
  <c r="H125" i="3"/>
  <c r="G455" i="3"/>
  <c r="K351" i="3"/>
  <c r="F593" i="3"/>
  <c r="G562" i="3"/>
  <c r="F15" i="3"/>
  <c r="J484" i="2"/>
  <c r="P414" i="3"/>
  <c r="O618" i="3"/>
  <c r="E580" i="2"/>
  <c r="G571" i="3"/>
  <c r="O134" i="3"/>
  <c r="F368" i="3"/>
  <c r="N455" i="3"/>
  <c r="L361" i="3"/>
  <c r="L79" i="3"/>
  <c r="O587" i="3"/>
  <c r="N140" i="3"/>
  <c r="E632" i="2"/>
  <c r="H253" i="3"/>
  <c r="P494" i="3"/>
  <c r="E463" i="2"/>
  <c r="F397" i="3"/>
  <c r="A303" i="3"/>
  <c r="I408" i="3"/>
  <c r="L279" i="3"/>
  <c r="F423" i="3"/>
  <c r="F617" i="3"/>
  <c r="K236" i="3"/>
  <c r="N311" i="3"/>
  <c r="P465" i="3"/>
  <c r="I319" i="3"/>
  <c r="L560" i="3"/>
  <c r="K162" i="3"/>
  <c r="J632" i="2"/>
  <c r="E489" i="2"/>
  <c r="P453" i="3"/>
  <c r="H156" i="3"/>
  <c r="G603" i="3"/>
  <c r="J507" i="2"/>
  <c r="M384" i="3"/>
  <c r="F613" i="3"/>
  <c r="K513" i="3"/>
  <c r="K505" i="3"/>
  <c r="P97" i="3"/>
  <c r="J50" i="2"/>
  <c r="A574" i="3"/>
  <c r="K606" i="3"/>
  <c r="I92" i="3"/>
  <c r="E4" i="2"/>
  <c r="G461" i="3"/>
  <c r="N240" i="3"/>
  <c r="L266" i="3"/>
  <c r="O355" i="3"/>
  <c r="I237" i="3"/>
  <c r="P111" i="3"/>
  <c r="P504" i="3"/>
  <c r="A556" i="3"/>
  <c r="N47" i="3"/>
  <c r="N618" i="3"/>
  <c r="N95" i="3"/>
  <c r="H510" i="3"/>
  <c r="J18" i="2"/>
  <c r="G191" i="3"/>
  <c r="J250" i="2"/>
  <c r="P13" i="3"/>
  <c r="K321" i="3"/>
  <c r="M94" i="3"/>
  <c r="A513" i="3"/>
  <c r="N627" i="3"/>
  <c r="E298" i="3" a="1"/>
  <c r="E85" i="3" a="1"/>
  <c r="J33" i="3" a="1"/>
  <c r="E39" i="3" a="1"/>
  <c r="E48" i="3" a="1"/>
  <c r="J280" i="3" a="1"/>
  <c r="E13" i="3" a="1"/>
  <c r="J593" i="3" a="1"/>
  <c r="J536" i="3" a="1"/>
  <c r="J19" i="3" a="1"/>
  <c r="E64" i="3" a="1"/>
  <c r="J305" i="3" a="1"/>
  <c r="J135" i="3" a="1"/>
  <c r="E27" i="3" a="1"/>
  <c r="E529" i="3" a="1"/>
  <c r="J160" i="3" a="1"/>
  <c r="J578" i="3" a="1"/>
  <c r="E216" i="3" a="1"/>
  <c r="C584" i="3" a="1"/>
  <c r="E233" i="3" a="1"/>
  <c r="J383" i="3" a="1"/>
  <c r="J128" i="3" a="1"/>
  <c r="J404" i="3" a="1"/>
  <c r="J7" i="3" a="1"/>
  <c r="E307" i="3" a="1"/>
  <c r="C364" i="3" a="1"/>
  <c r="E367" i="3" a="1"/>
  <c r="J78" i="3" a="1"/>
  <c r="J212" i="3" a="1"/>
  <c r="C327" i="3" a="1"/>
  <c r="C399" i="3" a="1"/>
  <c r="J334" i="3" a="1"/>
  <c r="J253" i="3" a="1"/>
  <c r="E183" i="3" a="1"/>
  <c r="E512" i="3" a="1"/>
  <c r="E292" i="3" a="1"/>
  <c r="E402" i="3" a="1"/>
  <c r="J270" i="3" a="1"/>
  <c r="B586" i="3" a="1"/>
  <c r="J354" i="3" a="1"/>
  <c r="E222" i="3" a="1"/>
  <c r="E220" i="3" a="1"/>
  <c r="E129" i="3" a="1"/>
  <c r="E442" i="3" a="1"/>
  <c r="E16" i="3" a="1"/>
  <c r="E488" i="3" a="1"/>
  <c r="E394" i="3" a="1"/>
  <c r="J336" i="3" a="1"/>
  <c r="J558" i="3" a="1"/>
  <c r="J9" i="3" a="1"/>
  <c r="J181" i="3" a="1"/>
  <c r="E515" i="3" a="1"/>
  <c r="J138" i="3" a="1"/>
  <c r="J290" i="3" a="1"/>
  <c r="E218" i="3" a="1"/>
  <c r="E148" i="3" a="1"/>
  <c r="E572" i="3" a="1"/>
  <c r="E263" i="3" a="1"/>
  <c r="J447" i="3" a="1"/>
  <c r="J557" i="3" a="1"/>
  <c r="J176" i="3" a="1"/>
  <c r="E579" i="3" a="1"/>
  <c r="J92" i="3" a="1"/>
  <c r="J8" i="3" a="1"/>
  <c r="J95" i="3" a="1"/>
  <c r="E135" i="3" a="1"/>
  <c r="J348" i="3" a="1"/>
  <c r="J43" i="3" a="1"/>
  <c r="E622" i="3" a="1"/>
  <c r="J301" i="3" a="1"/>
  <c r="J575" i="3" a="1"/>
  <c r="J609" i="3" a="1"/>
  <c r="E93" i="3" a="1"/>
  <c r="E353" i="3" a="1"/>
  <c r="J407" i="3" a="1"/>
  <c r="J462" i="3" a="1"/>
  <c r="E640" i="3" a="1"/>
  <c r="J206" i="3" a="1"/>
  <c r="J528" i="3" a="1"/>
  <c r="J222" i="3" a="1"/>
  <c r="J104" i="3" a="1"/>
  <c r="J588" i="3" a="1"/>
  <c r="J86" i="3" a="1"/>
  <c r="E285" i="3" a="1"/>
  <c r="E264" i="3" a="1"/>
  <c r="J172" i="3" a="1"/>
  <c r="J164" i="3" a="1"/>
  <c r="J302" i="3" a="1"/>
  <c r="E259" i="3" a="1"/>
  <c r="E477" i="3" a="1"/>
  <c r="E430" i="3" a="1"/>
  <c r="E593" i="3" a="1"/>
  <c r="E573" i="3" a="1"/>
  <c r="E110" i="3" a="1"/>
  <c r="E440" i="3" a="1"/>
  <c r="J322" i="3" a="1"/>
  <c r="J133" i="3" a="1"/>
  <c r="E299" i="3" a="1"/>
  <c r="E194" i="3" a="1"/>
  <c r="E387" i="3" a="1"/>
  <c r="J339" i="3" a="1"/>
  <c r="E341" i="3" a="1"/>
  <c r="E206" i="3" a="1"/>
  <c r="E472" i="3" a="1"/>
  <c r="E489" i="3" a="1"/>
  <c r="J61" i="3" a="1"/>
  <c r="E253" i="3" a="1"/>
  <c r="E498" i="3" a="1"/>
  <c r="J226" i="3" a="1"/>
  <c r="E213" i="3" a="1"/>
  <c r="J613" i="3" a="1"/>
  <c r="E388" i="3" a="1"/>
  <c r="J156" i="3" a="1"/>
  <c r="J15" i="3" a="1"/>
  <c r="E415" i="3" a="1"/>
  <c r="J474" i="3" a="1"/>
  <c r="E270" i="3" a="1"/>
  <c r="E227" i="3" a="1"/>
  <c r="J431" i="3" a="1"/>
  <c r="J618" i="3" a="1"/>
  <c r="E134" i="3" a="1"/>
  <c r="J273" i="3" a="1"/>
  <c r="E252" i="3" a="1"/>
  <c r="J455" i="3" a="1"/>
  <c r="E190" i="3" a="1"/>
  <c r="E516" i="3" a="1"/>
  <c r="E568" i="3" a="1"/>
  <c r="E600" i="3" a="1"/>
  <c r="E509" i="3" a="1"/>
  <c r="E366" i="3" a="1"/>
  <c r="E413" i="3" a="1"/>
  <c r="E530" i="3" a="1"/>
  <c r="J17" i="3" a="1"/>
  <c r="J468" i="3" a="1"/>
  <c r="E111" i="3" a="1"/>
  <c r="E574" i="3" a="1"/>
  <c r="E5" i="3" a="1"/>
  <c r="J294" i="3" a="1"/>
  <c r="E144" i="3" a="1"/>
  <c r="E383" i="3" a="1"/>
  <c r="J628" i="3" a="1"/>
  <c r="E514" i="3" a="1"/>
  <c r="J425" i="3" a="1"/>
  <c r="J535" i="3" a="1"/>
  <c r="J500" i="3" a="1"/>
  <c r="E180" i="3" a="1"/>
  <c r="J627" i="3" a="1"/>
  <c r="E609" i="3" a="1"/>
  <c r="J3" i="3" a="1"/>
  <c r="J526" i="3" a="1"/>
  <c r="J287" i="3" a="1"/>
  <c r="J319" i="3" a="1"/>
  <c r="E538" i="3" a="1"/>
  <c r="J356" i="3" a="1"/>
  <c r="J620" i="3" a="1"/>
  <c r="J625" i="3" a="1"/>
  <c r="E434" i="3" a="1"/>
  <c r="E484" i="3" a="1"/>
  <c r="B211" i="3" a="1"/>
  <c r="E89" i="3" a="1"/>
  <c r="E249" i="3" a="1"/>
  <c r="J310" i="3" a="1"/>
  <c r="J580" i="3" a="1"/>
  <c r="E392" i="3" a="1"/>
  <c r="E555" i="3" a="1"/>
  <c r="E4" i="3" a="1"/>
  <c r="E112" i="3" a="1"/>
  <c r="J516" i="3" a="1"/>
  <c r="E278" i="3" a="1"/>
  <c r="J372" i="3" a="1"/>
  <c r="C84" i="3" a="1"/>
  <c r="E138" i="3" a="1"/>
  <c r="E408" i="3" a="1"/>
  <c r="B584" i="3" a="1"/>
  <c r="J38" i="3" a="1"/>
  <c r="J570" i="3" a="1"/>
  <c r="J606" i="3" a="1"/>
  <c r="E479" i="3" a="1"/>
  <c r="J405" i="3" a="1"/>
  <c r="C620" i="3" a="1"/>
  <c r="J158" i="3" a="1"/>
  <c r="E175" i="3" a="1"/>
  <c r="B515" i="3" a="1"/>
  <c r="J485" i="3" a="1"/>
  <c r="E195" i="3" a="1"/>
  <c r="E159" i="3" a="1"/>
  <c r="J82" i="3" a="1"/>
  <c r="J269" i="3" a="1"/>
  <c r="J604" i="3" a="1"/>
  <c r="J363" i="3" a="1"/>
  <c r="J198" i="3" a="1"/>
  <c r="E296" i="3" a="1"/>
  <c r="E414" i="3" a="1"/>
  <c r="J220" i="3" a="1"/>
  <c r="E421" i="3" a="1"/>
  <c r="E349" i="3" a="1"/>
  <c r="E199" i="3" a="1"/>
  <c r="J365" i="3" a="1"/>
  <c r="E433" i="3" a="1"/>
  <c r="J121" i="3" a="1"/>
  <c r="E577" i="3" a="1"/>
  <c r="C339" i="3" a="1"/>
  <c r="C410" i="3" a="1"/>
  <c r="J375" i="3" a="1"/>
  <c r="J591" i="3" a="1"/>
  <c r="E126" i="3" a="1"/>
  <c r="E535" i="3" a="1"/>
  <c r="J87" i="3" a="1"/>
  <c r="E164" i="3" a="1"/>
  <c r="J483" i="3" a="1"/>
  <c r="E119" i="3" a="1"/>
  <c r="C320" i="3" a="1"/>
  <c r="E423" i="3" a="1"/>
  <c r="E187" i="3" a="1"/>
  <c r="E604" i="3" a="1"/>
  <c r="J481" i="3" a="1"/>
  <c r="J227" i="3" a="1"/>
  <c r="E65" i="3" a="1"/>
  <c r="J162" i="3" a="1"/>
  <c r="J303" i="3" a="1"/>
  <c r="E427" i="3" a="1"/>
  <c r="J157" i="3" a="1"/>
  <c r="J154" i="3" a="1"/>
  <c r="E224" i="3" a="1"/>
  <c r="J186" i="3" a="1"/>
  <c r="E378" i="3" a="1"/>
  <c r="E610" i="3" a="1"/>
  <c r="E168" i="3" a="1"/>
  <c r="J101" i="3" a="1"/>
  <c r="J550" i="3" a="1"/>
  <c r="J630" i="3" a="1"/>
  <c r="J190" i="3" a="1"/>
  <c r="J307" i="3" a="1"/>
  <c r="E310" i="3" a="1"/>
  <c r="E184" i="3" a="1"/>
  <c r="J155" i="3" a="1"/>
  <c r="J68" i="3" a="1"/>
  <c r="J359" i="3" a="1"/>
  <c r="E519" i="3" a="1"/>
  <c r="B329" i="3" a="1"/>
  <c r="C44" i="3" a="1"/>
  <c r="J34" i="3" a="1"/>
  <c r="E496" i="3" a="1"/>
  <c r="J202" i="3" a="1"/>
  <c r="E166" i="3" a="1"/>
  <c r="C35" i="3" a="1"/>
  <c r="E618" i="3" a="1"/>
  <c r="J252" i="3" a="1"/>
  <c r="B412" i="3" a="1"/>
  <c r="E324" i="3" a="1"/>
  <c r="E251" i="3" a="1"/>
  <c r="E373" i="3" a="1"/>
  <c r="E28" i="3" a="1"/>
  <c r="J143" i="3" a="1"/>
  <c r="E597" i="3" a="1"/>
  <c r="E635" i="3" a="1"/>
  <c r="B561" i="3" a="1"/>
  <c r="E601" i="3" a="1"/>
  <c r="J560" i="3" a="1"/>
  <c r="E639" i="3" a="1"/>
  <c r="E242" i="3" a="1"/>
  <c r="E334" i="3" a="1"/>
  <c r="J107" i="3" a="1"/>
  <c r="J569" i="3" a="1"/>
  <c r="E197" i="3" a="1"/>
  <c r="E468" i="3" a="1"/>
  <c r="E333" i="3" a="1"/>
  <c r="E627" i="3" a="1"/>
  <c r="J329" i="3" a="1"/>
  <c r="J161" i="3" a="1"/>
  <c r="E272" i="3" a="1"/>
  <c r="J255" i="3" a="1"/>
  <c r="J291" i="3" a="1"/>
  <c r="J99" i="3" a="1"/>
  <c r="E107" i="3" a="1"/>
  <c r="E145" i="3" a="1"/>
  <c r="E527" i="3" a="1"/>
  <c r="E608" i="3" a="1"/>
  <c r="J266" i="3" a="1"/>
  <c r="J423" i="3" a="1"/>
  <c r="J152" i="3" a="1"/>
  <c r="E70" i="3" a="1"/>
  <c r="J390" i="3" a="1"/>
  <c r="J148" i="3" a="1"/>
  <c r="E339" i="3" a="1"/>
  <c r="J498" i="3" a="1"/>
  <c r="E103" i="3" a="1"/>
  <c r="E244" i="3" a="1"/>
  <c r="J21" i="3" a="1"/>
  <c r="E475" i="3" a="1"/>
  <c r="E483" i="3" a="1"/>
  <c r="E79" i="3" a="1"/>
  <c r="E614" i="3" a="1"/>
  <c r="J23" i="3" a="1"/>
  <c r="E47" i="3" a="1"/>
  <c r="E607" i="3" a="1"/>
  <c r="J512" i="3" a="1"/>
  <c r="J165" i="3" a="1"/>
  <c r="E289" i="3" a="1"/>
  <c r="J254" i="3" a="1"/>
  <c r="J332" i="3" a="1"/>
  <c r="J219" i="3" a="1"/>
  <c r="E620" i="3" a="1"/>
  <c r="J497" i="3" a="1"/>
  <c r="J229" i="3" a="1"/>
  <c r="E243" i="3" a="1"/>
  <c r="J546" i="3" a="1"/>
  <c r="E581" i="3" a="1"/>
  <c r="E470" i="3" a="1"/>
  <c r="E621" i="3" a="1"/>
  <c r="J559" i="3" a="1"/>
  <c r="E521" i="3" a="1"/>
  <c r="J396" i="3" a="1"/>
  <c r="J621" i="3" a="1"/>
  <c r="E38" i="3" a="1"/>
  <c r="E586" i="3" a="1"/>
  <c r="J276" i="3" a="1"/>
  <c r="J442" i="3" a="1"/>
  <c r="E500" i="3" a="1"/>
  <c r="J299" i="3" a="1"/>
  <c r="E221" i="3" a="1"/>
  <c r="E204" i="3" a="1"/>
  <c r="E55" i="3" a="1"/>
  <c r="J271" i="3" a="1"/>
  <c r="B335" i="3" a="1"/>
  <c r="J414" i="3" a="1"/>
  <c r="C595" i="3" a="1"/>
  <c r="E173" i="3" a="1"/>
  <c r="E584" i="3" a="1"/>
  <c r="E606" i="3" a="1"/>
  <c r="J590" i="3" a="1"/>
  <c r="J248" i="3" a="1"/>
  <c r="E286" i="3" a="1"/>
  <c r="E446" i="3" a="1"/>
  <c r="J318" i="3" a="1"/>
  <c r="J177" i="3" a="1"/>
  <c r="J207" i="3" a="1"/>
  <c r="J579" i="3" a="1"/>
  <c r="J83" i="3" a="1"/>
  <c r="E158" i="3" a="1"/>
  <c r="J473" i="3" a="1"/>
  <c r="C52" i="3" a="1"/>
  <c r="J37" i="3" a="1"/>
  <c r="E623" i="3" a="1"/>
  <c r="E275" i="3" a="1"/>
  <c r="J349" i="3" a="1"/>
  <c r="E72" i="3" a="1"/>
  <c r="E151" i="3" a="1"/>
  <c r="E250" i="3" a="1"/>
  <c r="J113" i="3" a="1"/>
  <c r="E247" i="3" a="1"/>
  <c r="J434" i="3" a="1"/>
  <c r="B446" i="3" a="1"/>
  <c r="E212" i="3" a="1"/>
  <c r="J381" i="3" a="1"/>
  <c r="J284" i="3" a="1"/>
  <c r="J576" i="3" a="1"/>
  <c r="E319" i="3" a="1"/>
  <c r="J118" i="3" a="1"/>
  <c r="C316" i="3" a="1"/>
  <c r="J22" i="3" a="1"/>
  <c r="J635" i="3" a="1"/>
  <c r="J419" i="3" a="1"/>
  <c r="J594" i="3" a="1"/>
  <c r="E357" i="3" a="1"/>
  <c r="E495" i="3" a="1"/>
  <c r="J540" i="3" a="1"/>
  <c r="J146" i="3" a="1"/>
  <c r="E536" i="3" a="1"/>
  <c r="J408" i="3" a="1"/>
  <c r="E525" i="3" a="1"/>
  <c r="E518" i="3" a="1"/>
  <c r="E436" i="3" a="1"/>
  <c r="J564" i="3" a="1"/>
  <c r="E98" i="3" a="1"/>
  <c r="J298" i="3" a="1"/>
  <c r="E389" i="3" a="1"/>
  <c r="J256" i="3" a="1"/>
  <c r="E44" i="3" a="1"/>
  <c r="E409" i="3" a="1"/>
  <c r="J145" i="3" a="1"/>
  <c r="J215" i="3" a="1"/>
  <c r="E57" i="3" a="1"/>
  <c r="J260" i="3" a="1"/>
  <c r="E156" i="3" a="1"/>
  <c r="J437" i="3" a="1"/>
  <c r="J106" i="3" a="1"/>
  <c r="J448" i="3" a="1"/>
  <c r="J369" i="3" a="1"/>
  <c r="J232" i="3" a="1"/>
  <c r="J97" i="3" a="1"/>
  <c r="J166" i="3" a="1"/>
  <c r="E58" i="3" a="1"/>
  <c r="E320" i="3" a="1"/>
  <c r="E453" i="3" a="1"/>
  <c r="J84" i="3" a="1"/>
  <c r="J489" i="3" a="1"/>
  <c r="J60" i="3" a="1"/>
  <c r="J592" i="3" a="1"/>
  <c r="J324" i="3" a="1"/>
  <c r="E526" i="3" a="1"/>
  <c r="E189" i="3" a="1"/>
  <c r="E360" i="3" a="1"/>
  <c r="J90" i="3" a="1"/>
  <c r="E178" i="3" a="1"/>
  <c r="E541" i="3" a="1"/>
  <c r="E136" i="3" a="1"/>
  <c r="J111" i="3" a="1"/>
  <c r="J581" i="3" a="1"/>
  <c r="E481" i="3" a="1"/>
  <c r="E452" i="3" a="1"/>
  <c r="J52" i="3" a="1"/>
  <c r="E491" i="3" a="1"/>
  <c r="E461" i="3" a="1"/>
  <c r="J612" i="3" a="1"/>
  <c r="E575" i="3" a="1"/>
  <c r="E393" i="3" a="1"/>
  <c r="E638" i="3" a="1"/>
  <c r="J636" i="3" a="1"/>
  <c r="E232" i="3" a="1"/>
  <c r="E271" i="3" a="1"/>
  <c r="J409" i="3" a="1"/>
  <c r="E266" i="3" a="1"/>
  <c r="J125" i="3" a="1"/>
  <c r="J18" i="3" a="1"/>
  <c r="E401" i="3" a="1"/>
  <c r="E255" i="3" a="1"/>
  <c r="J185" i="3" a="1"/>
  <c r="J556" i="3" a="1"/>
  <c r="J119" i="3" a="1"/>
  <c r="E313" i="3" a="1"/>
  <c r="E499" i="3" a="1"/>
  <c r="E62" i="3" a="1"/>
  <c r="B229" i="3" a="1"/>
  <c r="J527" i="3" a="1"/>
  <c r="C332" i="3" a="1"/>
  <c r="J51" i="3" a="1"/>
  <c r="J110" i="3" a="1"/>
  <c r="E507" i="3" a="1"/>
  <c r="J386" i="3" a="1"/>
  <c r="E347" i="3" a="1"/>
  <c r="J486" i="3" a="1"/>
  <c r="E322" i="3" a="1"/>
  <c r="J268" i="3" a="1"/>
  <c r="E309" i="3" a="1"/>
  <c r="E544" i="3" a="1"/>
  <c r="E377" i="3" a="1"/>
  <c r="B315" i="3" a="1"/>
  <c r="E458" i="3" a="1"/>
  <c r="J553" i="3" a="1"/>
  <c r="E390" i="3" a="1"/>
  <c r="E562" i="3" a="1"/>
  <c r="E19" i="3" a="1"/>
  <c r="E318" i="3" a="1"/>
  <c r="E558" i="3" a="1"/>
  <c r="E371" i="3" a="1"/>
  <c r="E12" i="3" a="1"/>
  <c r="J263" i="3" a="1"/>
  <c r="J13" i="3" a="1"/>
  <c r="J62" i="3" a="1"/>
  <c r="J577" i="3" a="1"/>
  <c r="E219" i="3" a="1"/>
  <c r="J300" i="3" a="1"/>
  <c r="J510" i="3" a="1"/>
  <c r="E422" i="3" a="1"/>
  <c r="J460" i="3" a="1"/>
  <c r="E211" i="3" a="1"/>
  <c r="E485" i="3" a="1"/>
  <c r="E73" i="3" a="1"/>
  <c r="J541" i="3" a="1"/>
  <c r="C336" i="3" a="1"/>
  <c r="E10" i="3" a="1"/>
  <c r="J170" i="3" a="1"/>
  <c r="E237" i="3" a="1"/>
  <c r="E522" i="3" a="1"/>
  <c r="E291" i="3" a="1"/>
  <c r="J490" i="3" a="1"/>
  <c r="E223" i="3" a="1"/>
  <c r="J530" i="3" a="1"/>
  <c r="E154" i="3" a="1"/>
  <c r="J320" i="3" a="1"/>
  <c r="E142" i="3" a="1"/>
  <c r="E460" i="3" a="1"/>
  <c r="J446" i="3" a="1"/>
  <c r="J225" i="3" a="1"/>
  <c r="E317" i="3" a="1"/>
  <c r="J568" i="3" a="1"/>
  <c r="J243" i="3" a="1"/>
  <c r="J274" i="3" a="1"/>
  <c r="J392" i="3" a="1"/>
  <c r="E109" i="3" a="1"/>
  <c r="E370" i="3" a="1"/>
  <c r="J389" i="3" a="1"/>
  <c r="E303" i="3" a="1"/>
  <c r="J228" i="3" a="1"/>
  <c r="J432" i="3" a="1"/>
  <c r="E473" i="3" a="1"/>
  <c r="J514" i="3" a="1"/>
  <c r="E359" i="3" a="1"/>
  <c r="E261" i="3" a="1"/>
  <c r="J543" i="3" a="1"/>
  <c r="J338" i="3" a="1"/>
  <c r="E380" i="3" a="1"/>
  <c r="J360" i="3" a="1"/>
  <c r="J511" i="3" a="1"/>
  <c r="J288" i="3" a="1"/>
  <c r="J393" i="3" a="1"/>
  <c r="E533" i="3" a="1"/>
  <c r="J617" i="3" a="1"/>
  <c r="J443" i="3" a="1"/>
  <c r="J236" i="3" a="1"/>
  <c r="E540" i="3" a="1"/>
  <c r="J199" i="3" a="1"/>
  <c r="E625" i="3" a="1"/>
  <c r="J450" i="3" a="1"/>
  <c r="J346" i="3" a="1"/>
  <c r="E61" i="3" a="1"/>
  <c r="J509" i="3" a="1"/>
  <c r="E262" i="3" a="1"/>
  <c r="E612" i="3" a="1"/>
  <c r="J2" i="3" a="1"/>
  <c r="E172" i="3" a="1"/>
  <c r="E419" i="3" a="1"/>
  <c r="J623" i="3" a="1"/>
  <c r="J141" i="3" a="1"/>
  <c r="E113" i="3" a="1"/>
  <c r="J89" i="3" a="1"/>
  <c r="E598" i="3" a="1"/>
  <c r="J333" i="3" a="1"/>
  <c r="J401" i="3" a="1"/>
  <c r="J48" i="3" a="1"/>
  <c r="E576" i="3" a="1"/>
  <c r="E308" i="3" a="1"/>
  <c r="J466" i="3" a="1"/>
  <c r="J507" i="3" a="1"/>
  <c r="E560" i="3" a="1"/>
  <c r="E358" i="3" a="1"/>
  <c r="J424" i="3" a="1"/>
  <c r="B236" i="3" a="1"/>
  <c r="E553" i="3" a="1"/>
  <c r="J247" i="3" a="1"/>
  <c r="J191" i="3" a="1"/>
  <c r="E236" i="3" a="1"/>
  <c r="C162" i="3" a="1"/>
  <c r="J102" i="3" a="1"/>
  <c r="B226" i="3" a="1"/>
  <c r="J194" i="3" a="1"/>
  <c r="E248" i="3" a="1"/>
  <c r="J582" i="3" a="1"/>
  <c r="J123" i="3" a="1"/>
  <c r="E457" i="3" a="1"/>
  <c r="E578" i="3" a="1"/>
  <c r="J479" i="3" a="1"/>
  <c r="E140" i="3" a="1"/>
  <c r="J385" i="3" a="1"/>
  <c r="J216" i="3" a="1"/>
  <c r="J326" i="3" a="1"/>
  <c r="E14" i="3" a="1"/>
  <c r="J331" i="3" a="1"/>
  <c r="J168" i="3" a="1"/>
  <c r="J328" i="3" a="1"/>
  <c r="J573" i="3" a="1"/>
  <c r="B309" i="3" a="1"/>
  <c r="C621" i="3" a="1"/>
  <c r="J532" i="3" a="1"/>
  <c r="E160" i="3" a="1"/>
  <c r="C288" i="3" a="1"/>
  <c r="J477" i="3" a="1"/>
  <c r="E20" i="3" a="1"/>
  <c r="E395" i="3" a="1"/>
  <c r="E589" i="3" a="1"/>
  <c r="J24" i="3" a="1"/>
  <c r="E230" i="3" a="1"/>
  <c r="B145" i="3" a="1"/>
  <c r="J201" i="3" a="1"/>
  <c r="J251" i="3" a="1"/>
  <c r="E147" i="3" a="1"/>
  <c r="J103" i="3" a="1"/>
  <c r="J472" i="3" a="1"/>
  <c r="E381" i="3" a="1"/>
  <c r="J36" i="3" a="1"/>
  <c r="B294" i="3" a="1"/>
  <c r="E102" i="3" a="1"/>
  <c r="E432" i="3" a="1"/>
  <c r="E547" i="3" a="1"/>
  <c r="E31" i="3" a="1"/>
  <c r="E559" i="3" a="1"/>
  <c r="J357" i="3" a="1"/>
  <c r="J519" i="3" a="1"/>
  <c r="J458" i="3" a="1"/>
  <c r="E478" i="3" a="1"/>
  <c r="E420" i="3" a="1"/>
  <c r="B542" i="3" a="1"/>
  <c r="E556" i="3" a="1"/>
  <c r="C389" i="3" a="1"/>
  <c r="E563" i="3" a="1"/>
  <c r="E550" i="3" a="1"/>
  <c r="J73" i="3" a="1"/>
  <c r="E186" i="3" a="1"/>
  <c r="E384" i="3" a="1"/>
  <c r="J12" i="3" a="1"/>
  <c r="J624" i="3" a="1"/>
  <c r="E406" i="3" a="1"/>
  <c r="J189" i="3" a="1"/>
  <c r="E331" i="3" a="1"/>
  <c r="E209" i="3" a="1"/>
  <c r="J245" i="3" a="1"/>
  <c r="E382" i="3" a="1"/>
  <c r="E567" i="3" a="1"/>
  <c r="E217" i="3" a="1"/>
  <c r="E277" i="3" a="1"/>
  <c r="E480" i="3" a="1"/>
  <c r="E115" i="3" a="1"/>
  <c r="J463" i="3" a="1"/>
  <c r="E54" i="3" a="1"/>
  <c r="C402" i="3" a="1"/>
  <c r="J584" i="3" a="1"/>
  <c r="E513" i="3" a="1"/>
  <c r="E281" i="3" a="1"/>
  <c r="E235" i="3" a="1"/>
  <c r="E634" i="3" a="1"/>
  <c r="J376" i="3" a="1"/>
  <c r="J634" i="3" a="1"/>
  <c r="J54" i="3" a="1"/>
  <c r="E546" i="3" a="1"/>
  <c r="J487" i="3" a="1"/>
  <c r="E441" i="3" a="1"/>
  <c r="E43" i="3" a="1"/>
  <c r="J517" i="3" a="1"/>
  <c r="E340" i="3" a="1"/>
  <c r="J410" i="3" a="1"/>
  <c r="E56" i="3" a="1"/>
  <c r="E490" i="3" a="1"/>
  <c r="C132" i="3" a="1"/>
  <c r="E268" i="3" a="1"/>
  <c r="J64" i="3" a="1"/>
  <c r="J608" i="3" a="1"/>
  <c r="J25" i="3" a="1"/>
  <c r="E467" i="3" a="1"/>
  <c r="E240" i="3" a="1"/>
  <c r="J358" i="3" a="1"/>
  <c r="J416" i="3" a="1"/>
  <c r="E201" i="3" a="1"/>
  <c r="E122" i="3" a="1"/>
  <c r="E355" i="3" a="1"/>
  <c r="E626" i="3" a="1"/>
  <c r="J453" i="3" a="1"/>
  <c r="E617" i="3" a="1"/>
  <c r="E455" i="3" a="1"/>
  <c r="J296" i="3" a="1"/>
  <c r="J420" i="3" a="1"/>
  <c r="J131" i="3" a="1"/>
  <c r="C557" i="3" a="1"/>
  <c r="E101" i="3" a="1"/>
  <c r="J203" i="3" a="1"/>
  <c r="C133" i="3" a="1"/>
  <c r="J237" i="3" a="1"/>
  <c r="J614" i="3" a="1"/>
  <c r="J230" i="3" a="1"/>
  <c r="J534" i="3" a="1"/>
  <c r="E548" i="3" a="1"/>
  <c r="E198" i="3" a="1"/>
  <c r="E445" i="3" a="1"/>
  <c r="E398" i="3" a="1"/>
  <c r="E284" i="3" a="1"/>
  <c r="J11" i="3" a="1"/>
  <c r="J47" i="3" a="1"/>
  <c r="J327" i="3" a="1"/>
  <c r="E132" i="3" a="1"/>
  <c r="E336" i="3" a="1"/>
  <c r="E301" i="3" a="1"/>
  <c r="E90" i="3" a="1"/>
  <c r="J347" i="3" a="1"/>
  <c r="J341" i="3" a="1"/>
  <c r="E344" i="3" a="1"/>
  <c r="J63" i="3" a="1"/>
  <c r="J451" i="3" a="1"/>
  <c r="E566" i="3" a="1"/>
  <c r="E118" i="3" a="1"/>
  <c r="J398" i="3" a="1"/>
  <c r="E143" i="3" a="1"/>
  <c r="J286" i="3" a="1"/>
  <c r="J100" i="3" a="1"/>
  <c r="E96" i="3" a="1"/>
  <c r="E306" i="3" a="1"/>
  <c r="J241" i="3" a="1"/>
  <c r="J6" i="3" a="1"/>
  <c r="E603" i="3" a="1"/>
  <c r="E505" i="3" a="1"/>
  <c r="J116" i="3" a="1"/>
  <c r="J505" i="3" a="1"/>
  <c r="E504" i="3" a="1"/>
  <c r="J403" i="3" a="1"/>
  <c r="J32" i="3" a="1"/>
  <c r="J456" i="3" a="1"/>
  <c r="E412" i="3" a="1"/>
  <c r="E225" i="3" a="1"/>
  <c r="J611" i="3" a="1"/>
  <c r="J495" i="3" a="1"/>
  <c r="E114" i="3" a="1"/>
  <c r="J108" i="3" a="1"/>
  <c r="J406" i="3" a="1"/>
  <c r="C531" i="3" a="1"/>
  <c r="J262" i="3" a="1"/>
  <c r="E361" i="3" a="1"/>
  <c r="E474" i="3" a="1"/>
  <c r="E363" i="3" a="1"/>
  <c r="E338" i="3" a="1"/>
  <c r="B338" i="3" a="1"/>
  <c r="J239" i="3" a="1"/>
  <c r="E208" i="3" a="1"/>
  <c r="J208" i="3" a="1"/>
  <c r="J362" i="3" a="1"/>
  <c r="J196" i="3" a="1"/>
  <c r="J277" i="3" a="1"/>
  <c r="J554" i="3" a="1"/>
  <c r="J71" i="3" a="1"/>
  <c r="E570" i="3" a="1"/>
  <c r="J415" i="3" a="1"/>
  <c r="E323" i="3" a="1"/>
  <c r="E176" i="3" a="1"/>
  <c r="J373" i="3" a="1"/>
  <c r="E583" i="3" a="1"/>
  <c r="E517" i="3" a="1"/>
  <c r="J264" i="3" a="1"/>
  <c r="E106" i="3" a="1"/>
  <c r="J444" i="3" a="1"/>
  <c r="J5" i="3" a="1"/>
  <c r="E231" i="3" a="1"/>
  <c r="J436" i="3" a="1"/>
  <c r="C274" i="3" a="1"/>
  <c r="J88" i="3" a="1"/>
  <c r="J382" i="3" a="1"/>
  <c r="E23" i="3" a="1"/>
  <c r="J55" i="3" a="1"/>
  <c r="E40" i="3" a="1"/>
  <c r="J96" i="3" a="1"/>
  <c r="E229" i="3" a="1"/>
  <c r="E239" i="3" a="1"/>
  <c r="E17" i="3" a="1"/>
  <c r="E352" i="3" a="1"/>
  <c r="J278" i="3" a="1"/>
  <c r="J428" i="3" a="1"/>
  <c r="E506" i="3" a="1"/>
  <c r="J552" i="3" a="1"/>
  <c r="E569" i="3" a="1"/>
  <c r="E200" i="3" a="1"/>
  <c r="E451" i="3" a="1"/>
  <c r="E596" i="3" a="1"/>
  <c r="E487" i="3" a="1"/>
  <c r="E629" i="3" a="1"/>
  <c r="J387" i="3" a="1"/>
  <c r="J525" i="3" a="1"/>
  <c r="J378" i="3" a="1"/>
  <c r="J417" i="3" a="1"/>
  <c r="J204" i="3" a="1"/>
  <c r="E356" i="3" a="1"/>
  <c r="B158" i="3" a="1"/>
  <c r="J418" i="3" a="1"/>
  <c r="J281" i="3" a="1"/>
  <c r="J352" i="3" a="1"/>
  <c r="E245" i="3" a="1"/>
  <c r="E69" i="3" a="1"/>
  <c r="E171" i="3" a="1"/>
  <c r="E508" i="3" a="1"/>
  <c r="J457" i="3" a="1"/>
  <c r="J311" i="3" a="1"/>
  <c r="J80" i="3" a="1"/>
  <c r="J567" i="3" a="1"/>
  <c r="E466" i="3" a="1"/>
  <c r="J316" i="3" a="1"/>
  <c r="J282" i="3" a="1"/>
  <c r="J234" i="3" a="1"/>
  <c r="B193" i="3" a="1"/>
  <c r="J459" i="3" a="1"/>
  <c r="J445" i="3" a="1"/>
  <c r="E18" i="3" a="1"/>
  <c r="E448" i="3" a="1"/>
  <c r="E215" i="3" a="1"/>
  <c r="E602" i="3" a="1"/>
  <c r="J351" i="3" a="1"/>
  <c r="E425" i="3" a="1"/>
  <c r="E342" i="3" a="1"/>
  <c r="E444" i="3" a="1"/>
  <c r="E280" i="3" a="1"/>
  <c r="J430" i="3" a="1"/>
  <c r="E35" i="3" a="1"/>
  <c r="E131" i="3" a="1"/>
  <c r="C555" i="3" a="1"/>
  <c r="J70" i="3" a="1"/>
  <c r="J355" i="3" a="1"/>
  <c r="E257" i="3" a="1"/>
  <c r="J637" i="3" a="1"/>
  <c r="J39" i="3" a="1"/>
  <c r="J315" i="3" a="1"/>
  <c r="E139" i="3" a="1"/>
  <c r="E549" i="3" a="1"/>
  <c r="J130" i="3" a="1"/>
  <c r="J129" i="3" a="1"/>
  <c r="J464" i="3" a="1"/>
  <c r="E86" i="3" a="1"/>
  <c r="B212" i="3" a="1"/>
  <c r="E260" i="3" a="1"/>
  <c r="J475" i="3" a="1"/>
  <c r="J640" i="3" a="1"/>
  <c r="E316" i="3" a="1"/>
  <c r="J244" i="3" a="1"/>
  <c r="E276" i="3" a="1"/>
  <c r="E133" i="3" a="1"/>
  <c r="J377" i="3" a="1"/>
  <c r="J180" i="3" a="1"/>
  <c r="J538" i="3" a="1"/>
  <c r="J213" i="3" a="1"/>
  <c r="E439" i="3" a="1"/>
  <c r="J421" i="3" a="1"/>
  <c r="J279" i="3" a="1"/>
  <c r="J523" i="3" a="1"/>
  <c r="E210" i="3" a="1"/>
  <c r="J521" i="3" a="1"/>
  <c r="J353" i="3" a="1"/>
  <c r="E74" i="3" a="1"/>
  <c r="E169" i="3" a="1"/>
  <c r="E22" i="3" a="1"/>
  <c r="J471" i="3" a="1"/>
  <c r="E590" i="3" a="1"/>
  <c r="E108" i="3" a="1"/>
  <c r="E295" i="3" a="1"/>
  <c r="E78" i="3" a="1"/>
  <c r="E125" i="3" a="1"/>
  <c r="J221" i="3" a="1"/>
  <c r="J633" i="3" a="1"/>
  <c r="J574" i="3" a="1"/>
  <c r="J309" i="3" a="1"/>
  <c r="E60" i="3" a="1"/>
  <c r="E456" i="3" a="1"/>
  <c r="E312" i="3" a="1"/>
  <c r="J283" i="3" a="1"/>
  <c r="E228" i="3" a="1"/>
  <c r="J217" i="3" a="1"/>
  <c r="J72" i="3" a="1"/>
  <c r="E351" i="3" a="1"/>
  <c r="J499" i="3" a="1"/>
  <c r="J40" i="3" a="1"/>
  <c r="E405" i="3" a="1"/>
  <c r="E269" i="3" a="1"/>
  <c r="E554" i="3" a="1"/>
  <c r="J402" i="3" a="1"/>
  <c r="E100" i="3" a="1"/>
  <c r="E611" i="3" a="1"/>
  <c r="E624" i="3" a="1"/>
  <c r="E595" i="3" a="1"/>
  <c r="J67" i="3" a="1"/>
  <c r="E404" i="3" a="1"/>
  <c r="E411" i="3" a="1"/>
  <c r="J589" i="3" a="1"/>
  <c r="E531" i="3" a="1"/>
  <c r="J600" i="3" a="1"/>
  <c r="J223" i="3" a="1"/>
  <c r="E146" i="3" a="1"/>
  <c r="J603" i="3" a="1"/>
  <c r="E152" i="3" a="1"/>
  <c r="E246" i="3" a="1"/>
  <c r="E49" i="3" a="1"/>
  <c r="J599" i="3" a="1"/>
  <c r="J467" i="3" a="1"/>
  <c r="J297" i="3" a="1"/>
  <c r="C366" i="3" a="1"/>
  <c r="J587" i="3" a="1"/>
  <c r="J139" i="3" a="1"/>
  <c r="E551" i="3" a="1"/>
  <c r="J112" i="3" a="1"/>
  <c r="J548" i="3" a="1"/>
  <c r="E534" i="3" a="1"/>
  <c r="E619" i="3" a="1"/>
  <c r="J364" i="3" a="1"/>
  <c r="J555" i="3" a="1"/>
  <c r="E332" i="3" a="1"/>
  <c r="E87" i="3" a="1"/>
  <c r="J44" i="3" a="1"/>
  <c r="E46" i="3" a="1"/>
  <c r="E290" i="3" a="1"/>
  <c r="E7" i="3" a="1"/>
  <c r="E537" i="3" a="1"/>
  <c r="J205" i="3" a="1"/>
  <c r="E571" i="3" a="1"/>
  <c r="J480" i="3" a="1"/>
  <c r="B571" i="3" a="1"/>
  <c r="J151" i="3" a="1"/>
  <c r="J501" i="3" a="1"/>
  <c r="J545" i="3" a="1"/>
  <c r="J261" i="3" a="1"/>
  <c r="J585" i="3" a="1"/>
  <c r="E582" i="3" a="1"/>
  <c r="E502" i="3" a="1"/>
  <c r="J607" i="3" a="1"/>
  <c r="C92" i="3" a="1"/>
  <c r="B589" i="3" a="1"/>
  <c r="E214" i="3" a="1"/>
  <c r="J596" i="3" a="1"/>
  <c r="J518" i="3" a="1"/>
  <c r="E375" i="3" a="1"/>
  <c r="E552" i="3" a="1"/>
  <c r="J544" i="3" a="1"/>
  <c r="C397" i="3" a="1"/>
  <c r="E95" i="3" a="1"/>
  <c r="J366" i="3" a="1"/>
  <c r="J195" i="3" a="1"/>
  <c r="J210" i="3" a="1"/>
  <c r="E83" i="3" a="1"/>
  <c r="J259" i="3" a="1"/>
  <c r="J478" i="3" a="1"/>
  <c r="E385" i="3" a="1"/>
  <c r="J597" i="3" a="1"/>
  <c r="E282" i="3" a="1"/>
  <c r="J610" i="3" a="1"/>
  <c r="E613" i="3" a="1"/>
  <c r="J250" i="3" a="1"/>
  <c r="J508" i="3" a="1"/>
  <c r="E241" i="3" a="1"/>
  <c r="J306" i="3" a="1"/>
  <c r="J169" i="3" a="1"/>
  <c r="J476" i="3" a="1"/>
  <c r="J20" i="3" a="1"/>
  <c r="C33" i="3" a="1"/>
  <c r="E288" i="3" a="1"/>
  <c r="E469" i="3" a="1"/>
  <c r="J515" i="3" a="1"/>
  <c r="J175" i="3" a="1"/>
  <c r="C168" i="3" a="1"/>
  <c r="J631" i="3" a="1"/>
  <c r="E494" i="3" a="1"/>
  <c r="E41" i="3" a="1"/>
  <c r="E273" i="3" a="1"/>
  <c r="J539" i="3" a="1"/>
  <c r="E177" i="3" a="1"/>
  <c r="E561" i="3" a="1"/>
  <c r="E348" i="3" a="1"/>
  <c r="C211" i="3" a="1"/>
  <c r="J629" i="3" a="1"/>
  <c r="E203" i="3" a="1"/>
  <c r="E417" i="3" a="1"/>
  <c r="E174" i="3" a="1"/>
  <c r="E450" i="3" a="1"/>
  <c r="E121" i="3" a="1"/>
  <c r="E631" i="3" a="1"/>
  <c r="J183" i="3" a="1"/>
  <c r="J35" i="3" a="1"/>
  <c r="J167" i="3" a="1"/>
  <c r="J626" i="3" a="1"/>
  <c r="J240" i="3" a="1"/>
  <c r="J449" i="3" a="1"/>
  <c r="J209" i="3" a="1"/>
  <c r="E362" i="3" a="1"/>
  <c r="E326" i="3" a="1"/>
  <c r="E130" i="3" a="1"/>
  <c r="J265" i="3" a="1"/>
  <c r="E542" i="3" a="1"/>
  <c r="J513" i="3" a="1"/>
  <c r="J29" i="3" a="1"/>
  <c r="J602" i="3" a="1"/>
  <c r="J595" i="3" a="1"/>
  <c r="E80" i="3" a="1"/>
  <c r="E585" i="3" a="1"/>
  <c r="E37" i="3" a="1"/>
  <c r="E6" i="3" a="1"/>
  <c r="J224" i="3" a="1"/>
  <c r="E350" i="3" a="1"/>
  <c r="E465" i="3" a="1"/>
  <c r="E407" i="3" a="1"/>
  <c r="J59" i="3" a="1"/>
  <c r="J292" i="3" a="1"/>
  <c r="J214" i="3" a="1"/>
  <c r="E564" i="3" a="1"/>
  <c r="E293" i="3" a="1"/>
  <c r="J615" i="3" a="1"/>
  <c r="E539" i="3" a="1"/>
  <c r="E234" i="3" a="1"/>
  <c r="J179" i="3" a="1"/>
  <c r="J10" i="3" a="1"/>
  <c r="J76" i="3" a="1"/>
  <c r="E238" i="3" a="1"/>
  <c r="J429" i="3" a="1"/>
  <c r="J31" i="3" a="1"/>
  <c r="J330" i="3" a="1"/>
  <c r="E616" i="3" a="1"/>
  <c r="E165" i="3" a="1"/>
  <c r="J285" i="3" a="1"/>
  <c r="J561" i="3" a="1"/>
  <c r="J30" i="3" a="1"/>
  <c r="E520" i="3" a="1"/>
  <c r="E379" i="3" a="1"/>
  <c r="E300" i="3" a="1"/>
  <c r="E396" i="3" a="1"/>
  <c r="E32" i="3" a="1"/>
  <c r="E117" i="3" a="1"/>
  <c r="E265" i="3" a="1"/>
  <c r="J350" i="3" a="1"/>
  <c r="J399" i="3" a="1"/>
  <c r="E346" i="3" a="1"/>
  <c r="J257" i="3" a="1"/>
  <c r="E459" i="3" a="1"/>
  <c r="J45" i="3" a="1"/>
  <c r="E587" i="3" a="1"/>
  <c r="J124" i="3" a="1"/>
  <c r="E615" i="3" a="1"/>
  <c r="J314" i="3" a="1"/>
  <c r="E8" i="3" a="1"/>
  <c r="E256" i="3" a="1"/>
  <c r="E492" i="3" a="1"/>
  <c r="E416" i="3" a="1"/>
  <c r="J397" i="3" a="1"/>
  <c r="J197" i="3" a="1"/>
  <c r="J81" i="3" a="1"/>
  <c r="J337" i="3" a="1"/>
  <c r="E345" i="3" a="1"/>
  <c r="J105" i="3" a="1"/>
  <c r="E127" i="3" a="1"/>
  <c r="E636" i="3" a="1"/>
  <c r="J137" i="3" a="1"/>
  <c r="E30" i="3" a="1"/>
  <c r="E149" i="3" a="1"/>
  <c r="E337" i="3" a="1"/>
  <c r="E193" i="3" a="1"/>
  <c r="E53" i="3" a="1"/>
  <c r="E141" i="3" a="1"/>
  <c r="J374" i="3" a="1"/>
  <c r="J343" i="3" a="1"/>
  <c r="E437" i="3" a="1"/>
  <c r="J379" i="3" a="1"/>
  <c r="E545" i="3" a="1"/>
  <c r="E124" i="3" a="1"/>
  <c r="E314" i="3" a="1"/>
  <c r="E399" i="3" a="1"/>
  <c r="J93" i="3" a="1"/>
  <c r="E63" i="3" a="1"/>
  <c r="E279" i="3" a="1"/>
  <c r="J537" i="3" a="1"/>
  <c r="J529" i="3" a="1"/>
  <c r="E99" i="3" a="1"/>
  <c r="E311" i="3" a="1"/>
  <c r="J571" i="3" a="1"/>
  <c r="J174" i="3" a="1"/>
  <c r="J94" i="3" a="1"/>
  <c r="J325" i="3" a="1"/>
  <c r="E287" i="3" a="1"/>
  <c r="J136" i="3" a="1"/>
  <c r="J321" i="3" a="1"/>
  <c r="J506" i="3" a="1"/>
  <c r="E482" i="3" a="1"/>
  <c r="E25" i="3" a="1"/>
  <c r="J370" i="3" a="1"/>
  <c r="J171" i="3" a="1"/>
  <c r="E403" i="3" a="1"/>
  <c r="E205" i="3" a="1"/>
  <c r="J465" i="3" a="1"/>
  <c r="E486" i="3" a="1"/>
  <c r="J163" i="3" a="1"/>
  <c r="J440" i="3" a="1"/>
  <c r="E418" i="3" a="1"/>
  <c r="J27" i="3" a="1"/>
  <c r="E429" i="3" a="1"/>
  <c r="J188" i="3" a="1"/>
  <c r="E592" i="3" a="1"/>
  <c r="J433" i="3" a="1"/>
  <c r="J371" i="3" a="1"/>
  <c r="E493" i="3" a="1"/>
  <c r="E137" i="3" a="1"/>
  <c r="J115" i="3" a="1"/>
  <c r="E81" i="3" a="1"/>
  <c r="E374" i="3" a="1"/>
  <c r="E283" i="3" a="1"/>
  <c r="J340" i="3" a="1"/>
  <c r="J187" i="3" a="1"/>
  <c r="J400" i="3" a="1"/>
  <c r="J438" i="3" a="1"/>
  <c r="E476" i="3" a="1"/>
  <c r="E599" i="3" a="1"/>
  <c r="E391" i="3" a="1"/>
  <c r="J211" i="3" a="1"/>
  <c r="J482" i="3" a="1"/>
  <c r="E24" i="3" a="1"/>
  <c r="J412" i="3" a="1"/>
  <c r="E92" i="3" a="1"/>
  <c r="J380" i="3" a="1"/>
  <c r="J454" i="3" a="1"/>
  <c r="E591" i="3" a="1"/>
  <c r="J75" i="3" a="1"/>
  <c r="E162" i="3" a="1"/>
  <c r="J182" i="3" a="1"/>
  <c r="J46" i="3" a="1"/>
  <c r="E633" i="3" a="1"/>
  <c r="E15" i="3" a="1"/>
  <c r="J488" i="3" a="1"/>
  <c r="J293" i="3" a="1"/>
  <c r="E297" i="3" a="1"/>
  <c r="E637" i="3" a="1"/>
  <c r="C403" i="3" a="1"/>
  <c r="J159" i="3" a="1"/>
  <c r="J122" i="3" a="1"/>
  <c r="E328" i="3" a="1"/>
  <c r="J605" i="3" a="1"/>
  <c r="J439" i="3" a="1"/>
  <c r="E3" i="3" a="1"/>
  <c r="J583" i="3" a="1"/>
  <c r="J317" i="3" a="1"/>
  <c r="E447" i="3" a="1"/>
  <c r="J91" i="3" a="1"/>
  <c r="J49" i="3" a="1"/>
  <c r="J193" i="3" a="1"/>
  <c r="J120" i="3" a="1"/>
  <c r="E42" i="3" a="1"/>
  <c r="E50" i="3" a="1"/>
  <c r="J289" i="3" a="1"/>
  <c r="E321" i="3" a="1"/>
  <c r="J134" i="3" a="1"/>
  <c r="J622" i="3" a="1"/>
  <c r="E497" i="3" a="1"/>
  <c r="E449" i="3" a="1"/>
  <c r="J435" i="3" a="1"/>
  <c r="J562" i="3" a="1"/>
  <c r="J367" i="3" a="1"/>
  <c r="E435" i="3" a="1"/>
  <c r="E202" i="3" a="1"/>
  <c r="E630" i="3" a="1"/>
  <c r="J28" i="3" a="1"/>
  <c r="E471" i="3" a="1"/>
  <c r="E304" i="3" a="1"/>
  <c r="J114" i="3" a="1"/>
  <c r="E501" i="3" a="1"/>
  <c r="J572" i="3" a="1"/>
  <c r="J531" i="3" a="1"/>
  <c r="E580" i="3" a="1"/>
  <c r="E463" i="3" a="1"/>
  <c r="J50" i="3" a="1"/>
  <c r="E157" i="3" a="1"/>
  <c r="E354" i="3" a="1"/>
  <c r="J344" i="3" a="1"/>
  <c r="J638" i="3" a="1"/>
  <c r="J267" i="3" a="1"/>
  <c r="J323" i="3" a="1"/>
  <c r="E386" i="3" a="1"/>
  <c r="B511" i="3" a="1"/>
  <c r="J502" i="3" a="1"/>
  <c r="J394" i="3" a="1"/>
  <c r="E503" i="3" a="1"/>
  <c r="E511" i="3" a="1"/>
  <c r="J42" i="3" a="1"/>
  <c r="J598" i="3" a="1"/>
  <c r="C381" i="3" a="1"/>
  <c r="J452" i="3" a="1"/>
  <c r="J126" i="3" a="1"/>
  <c r="E33" i="3" a="1"/>
  <c r="E150" i="3" a="1"/>
  <c r="E182" i="3" a="1"/>
  <c r="J565" i="3" a="1"/>
  <c r="C356" i="3" a="1"/>
  <c r="J140" i="3" a="1"/>
  <c r="E153" i="3" a="1"/>
  <c r="J53" i="3" a="1"/>
  <c r="E464" i="3" a="1"/>
  <c r="E128" i="3" a="1"/>
  <c r="E274" i="3" a="1"/>
  <c r="E329" i="3" a="1"/>
  <c r="J149" i="3" a="1"/>
  <c r="J77" i="3" a="1"/>
  <c r="E91" i="3" a="1"/>
  <c r="E51" i="3" a="1"/>
  <c r="E116" i="3" a="1"/>
  <c r="E335" i="3" a="1"/>
  <c r="E161" i="3" a="1"/>
  <c r="E123" i="3" a="1"/>
  <c r="E364" i="3" a="1"/>
  <c r="J461" i="3" a="1"/>
  <c r="J69" i="3" a="1"/>
  <c r="E557" i="3" a="1"/>
  <c r="J411" i="3" a="1"/>
  <c r="E376" i="3" a="1"/>
  <c r="E343" i="3" a="1"/>
  <c r="E424" i="3" a="1"/>
  <c r="E267" i="3" a="1"/>
  <c r="J304" i="3" a="1"/>
  <c r="E327" i="3" a="1"/>
  <c r="E565" i="3" a="1"/>
  <c r="J231" i="3" a="1"/>
  <c r="J632" i="3" a="1"/>
  <c r="E196" i="3" a="1"/>
  <c r="J242" i="3" a="1"/>
  <c r="J16" i="3" a="1"/>
  <c r="J150" i="3" a="1"/>
  <c r="J639" i="3" a="1"/>
  <c r="E105" i="3" a="1"/>
  <c r="E426" i="3" a="1"/>
  <c r="E207" i="3" a="1"/>
  <c r="E77" i="3" a="1"/>
  <c r="J184" i="3" a="1"/>
  <c r="E68" i="3" a="1"/>
  <c r="J218" i="3" a="1"/>
  <c r="E29" i="3" a="1"/>
  <c r="J272" i="3" a="1"/>
  <c r="J566" i="3" a="1"/>
  <c r="J178" i="3" a="1"/>
  <c r="E294" i="3" a="1"/>
  <c r="E410" i="3" a="1"/>
  <c r="J496" i="3" a="1"/>
  <c r="E170" i="3" a="1"/>
  <c r="E428" i="3" a="1"/>
  <c r="E330" i="3" a="1"/>
  <c r="J542" i="3" a="1"/>
  <c r="J426" i="3" a="1"/>
  <c r="J117" i="3" a="1"/>
  <c r="J427" i="3" a="1"/>
  <c r="E462" i="3" a="1"/>
  <c r="E36" i="3" a="1"/>
  <c r="J493" i="3" a="1"/>
  <c r="J335" i="3" a="1"/>
  <c r="J249" i="3" a="1"/>
  <c r="J173" i="3" a="1"/>
  <c r="E163" i="3" a="1"/>
  <c r="E532" i="3" a="1"/>
  <c r="E524" i="3" a="1"/>
  <c r="E305" i="3" a="1"/>
  <c r="E543" i="3" a="1"/>
  <c r="J74" i="3" a="1"/>
  <c r="E76" i="3" a="1"/>
  <c r="E438" i="3" a="1"/>
  <c r="E443" i="3" a="1"/>
  <c r="J470" i="3" a="1"/>
  <c r="E34" i="3" a="1"/>
  <c r="J395" i="3" a="1"/>
  <c r="E94" i="3" a="1"/>
  <c r="J109" i="3" a="1"/>
  <c r="J522" i="3" a="1"/>
  <c r="J235" i="3" a="1"/>
  <c r="E315" i="3" a="1"/>
  <c r="J469" i="3" a="1"/>
  <c r="E52" i="3" a="1"/>
  <c r="J153" i="3" a="1"/>
  <c r="J384" i="3" a="1"/>
  <c r="E71" i="3" a="1"/>
  <c r="J98" i="3" a="1"/>
  <c r="J413" i="3" a="1"/>
  <c r="J388" i="3" a="1"/>
  <c r="E523" i="3" a="1"/>
  <c r="J192" i="3" a="1"/>
  <c r="J533" i="3" a="1"/>
  <c r="J313" i="3" a="1"/>
  <c r="J494" i="3" a="1"/>
  <c r="E510" i="3" a="1"/>
  <c r="J342" i="3" a="1"/>
  <c r="E104" i="3" a="1"/>
  <c r="E59" i="3" a="1"/>
  <c r="E185" i="3" a="1"/>
  <c r="J586" i="3" a="1"/>
  <c r="J127" i="3" a="1"/>
  <c r="E84" i="3" a="1"/>
  <c r="J56" i="3" a="1"/>
  <c r="J368" i="3" a="1"/>
  <c r="J258" i="3" a="1"/>
  <c r="J57" i="3" a="1"/>
  <c r="J58" i="3" a="1"/>
  <c r="J441" i="3" a="1"/>
  <c r="E302" i="3" a="1"/>
  <c r="E179" i="3" a="1"/>
  <c r="J361" i="3" a="1"/>
  <c r="E431" i="3" a="1"/>
  <c r="E45" i="3" a="1"/>
  <c r="E67" i="3" a="1"/>
  <c r="E155" i="3" a="1"/>
  <c r="B601" i="3" a="1"/>
  <c r="J142" i="3" a="1"/>
  <c r="J4" i="3" a="1"/>
  <c r="J391" i="3" a="1"/>
  <c r="J14" i="3" a="1"/>
  <c r="J619" i="3" a="1"/>
  <c r="E628" i="3" a="1"/>
  <c r="E325" i="3" a="1"/>
  <c r="J308" i="3" a="1"/>
  <c r="J41" i="3" a="1"/>
  <c r="J312" i="3" a="1"/>
  <c r="J65" i="3" a="1"/>
  <c r="J147" i="3" a="1"/>
  <c r="J601" i="3" a="1"/>
  <c r="J295" i="3" a="1"/>
  <c r="J563" i="3" a="1"/>
  <c r="J616" i="3" a="1"/>
  <c r="E181" i="3" a="1"/>
  <c r="J238" i="3" a="1"/>
  <c r="J144" i="3" a="1"/>
  <c r="J233" i="3" a="1"/>
  <c r="C416" i="3" a="1"/>
  <c r="J549" i="3" a="1"/>
  <c r="J524" i="3" a="1"/>
  <c r="J79" i="3" a="1"/>
  <c r="E167" i="3" a="1"/>
  <c r="E188" i="3" a="1"/>
  <c r="E192" i="3" a="1"/>
  <c r="J491" i="3" a="1"/>
  <c r="J422" i="3" a="1"/>
  <c r="E454" i="3" a="1"/>
  <c r="E120" i="3" a="1"/>
  <c r="E75" i="3" a="1"/>
  <c r="E21" i="3" a="1"/>
  <c r="E400" i="3" a="1"/>
  <c r="J504" i="3" a="1"/>
  <c r="J492" i="3" a="1"/>
  <c r="J85" i="3" a="1"/>
  <c r="J520" i="3" a="1"/>
  <c r="E226" i="3" a="1"/>
  <c r="E66" i="3" a="1"/>
  <c r="J246" i="3" a="1"/>
  <c r="J503" i="3" a="1"/>
  <c r="J132" i="3" a="1"/>
  <c r="E258" i="3" a="1"/>
  <c r="E605" i="3" a="1"/>
  <c r="E372" i="3" a="1"/>
  <c r="J345" i="3" a="1"/>
  <c r="E368" i="3" a="1"/>
  <c r="E191" i="3" a="1"/>
  <c r="E97" i="3" a="1"/>
  <c r="E528" i="3" a="1"/>
  <c r="E397" i="3" a="1"/>
  <c r="E88" i="3" a="1"/>
  <c r="J66" i="3" a="1"/>
  <c r="E254" i="3" a="1"/>
  <c r="E9" i="3" a="1"/>
  <c r="E82" i="3" a="1"/>
  <c r="J484" i="3" a="1"/>
  <c r="E632" i="3" a="1"/>
  <c r="E365" i="3" a="1"/>
  <c r="E2" i="3" a="1"/>
  <c r="J275" i="3" a="1"/>
  <c r="B460" i="3" a="1"/>
  <c r="J551" i="3" a="1"/>
  <c r="J200" i="3" a="1"/>
  <c r="E369" i="3" a="1"/>
  <c r="E594" i="3" a="1"/>
  <c r="E588" i="3" a="1"/>
  <c r="J547" i="3" a="1"/>
  <c r="J547" i="3" l="1"/>
  <c r="E588" i="3"/>
  <c r="E594" i="3"/>
  <c r="E369" i="3"/>
  <c r="J200" i="3"/>
  <c r="J551" i="3"/>
  <c r="B460" i="3"/>
  <c r="J275" i="3"/>
  <c r="E2" i="3"/>
  <c r="E365" i="3"/>
  <c r="E632" i="3"/>
  <c r="J484" i="3"/>
  <c r="E82" i="3"/>
  <c r="E9" i="3"/>
  <c r="E254" i="3"/>
  <c r="J66" i="3"/>
  <c r="E88" i="3"/>
  <c r="E397" i="3"/>
  <c r="E528" i="3"/>
  <c r="E97" i="3"/>
  <c r="E191" i="3"/>
  <c r="E368" i="3"/>
  <c r="J345" i="3"/>
  <c r="E372" i="3"/>
  <c r="E605" i="3"/>
  <c r="E258" i="3"/>
  <c r="J132" i="3"/>
  <c r="J503" i="3"/>
  <c r="J246" i="3"/>
  <c r="E66" i="3"/>
  <c r="E226" i="3"/>
  <c r="J520" i="3"/>
  <c r="J85" i="3"/>
  <c r="J492" i="3"/>
  <c r="J504" i="3"/>
  <c r="E400" i="3"/>
  <c r="E21" i="3"/>
  <c r="E75" i="3"/>
  <c r="E120" i="3"/>
  <c r="E454" i="3"/>
  <c r="J422" i="3"/>
  <c r="J491" i="3"/>
  <c r="E192" i="3"/>
  <c r="E188" i="3"/>
  <c r="E167" i="3"/>
  <c r="J79" i="3"/>
  <c r="J524" i="3"/>
  <c r="J549" i="3"/>
  <c r="C416" i="3"/>
  <c r="J233" i="3"/>
  <c r="J144" i="3"/>
  <c r="J238" i="3"/>
  <c r="E181" i="3"/>
  <c r="J616" i="3"/>
  <c r="J563" i="3"/>
  <c r="J295" i="3"/>
  <c r="J601" i="3"/>
  <c r="J147" i="3"/>
  <c r="J65" i="3"/>
  <c r="J312" i="3"/>
  <c r="J41" i="3"/>
  <c r="J308" i="3"/>
  <c r="E325" i="3"/>
  <c r="E628" i="3"/>
  <c r="J619" i="3"/>
  <c r="J14" i="3"/>
  <c r="J391" i="3"/>
  <c r="J4" i="3"/>
  <c r="J142" i="3"/>
  <c r="B601" i="3"/>
  <c r="E155" i="3"/>
  <c r="E67" i="3"/>
  <c r="E45" i="3"/>
  <c r="E431" i="3"/>
  <c r="J361" i="3"/>
  <c r="E179" i="3"/>
  <c r="E302" i="3"/>
  <c r="J441" i="3"/>
  <c r="J58" i="3"/>
  <c r="J57" i="3"/>
  <c r="J258" i="3"/>
  <c r="J368" i="3"/>
  <c r="J56" i="3"/>
  <c r="E84" i="3"/>
  <c r="J127" i="3"/>
  <c r="J586" i="3"/>
  <c r="E185" i="3"/>
  <c r="E59" i="3"/>
  <c r="E104" i="3"/>
  <c r="J342" i="3"/>
  <c r="E510" i="3"/>
  <c r="J494" i="3"/>
  <c r="J313" i="3"/>
  <c r="J533" i="3"/>
  <c r="J192" i="3"/>
  <c r="E523" i="3"/>
  <c r="J388" i="3"/>
  <c r="J413" i="3"/>
  <c r="J98" i="3"/>
  <c r="E71" i="3"/>
  <c r="J384" i="3"/>
  <c r="J153" i="3"/>
  <c r="E52" i="3"/>
  <c r="J469" i="3"/>
  <c r="E315" i="3"/>
  <c r="J235" i="3"/>
  <c r="J522" i="3"/>
  <c r="J109" i="3"/>
  <c r="E94" i="3"/>
  <c r="J395" i="3"/>
  <c r="E34" i="3"/>
  <c r="J470" i="3"/>
  <c r="E443" i="3"/>
  <c r="E438" i="3"/>
  <c r="E76" i="3"/>
  <c r="J74" i="3"/>
  <c r="E543" i="3"/>
  <c r="E305" i="3"/>
  <c r="E524" i="3"/>
  <c r="E532" i="3"/>
  <c r="E163" i="3"/>
  <c r="J173" i="3"/>
  <c r="J249" i="3"/>
  <c r="J335" i="3"/>
  <c r="J493" i="3"/>
  <c r="E36" i="3"/>
  <c r="E462" i="3"/>
  <c r="J427" i="3"/>
  <c r="J117" i="3"/>
  <c r="J426" i="3"/>
  <c r="J542" i="3"/>
  <c r="E330" i="3"/>
  <c r="E428" i="3"/>
  <c r="E170" i="3"/>
  <c r="J496" i="3"/>
  <c r="E410" i="3"/>
  <c r="E294" i="3"/>
  <c r="J178" i="3"/>
  <c r="J566" i="3"/>
  <c r="J272" i="3"/>
  <c r="E29" i="3"/>
  <c r="J218" i="3"/>
  <c r="E68" i="3"/>
  <c r="J184" i="3"/>
  <c r="E77" i="3"/>
  <c r="E207" i="3"/>
  <c r="E426" i="3"/>
  <c r="E105" i="3"/>
  <c r="J639" i="3"/>
  <c r="J150" i="3"/>
  <c r="J16" i="3"/>
  <c r="J242" i="3"/>
  <c r="E196" i="3"/>
  <c r="J632" i="3"/>
  <c r="J231" i="3"/>
  <c r="E565" i="3"/>
  <c r="E327" i="3"/>
  <c r="J304" i="3"/>
  <c r="E267" i="3"/>
  <c r="E424" i="3"/>
  <c r="E343" i="3"/>
  <c r="E376" i="3"/>
  <c r="J411" i="3"/>
  <c r="E557" i="3"/>
  <c r="J69" i="3"/>
  <c r="J461" i="3"/>
  <c r="E364" i="3"/>
  <c r="E123" i="3"/>
  <c r="E161" i="3"/>
  <c r="E335" i="3"/>
  <c r="E116" i="3"/>
  <c r="E51" i="3"/>
  <c r="E91" i="3"/>
  <c r="J77" i="3"/>
  <c r="J149" i="3"/>
  <c r="E329" i="3"/>
  <c r="E274" i="3"/>
  <c r="E128" i="3"/>
  <c r="E464" i="3"/>
  <c r="J53" i="3"/>
  <c r="E153" i="3"/>
  <c r="J140" i="3"/>
  <c r="C356" i="3"/>
  <c r="J565" i="3"/>
  <c r="E182" i="3"/>
  <c r="E150" i="3"/>
  <c r="E33" i="3"/>
  <c r="J126" i="3"/>
  <c r="J452" i="3"/>
  <c r="C381" i="3"/>
  <c r="J598" i="3"/>
  <c r="J42" i="3"/>
  <c r="E511" i="3"/>
  <c r="E503" i="3"/>
  <c r="J394" i="3"/>
  <c r="J502" i="3"/>
  <c r="B511" i="3"/>
  <c r="E386" i="3"/>
  <c r="J323" i="3"/>
  <c r="J267" i="3"/>
  <c r="J638" i="3"/>
  <c r="J344" i="3"/>
  <c r="E354" i="3"/>
  <c r="E157" i="3"/>
  <c r="J50" i="3"/>
  <c r="E463" i="3"/>
  <c r="E580" i="3"/>
  <c r="J531" i="3"/>
  <c r="J572" i="3"/>
  <c r="E501" i="3"/>
  <c r="J114" i="3"/>
  <c r="E304" i="3"/>
  <c r="E471" i="3"/>
  <c r="J28" i="3"/>
  <c r="E630" i="3"/>
  <c r="E202" i="3"/>
  <c r="E435" i="3"/>
  <c r="J367" i="3"/>
  <c r="J562" i="3"/>
  <c r="J435" i="3"/>
  <c r="E449" i="3"/>
  <c r="E497" i="3"/>
  <c r="J622" i="3"/>
  <c r="J134" i="3"/>
  <c r="E321" i="3"/>
  <c r="J289" i="3"/>
  <c r="E50" i="3"/>
  <c r="E42" i="3"/>
  <c r="J120" i="3"/>
  <c r="J193" i="3"/>
  <c r="J49" i="3"/>
  <c r="J91" i="3"/>
  <c r="E447" i="3"/>
  <c r="J317" i="3"/>
  <c r="J583" i="3"/>
  <c r="E3" i="3"/>
  <c r="J439" i="3"/>
  <c r="J605" i="3"/>
  <c r="E328" i="3"/>
  <c r="J122" i="3"/>
  <c r="J159" i="3"/>
  <c r="C403" i="3"/>
  <c r="E637" i="3"/>
  <c r="E297" i="3"/>
  <c r="J293" i="3"/>
  <c r="J488" i="3"/>
  <c r="E15" i="3"/>
  <c r="E633" i="3"/>
  <c r="J46" i="3"/>
  <c r="J182" i="3"/>
  <c r="E162" i="3"/>
  <c r="J75" i="3"/>
  <c r="E591" i="3"/>
  <c r="J454" i="3"/>
  <c r="J380" i="3"/>
  <c r="E92" i="3"/>
  <c r="J412" i="3"/>
  <c r="E24" i="3"/>
  <c r="J482" i="3"/>
  <c r="J211" i="3"/>
  <c r="E391" i="3"/>
  <c r="E599" i="3"/>
  <c r="E476" i="3"/>
  <c r="J438" i="3"/>
  <c r="J400" i="3"/>
  <c r="J187" i="3"/>
  <c r="J340" i="3"/>
  <c r="E283" i="3"/>
  <c r="E374" i="3"/>
  <c r="E81" i="3"/>
  <c r="J115" i="3"/>
  <c r="E137" i="3"/>
  <c r="E493" i="3"/>
  <c r="J371" i="3"/>
  <c r="J433" i="3"/>
  <c r="E592" i="3"/>
  <c r="J188" i="3"/>
  <c r="E429" i="3"/>
  <c r="J27" i="3"/>
  <c r="E418" i="3"/>
  <c r="J440" i="3"/>
  <c r="J163" i="3"/>
  <c r="E486" i="3"/>
  <c r="J465" i="3"/>
  <c r="E205" i="3"/>
  <c r="E403" i="3"/>
  <c r="J171" i="3"/>
  <c r="J370" i="3"/>
  <c r="E25" i="3"/>
  <c r="E482" i="3"/>
  <c r="J506" i="3"/>
  <c r="J321" i="3"/>
  <c r="J136" i="3"/>
  <c r="E287" i="3"/>
  <c r="J325" i="3"/>
  <c r="J94" i="3"/>
  <c r="J174" i="3"/>
  <c r="J571" i="3"/>
  <c r="E311" i="3"/>
  <c r="E99" i="3"/>
  <c r="J529" i="3"/>
  <c r="J537" i="3"/>
  <c r="E279" i="3"/>
  <c r="E63" i="3"/>
  <c r="J93" i="3"/>
  <c r="E399" i="3"/>
  <c r="E314" i="3"/>
  <c r="E124" i="3"/>
  <c r="E545" i="3"/>
  <c r="J379" i="3"/>
  <c r="E437" i="3"/>
  <c r="J343" i="3"/>
  <c r="J374" i="3"/>
  <c r="E141" i="3"/>
  <c r="E53" i="3"/>
  <c r="E193" i="3"/>
  <c r="E337" i="3"/>
  <c r="E149" i="3"/>
  <c r="E30" i="3"/>
  <c r="J137" i="3"/>
  <c r="E636" i="3"/>
  <c r="E127" i="3"/>
  <c r="J105" i="3"/>
  <c r="E345" i="3"/>
  <c r="J337" i="3"/>
  <c r="J81" i="3"/>
  <c r="J197" i="3"/>
  <c r="J397" i="3"/>
  <c r="E416" i="3"/>
  <c r="E492" i="3"/>
  <c r="E256" i="3"/>
  <c r="E8" i="3"/>
  <c r="J314" i="3"/>
  <c r="E615" i="3"/>
  <c r="J124" i="3"/>
  <c r="E587" i="3"/>
  <c r="J45" i="3"/>
  <c r="E459" i="3"/>
  <c r="J257" i="3"/>
  <c r="E346" i="3"/>
  <c r="J399" i="3"/>
  <c r="J350" i="3"/>
  <c r="E265" i="3"/>
  <c r="E117" i="3"/>
  <c r="E32" i="3"/>
  <c r="E396" i="3"/>
  <c r="E300" i="3"/>
  <c r="E379" i="3"/>
  <c r="E520" i="3"/>
  <c r="J30" i="3"/>
  <c r="J561" i="3"/>
  <c r="J285" i="3"/>
  <c r="E165" i="3"/>
  <c r="E616" i="3"/>
  <c r="J330" i="3"/>
  <c r="J31" i="3"/>
  <c r="J429" i="3"/>
  <c r="E238" i="3"/>
  <c r="J76" i="3"/>
  <c r="J10" i="3"/>
  <c r="J179" i="3"/>
  <c r="E234" i="3"/>
  <c r="E539" i="3"/>
  <c r="J615" i="3"/>
  <c r="E293" i="3"/>
  <c r="E564" i="3"/>
  <c r="J214" i="3"/>
  <c r="J292" i="3"/>
  <c r="J59" i="3"/>
  <c r="E407" i="3"/>
  <c r="E465" i="3"/>
  <c r="E350" i="3"/>
  <c r="J224" i="3"/>
  <c r="E6" i="3"/>
  <c r="E37" i="3"/>
  <c r="E585" i="3"/>
  <c r="E80" i="3"/>
  <c r="J595" i="3"/>
  <c r="J602" i="3"/>
  <c r="J29" i="3"/>
  <c r="J513" i="3"/>
  <c r="E542" i="3"/>
  <c r="J265" i="3"/>
  <c r="E130" i="3"/>
  <c r="E326" i="3"/>
  <c r="E362" i="3"/>
  <c r="J209" i="3"/>
  <c r="J449" i="3"/>
  <c r="J240" i="3"/>
  <c r="J626" i="3"/>
  <c r="J167" i="3"/>
  <c r="J35" i="3"/>
  <c r="J183" i="3"/>
  <c r="E631" i="3"/>
  <c r="E121" i="3"/>
  <c r="E450" i="3"/>
  <c r="E174" i="3"/>
  <c r="E417" i="3"/>
  <c r="E203" i="3"/>
  <c r="J629" i="3"/>
  <c r="C211" i="3"/>
  <c r="E348" i="3"/>
  <c r="E561" i="3"/>
  <c r="E177" i="3"/>
  <c r="J539" i="3"/>
  <c r="E273" i="3"/>
  <c r="E41" i="3"/>
  <c r="E494" i="3"/>
  <c r="J631" i="3"/>
  <c r="C168" i="3"/>
  <c r="J175" i="3"/>
  <c r="J515" i="3"/>
  <c r="E469" i="3"/>
  <c r="E288" i="3"/>
  <c r="C33" i="3"/>
  <c r="J20" i="3"/>
  <c r="J476" i="3"/>
  <c r="J169" i="3"/>
  <c r="J306" i="3"/>
  <c r="E241" i="3"/>
  <c r="J508" i="3"/>
  <c r="J250" i="3"/>
  <c r="E613" i="3"/>
  <c r="J610" i="3"/>
  <c r="E282" i="3"/>
  <c r="J597" i="3"/>
  <c r="E385" i="3"/>
  <c r="J478" i="3"/>
  <c r="J259" i="3"/>
  <c r="E83" i="3"/>
  <c r="J210" i="3"/>
  <c r="J195" i="3"/>
  <c r="J366" i="3"/>
  <c r="E95" i="3"/>
  <c r="C397" i="3"/>
  <c r="J544" i="3"/>
  <c r="E552" i="3"/>
  <c r="E375" i="3"/>
  <c r="J518" i="3"/>
  <c r="J596" i="3"/>
  <c r="E214" i="3"/>
  <c r="B589" i="3"/>
  <c r="C92" i="3"/>
  <c r="J607" i="3"/>
  <c r="E502" i="3"/>
  <c r="E582" i="3"/>
  <c r="J585" i="3"/>
  <c r="J261" i="3"/>
  <c r="J545" i="3"/>
  <c r="J501" i="3"/>
  <c r="J151" i="3"/>
  <c r="B571" i="3"/>
  <c r="J480" i="3"/>
  <c r="E571" i="3"/>
  <c r="J205" i="3"/>
  <c r="E537" i="3"/>
  <c r="E7" i="3"/>
  <c r="E290" i="3"/>
  <c r="E46" i="3"/>
  <c r="J44" i="3"/>
  <c r="E87" i="3"/>
  <c r="E332" i="3"/>
  <c r="J555" i="3"/>
  <c r="J364" i="3"/>
  <c r="E619" i="3"/>
  <c r="E534" i="3"/>
  <c r="J548" i="3"/>
  <c r="J112" i="3"/>
  <c r="E551" i="3"/>
  <c r="J139" i="3"/>
  <c r="J587" i="3"/>
  <c r="C366" i="3"/>
  <c r="J297" i="3"/>
  <c r="J467" i="3"/>
  <c r="J599" i="3"/>
  <c r="E49" i="3"/>
  <c r="E246" i="3"/>
  <c r="E152" i="3"/>
  <c r="J603" i="3"/>
  <c r="E146" i="3"/>
  <c r="J223" i="3"/>
  <c r="J600" i="3"/>
  <c r="E531" i="3"/>
  <c r="J589" i="3"/>
  <c r="E411" i="3"/>
  <c r="E404" i="3"/>
  <c r="J67" i="3"/>
  <c r="E595" i="3"/>
  <c r="E624" i="3"/>
  <c r="E611" i="3"/>
  <c r="E100" i="3"/>
  <c r="J402" i="3"/>
  <c r="E554" i="3"/>
  <c r="E269" i="3"/>
  <c r="E405" i="3"/>
  <c r="J40" i="3"/>
  <c r="J499" i="3"/>
  <c r="E351" i="3"/>
  <c r="J72" i="3"/>
  <c r="J217" i="3"/>
  <c r="E228" i="3"/>
  <c r="J283" i="3"/>
  <c r="E312" i="3"/>
  <c r="E456" i="3"/>
  <c r="E60" i="3"/>
  <c r="J309" i="3"/>
  <c r="J574" i="3"/>
  <c r="J633" i="3"/>
  <c r="J221" i="3"/>
  <c r="E125" i="3"/>
  <c r="E78" i="3"/>
  <c r="E295" i="3"/>
  <c r="E108" i="3"/>
  <c r="E590" i="3"/>
  <c r="J471" i="3"/>
  <c r="E22" i="3"/>
  <c r="E169" i="3"/>
  <c r="E74" i="3"/>
  <c r="J353" i="3"/>
  <c r="J521" i="3"/>
  <c r="E210" i="3"/>
  <c r="J523" i="3"/>
  <c r="J279" i="3"/>
  <c r="J421" i="3"/>
  <c r="E439" i="3"/>
  <c r="J213" i="3"/>
  <c r="J538" i="3"/>
  <c r="J180" i="3"/>
  <c r="J377" i="3"/>
  <c r="E133" i="3"/>
  <c r="E276" i="3"/>
  <c r="J244" i="3"/>
  <c r="E316" i="3"/>
  <c r="J640" i="3"/>
  <c r="J475" i="3"/>
  <c r="E260" i="3"/>
  <c r="B212" i="3"/>
  <c r="E86" i="3"/>
  <c r="J464" i="3"/>
  <c r="J129" i="3"/>
  <c r="J130" i="3"/>
  <c r="E549" i="3"/>
  <c r="E139" i="3"/>
  <c r="J315" i="3"/>
  <c r="J39" i="3"/>
  <c r="J637" i="3"/>
  <c r="E257" i="3"/>
  <c r="J355" i="3"/>
  <c r="J70" i="3"/>
  <c r="C555" i="3"/>
  <c r="E131" i="3"/>
  <c r="E35" i="3"/>
  <c r="J430" i="3"/>
  <c r="E280" i="3"/>
  <c r="E444" i="3"/>
  <c r="E342" i="3"/>
  <c r="E425" i="3"/>
  <c r="J351" i="3"/>
  <c r="E602" i="3"/>
  <c r="E215" i="3"/>
  <c r="E448" i="3"/>
  <c r="E18" i="3"/>
  <c r="J445" i="3"/>
  <c r="J459" i="3"/>
  <c r="B193" i="3"/>
  <c r="J234" i="3"/>
  <c r="J282" i="3"/>
  <c r="J316" i="3"/>
  <c r="E466" i="3"/>
  <c r="J567" i="3"/>
  <c r="J80" i="3"/>
  <c r="J311" i="3"/>
  <c r="J457" i="3"/>
  <c r="E508" i="3"/>
  <c r="E171" i="3"/>
  <c r="E69" i="3"/>
  <c r="E245" i="3"/>
  <c r="J352" i="3"/>
  <c r="J281" i="3"/>
  <c r="J418" i="3"/>
  <c r="B158" i="3"/>
  <c r="E356" i="3"/>
  <c r="J204" i="3"/>
  <c r="J417" i="3"/>
  <c r="J378" i="3"/>
  <c r="J525" i="3"/>
  <c r="J387" i="3"/>
  <c r="E629" i="3"/>
  <c r="E487" i="3"/>
  <c r="E596" i="3"/>
  <c r="E451" i="3"/>
  <c r="E200" i="3"/>
  <c r="E569" i="3"/>
  <c r="J552" i="3"/>
  <c r="E506" i="3"/>
  <c r="J428" i="3"/>
  <c r="J278" i="3"/>
  <c r="E352" i="3"/>
  <c r="E17" i="3"/>
  <c r="E239" i="3"/>
  <c r="E229" i="3"/>
  <c r="J96" i="3"/>
  <c r="E40" i="3"/>
  <c r="J55" i="3"/>
  <c r="E23" i="3"/>
  <c r="J382" i="3"/>
  <c r="J88" i="3"/>
  <c r="C274" i="3"/>
  <c r="J436" i="3"/>
  <c r="E231" i="3"/>
  <c r="J5" i="3"/>
  <c r="J444" i="3"/>
  <c r="E106" i="3"/>
  <c r="J264" i="3"/>
  <c r="E517" i="3"/>
  <c r="E583" i="3"/>
  <c r="J373" i="3"/>
  <c r="E176" i="3"/>
  <c r="E323" i="3"/>
  <c r="J415" i="3"/>
  <c r="E570" i="3"/>
  <c r="J71" i="3"/>
  <c r="J554" i="3"/>
  <c r="J277" i="3"/>
  <c r="J196" i="3"/>
  <c r="J362" i="3"/>
  <c r="J208" i="3"/>
  <c r="E208" i="3"/>
  <c r="J239" i="3"/>
  <c r="B338" i="3"/>
  <c r="E338" i="3"/>
  <c r="E363" i="3"/>
  <c r="E474" i="3"/>
  <c r="E361" i="3"/>
  <c r="J262" i="3"/>
  <c r="C531" i="3"/>
  <c r="J406" i="3"/>
  <c r="J108" i="3"/>
  <c r="E114" i="3"/>
  <c r="J495" i="3"/>
  <c r="J611" i="3"/>
  <c r="E225" i="3"/>
  <c r="E412" i="3"/>
  <c r="J456" i="3"/>
  <c r="J32" i="3"/>
  <c r="J403" i="3"/>
  <c r="E504" i="3"/>
  <c r="J505" i="3"/>
  <c r="J116" i="3"/>
  <c r="E505" i="3"/>
  <c r="E603" i="3"/>
  <c r="J6" i="3"/>
  <c r="J241" i="3"/>
  <c r="E306" i="3"/>
  <c r="E96" i="3"/>
  <c r="J100" i="3"/>
  <c r="J286" i="3"/>
  <c r="E143" i="3"/>
  <c r="J398" i="3"/>
  <c r="E118" i="3"/>
  <c r="E566" i="3"/>
  <c r="J451" i="3"/>
  <c r="J63" i="3"/>
  <c r="E344" i="3"/>
  <c r="J341" i="3"/>
  <c r="J347" i="3"/>
  <c r="E90" i="3"/>
  <c r="E301" i="3"/>
  <c r="E336" i="3"/>
  <c r="E132" i="3"/>
  <c r="J327" i="3"/>
  <c r="J47" i="3"/>
  <c r="J11" i="3"/>
  <c r="E284" i="3"/>
  <c r="E398" i="3"/>
  <c r="E445" i="3"/>
  <c r="E198" i="3"/>
  <c r="E548" i="3"/>
  <c r="J534" i="3"/>
  <c r="J230" i="3"/>
  <c r="J614" i="3"/>
  <c r="J237" i="3"/>
  <c r="C133" i="3"/>
  <c r="J203" i="3"/>
  <c r="E101" i="3"/>
  <c r="C557" i="3"/>
  <c r="J131" i="3"/>
  <c r="J420" i="3"/>
  <c r="J296" i="3"/>
  <c r="E455" i="3"/>
  <c r="E617" i="3"/>
  <c r="J453" i="3"/>
  <c r="E626" i="3"/>
  <c r="E355" i="3"/>
  <c r="E122" i="3"/>
  <c r="E201" i="3"/>
  <c r="J416" i="3"/>
  <c r="J358" i="3"/>
  <c r="E240" i="3"/>
  <c r="E467" i="3"/>
  <c r="J25" i="3"/>
  <c r="J608" i="3"/>
  <c r="J64" i="3"/>
  <c r="E268" i="3"/>
  <c r="C132" i="3"/>
  <c r="E490" i="3"/>
  <c r="E56" i="3"/>
  <c r="J410" i="3"/>
  <c r="E340" i="3"/>
  <c r="J517" i="3"/>
  <c r="E43" i="3"/>
  <c r="E441" i="3"/>
  <c r="J487" i="3"/>
  <c r="E546" i="3"/>
  <c r="J54" i="3"/>
  <c r="J634" i="3"/>
  <c r="J376" i="3"/>
  <c r="E634" i="3"/>
  <c r="E235" i="3"/>
  <c r="E281" i="3"/>
  <c r="E513" i="3"/>
  <c r="J584" i="3"/>
  <c r="C402" i="3"/>
  <c r="E54" i="3"/>
  <c r="J463" i="3"/>
  <c r="E115" i="3"/>
  <c r="E480" i="3"/>
  <c r="E277" i="3"/>
  <c r="E217" i="3"/>
  <c r="E567" i="3"/>
  <c r="E382" i="3"/>
  <c r="J245" i="3"/>
  <c r="E209" i="3"/>
  <c r="E331" i="3"/>
  <c r="J189" i="3"/>
  <c r="E406" i="3"/>
  <c r="J624" i="3"/>
  <c r="J12" i="3"/>
  <c r="E384" i="3"/>
  <c r="E186" i="3"/>
  <c r="J73" i="3"/>
  <c r="E550" i="3"/>
  <c r="E563" i="3"/>
  <c r="C389" i="3"/>
  <c r="E556" i="3"/>
  <c r="B542" i="3"/>
  <c r="E420" i="3"/>
  <c r="E478" i="3"/>
  <c r="J458" i="3"/>
  <c r="J519" i="3"/>
  <c r="J357" i="3"/>
  <c r="E559" i="3"/>
  <c r="E31" i="3"/>
  <c r="E547" i="3"/>
  <c r="E432" i="3"/>
  <c r="E102" i="3"/>
  <c r="B294" i="3"/>
  <c r="J36" i="3"/>
  <c r="E381" i="3"/>
  <c r="J472" i="3"/>
  <c r="J103" i="3"/>
  <c r="E147" i="3"/>
  <c r="J251" i="3"/>
  <c r="J201" i="3"/>
  <c r="B145" i="3"/>
  <c r="E230" i="3"/>
  <c r="J24" i="3"/>
  <c r="E589" i="3"/>
  <c r="E395" i="3"/>
  <c r="E20" i="3"/>
  <c r="J477" i="3"/>
  <c r="C288" i="3"/>
  <c r="E160" i="3"/>
  <c r="J532" i="3"/>
  <c r="C621" i="3"/>
  <c r="B309" i="3"/>
  <c r="J573" i="3"/>
  <c r="J328" i="3"/>
  <c r="J168" i="3"/>
  <c r="J331" i="3"/>
  <c r="E14" i="3"/>
  <c r="J326" i="3"/>
  <c r="J216" i="3"/>
  <c r="J385" i="3"/>
  <c r="E140" i="3"/>
  <c r="J479" i="3"/>
  <c r="E578" i="3"/>
  <c r="E457" i="3"/>
  <c r="J123" i="3"/>
  <c r="J582" i="3"/>
  <c r="E248" i="3"/>
  <c r="J194" i="3"/>
  <c r="B226" i="3"/>
  <c r="J102" i="3"/>
  <c r="C162" i="3"/>
  <c r="E236" i="3"/>
  <c r="J191" i="3"/>
  <c r="J247" i="3"/>
  <c r="E553" i="3"/>
  <c r="B236" i="3"/>
  <c r="J424" i="3"/>
  <c r="E358" i="3"/>
  <c r="E560" i="3"/>
  <c r="J507" i="3"/>
  <c r="J466" i="3"/>
  <c r="E308" i="3"/>
  <c r="E576" i="3"/>
  <c r="J48" i="3"/>
  <c r="J401" i="3"/>
  <c r="J333" i="3"/>
  <c r="E598" i="3"/>
  <c r="J89" i="3"/>
  <c r="E113" i="3"/>
  <c r="J141" i="3"/>
  <c r="J623" i="3"/>
  <c r="E419" i="3"/>
  <c r="E172" i="3"/>
  <c r="J2" i="3"/>
  <c r="E612" i="3"/>
  <c r="E262" i="3"/>
  <c r="J509" i="3"/>
  <c r="E61" i="3"/>
  <c r="J346" i="3"/>
  <c r="J450" i="3"/>
  <c r="E625" i="3"/>
  <c r="J199" i="3"/>
  <c r="E540" i="3"/>
  <c r="J236" i="3"/>
  <c r="J443" i="3"/>
  <c r="J617" i="3"/>
  <c r="E533" i="3"/>
  <c r="J393" i="3"/>
  <c r="J288" i="3"/>
  <c r="J511" i="3"/>
  <c r="J360" i="3"/>
  <c r="E380" i="3"/>
  <c r="J338" i="3"/>
  <c r="J543" i="3"/>
  <c r="E261" i="3"/>
  <c r="E359" i="3"/>
  <c r="J514" i="3"/>
  <c r="E473" i="3"/>
  <c r="J432" i="3"/>
  <c r="J228" i="3"/>
  <c r="E303" i="3"/>
  <c r="J389" i="3"/>
  <c r="E370" i="3"/>
  <c r="E109" i="3"/>
  <c r="J392" i="3"/>
  <c r="J274" i="3"/>
  <c r="J243" i="3"/>
  <c r="J568" i="3"/>
  <c r="E317" i="3"/>
  <c r="J225" i="3"/>
  <c r="J446" i="3"/>
  <c r="E460" i="3"/>
  <c r="E142" i="3"/>
  <c r="J320" i="3"/>
  <c r="E154" i="3"/>
  <c r="J530" i="3"/>
  <c r="E223" i="3"/>
  <c r="J490" i="3"/>
  <c r="E291" i="3"/>
  <c r="E522" i="3"/>
  <c r="E237" i="3"/>
  <c r="J170" i="3"/>
  <c r="E10" i="3"/>
  <c r="C336" i="3"/>
  <c r="J541" i="3"/>
  <c r="E73" i="3"/>
  <c r="E485" i="3"/>
  <c r="E211" i="3"/>
  <c r="J460" i="3"/>
  <c r="E422" i="3"/>
  <c r="J510" i="3"/>
  <c r="J300" i="3"/>
  <c r="E219" i="3"/>
  <c r="J577" i="3"/>
  <c r="J62" i="3"/>
  <c r="J13" i="3"/>
  <c r="J263" i="3"/>
  <c r="E12" i="3"/>
  <c r="E371" i="3"/>
  <c r="E558" i="3"/>
  <c r="E318" i="3"/>
  <c r="E19" i="3"/>
  <c r="E562" i="3"/>
  <c r="E390" i="3"/>
  <c r="J553" i="3"/>
  <c r="E458" i="3"/>
  <c r="B315" i="3"/>
  <c r="E377" i="3"/>
  <c r="E544" i="3"/>
  <c r="E309" i="3"/>
  <c r="J268" i="3"/>
  <c r="E322" i="3"/>
  <c r="J486" i="3"/>
  <c r="E347" i="3"/>
  <c r="J386" i="3"/>
  <c r="E507" i="3"/>
  <c r="J110" i="3"/>
  <c r="J51" i="3"/>
  <c r="C332" i="3"/>
  <c r="J527" i="3"/>
  <c r="B229" i="3"/>
  <c r="E62" i="3"/>
  <c r="E499" i="3"/>
  <c r="E313" i="3"/>
  <c r="J119" i="3"/>
  <c r="J556" i="3"/>
  <c r="J185" i="3"/>
  <c r="E255" i="3"/>
  <c r="E401" i="3"/>
  <c r="J18" i="3"/>
  <c r="J125" i="3"/>
  <c r="E266" i="3"/>
  <c r="J409" i="3"/>
  <c r="E271" i="3"/>
  <c r="E232" i="3"/>
  <c r="J636" i="3"/>
  <c r="E638" i="3"/>
  <c r="E393" i="3"/>
  <c r="E575" i="3"/>
  <c r="J612" i="3"/>
  <c r="E461" i="3"/>
  <c r="E491" i="3"/>
  <c r="J52" i="3"/>
  <c r="E452" i="3"/>
  <c r="E481" i="3"/>
  <c r="J581" i="3"/>
  <c r="J111" i="3"/>
  <c r="E136" i="3"/>
  <c r="E541" i="3"/>
  <c r="E178" i="3"/>
  <c r="J90" i="3"/>
  <c r="E360" i="3"/>
  <c r="E189" i="3"/>
  <c r="E526" i="3"/>
  <c r="J324" i="3"/>
  <c r="J592" i="3"/>
  <c r="J60" i="3"/>
  <c r="J489" i="3"/>
  <c r="J84" i="3"/>
  <c r="E453" i="3"/>
  <c r="E320" i="3"/>
  <c r="E58" i="3"/>
  <c r="J166" i="3"/>
  <c r="J97" i="3"/>
  <c r="J232" i="3"/>
  <c r="J369" i="3"/>
  <c r="J448" i="3"/>
  <c r="J106" i="3"/>
  <c r="J437" i="3"/>
  <c r="E156" i="3"/>
  <c r="J260" i="3"/>
  <c r="E57" i="3"/>
  <c r="J215" i="3"/>
  <c r="J145" i="3"/>
  <c r="E409" i="3"/>
  <c r="E44" i="3"/>
  <c r="J256" i="3"/>
  <c r="E389" i="3"/>
  <c r="J298" i="3"/>
  <c r="E98" i="3"/>
  <c r="J564" i="3"/>
  <c r="E436" i="3"/>
  <c r="E518" i="3"/>
  <c r="E525" i="3"/>
  <c r="J408" i="3"/>
  <c r="E536" i="3"/>
  <c r="J146" i="3"/>
  <c r="J540" i="3"/>
  <c r="E495" i="3"/>
  <c r="E357" i="3"/>
  <c r="J594" i="3"/>
  <c r="J419" i="3"/>
  <c r="J635" i="3"/>
  <c r="J22" i="3"/>
  <c r="C316" i="3"/>
  <c r="J118" i="3"/>
  <c r="E319" i="3"/>
  <c r="J576" i="3"/>
  <c r="J284" i="3"/>
  <c r="J381" i="3"/>
  <c r="E212" i="3"/>
  <c r="B446" i="3"/>
  <c r="J434" i="3"/>
  <c r="E247" i="3"/>
  <c r="J113" i="3"/>
  <c r="E250" i="3"/>
  <c r="E151" i="3"/>
  <c r="E72" i="3"/>
  <c r="J349" i="3"/>
  <c r="E275" i="3"/>
  <c r="E623" i="3"/>
  <c r="J37" i="3"/>
  <c r="C52" i="3"/>
  <c r="J473" i="3"/>
  <c r="E158" i="3"/>
  <c r="J83" i="3"/>
  <c r="J579" i="3"/>
  <c r="J207" i="3"/>
  <c r="J177" i="3"/>
  <c r="J318" i="3"/>
  <c r="E446" i="3"/>
  <c r="E286" i="3"/>
  <c r="J248" i="3"/>
  <c r="J590" i="3"/>
  <c r="E606" i="3"/>
  <c r="E584" i="3"/>
  <c r="E173" i="3"/>
  <c r="C595" i="3"/>
  <c r="J414" i="3"/>
  <c r="B335" i="3"/>
  <c r="J271" i="3"/>
  <c r="E55" i="3"/>
  <c r="E204" i="3"/>
  <c r="E221" i="3"/>
  <c r="J299" i="3"/>
  <c r="E500" i="3"/>
  <c r="J442" i="3"/>
  <c r="J276" i="3"/>
  <c r="E586" i="3"/>
  <c r="E38" i="3"/>
  <c r="J621" i="3"/>
  <c r="J396" i="3"/>
  <c r="E521" i="3"/>
  <c r="J559" i="3"/>
  <c r="E621" i="3"/>
  <c r="E470" i="3"/>
  <c r="E581" i="3"/>
  <c r="J546" i="3"/>
  <c r="E243" i="3"/>
  <c r="J229" i="3"/>
  <c r="J497" i="3"/>
  <c r="E620" i="3"/>
  <c r="J219" i="3"/>
  <c r="J332" i="3"/>
  <c r="J254" i="3"/>
  <c r="E289" i="3"/>
  <c r="J165" i="3"/>
  <c r="J512" i="3"/>
  <c r="E607" i="3"/>
  <c r="E47" i="3"/>
  <c r="J23" i="3"/>
  <c r="E614" i="3"/>
  <c r="E79" i="3"/>
  <c r="E483" i="3"/>
  <c r="E475" i="3"/>
  <c r="J21" i="3"/>
  <c r="E244" i="3"/>
  <c r="E103" i="3"/>
  <c r="J498" i="3"/>
  <c r="E339" i="3"/>
  <c r="J148" i="3"/>
  <c r="J390" i="3"/>
  <c r="E70" i="3"/>
  <c r="J152" i="3"/>
  <c r="J423" i="3"/>
  <c r="J266" i="3"/>
  <c r="E608" i="3"/>
  <c r="E527" i="3"/>
  <c r="E145" i="3"/>
  <c r="E107" i="3"/>
  <c r="J99" i="3"/>
  <c r="J291" i="3"/>
  <c r="J255" i="3"/>
  <c r="E272" i="3"/>
  <c r="J161" i="3"/>
  <c r="J329" i="3"/>
  <c r="E627" i="3"/>
  <c r="E333" i="3"/>
  <c r="E468" i="3"/>
  <c r="E197" i="3"/>
  <c r="J569" i="3"/>
  <c r="J107" i="3"/>
  <c r="E334" i="3"/>
  <c r="E242" i="3"/>
  <c r="E639" i="3"/>
  <c r="J560" i="3"/>
  <c r="E601" i="3"/>
  <c r="B561" i="3"/>
  <c r="E635" i="3"/>
  <c r="E597" i="3"/>
  <c r="J143" i="3"/>
  <c r="E28" i="3"/>
  <c r="E373" i="3"/>
  <c r="E251" i="3"/>
  <c r="E324" i="3"/>
  <c r="B412" i="3"/>
  <c r="J252" i="3"/>
  <c r="E618" i="3"/>
  <c r="C35" i="3"/>
  <c r="E166" i="3"/>
  <c r="J202" i="3"/>
  <c r="E496" i="3"/>
  <c r="J34" i="3"/>
  <c r="C44" i="3"/>
  <c r="B329" i="3"/>
  <c r="E519" i="3"/>
  <c r="J359" i="3"/>
  <c r="J68" i="3"/>
  <c r="J155" i="3"/>
  <c r="E184" i="3"/>
  <c r="E310" i="3"/>
  <c r="J307" i="3"/>
  <c r="J190" i="3"/>
  <c r="J630" i="3"/>
  <c r="J550" i="3"/>
  <c r="J101" i="3"/>
  <c r="E168" i="3"/>
  <c r="E610" i="3"/>
  <c r="E378" i="3"/>
  <c r="J186" i="3"/>
  <c r="E224" i="3"/>
  <c r="J154" i="3"/>
  <c r="J157" i="3"/>
  <c r="E427" i="3"/>
  <c r="J303" i="3"/>
  <c r="J162" i="3"/>
  <c r="E65" i="3"/>
  <c r="J227" i="3"/>
  <c r="J481" i="3"/>
  <c r="E604" i="3"/>
  <c r="E187" i="3"/>
  <c r="E423" i="3"/>
  <c r="C320" i="3"/>
  <c r="E119" i="3"/>
  <c r="J483" i="3"/>
  <c r="E164" i="3"/>
  <c r="J87" i="3"/>
  <c r="E535" i="3"/>
  <c r="E126" i="3"/>
  <c r="J591" i="3"/>
  <c r="J375" i="3"/>
  <c r="C410" i="3"/>
  <c r="C339" i="3"/>
  <c r="E577" i="3"/>
  <c r="J121" i="3"/>
  <c r="E433" i="3"/>
  <c r="J365" i="3"/>
  <c r="E199" i="3"/>
  <c r="E349" i="3"/>
  <c r="E421" i="3"/>
  <c r="J220" i="3"/>
  <c r="E414" i="3"/>
  <c r="E296" i="3"/>
  <c r="J198" i="3"/>
  <c r="J363" i="3"/>
  <c r="J604" i="3"/>
  <c r="J269" i="3"/>
  <c r="J82" i="3"/>
  <c r="E159" i="3"/>
  <c r="E195" i="3"/>
  <c r="J485" i="3"/>
  <c r="B515" i="3"/>
  <c r="E175" i="3"/>
  <c r="J158" i="3"/>
  <c r="C620" i="3"/>
  <c r="J405" i="3"/>
  <c r="E479" i="3"/>
  <c r="J606" i="3"/>
  <c r="J570" i="3"/>
  <c r="J38" i="3"/>
  <c r="B584" i="3"/>
  <c r="E408" i="3"/>
  <c r="E138" i="3"/>
  <c r="C84" i="3"/>
  <c r="J372" i="3"/>
  <c r="E278" i="3"/>
  <c r="J516" i="3"/>
  <c r="E112" i="3"/>
  <c r="E4" i="3"/>
  <c r="E555" i="3"/>
  <c r="E392" i="3"/>
  <c r="J580" i="3"/>
  <c r="J310" i="3"/>
  <c r="E249" i="3"/>
  <c r="E89" i="3"/>
  <c r="B211" i="3"/>
  <c r="E484" i="3"/>
  <c r="E434" i="3"/>
  <c r="J625" i="3"/>
  <c r="J620" i="3"/>
  <c r="J356" i="3"/>
  <c r="E538" i="3"/>
  <c r="J319" i="3"/>
  <c r="J287" i="3"/>
  <c r="J526" i="3"/>
  <c r="J3" i="3"/>
  <c r="E609" i="3"/>
  <c r="J627" i="3"/>
  <c r="E180" i="3"/>
  <c r="J500" i="3"/>
  <c r="J535" i="3"/>
  <c r="J425" i="3"/>
  <c r="E514" i="3"/>
  <c r="J628" i="3"/>
  <c r="E383" i="3"/>
  <c r="E144" i="3"/>
  <c r="J294" i="3"/>
  <c r="E5" i="3"/>
  <c r="E574" i="3"/>
  <c r="E111" i="3"/>
  <c r="J468" i="3"/>
  <c r="J17" i="3"/>
  <c r="E530" i="3"/>
  <c r="E413" i="3"/>
  <c r="E366" i="3"/>
  <c r="E509" i="3"/>
  <c r="E600" i="3"/>
  <c r="E568" i="3"/>
  <c r="E516" i="3"/>
  <c r="E190" i="3"/>
  <c r="J455" i="3"/>
  <c r="E252" i="3"/>
  <c r="J273" i="3"/>
  <c r="E134" i="3"/>
  <c r="J618" i="3"/>
  <c r="J431" i="3"/>
  <c r="E227" i="3"/>
  <c r="E270" i="3"/>
  <c r="J474" i="3"/>
  <c r="E415" i="3"/>
  <c r="J15" i="3"/>
  <c r="J156" i="3"/>
  <c r="E388" i="3"/>
  <c r="J613" i="3"/>
  <c r="E213" i="3"/>
  <c r="J226" i="3"/>
  <c r="E498" i="3"/>
  <c r="E253" i="3"/>
  <c r="J61" i="3"/>
  <c r="E489" i="3"/>
  <c r="E472" i="3"/>
  <c r="E206" i="3"/>
  <c r="E341" i="3"/>
  <c r="J339" i="3"/>
  <c r="E387" i="3"/>
  <c r="E194" i="3"/>
  <c r="E299" i="3"/>
  <c r="J133" i="3"/>
  <c r="J322" i="3"/>
  <c r="E440" i="3"/>
  <c r="E110" i="3"/>
  <c r="E573" i="3"/>
  <c r="E593" i="3"/>
  <c r="E430" i="3"/>
  <c r="E477" i="3"/>
  <c r="E259" i="3"/>
  <c r="J302" i="3"/>
  <c r="J164" i="3"/>
  <c r="J172" i="3"/>
  <c r="E264" i="3"/>
  <c r="E285" i="3"/>
  <c r="J86" i="3"/>
  <c r="J588" i="3"/>
  <c r="J104" i="3"/>
  <c r="J222" i="3"/>
  <c r="J528" i="3"/>
  <c r="J206" i="3"/>
  <c r="E640" i="3"/>
  <c r="J462" i="3"/>
  <c r="J407" i="3"/>
  <c r="E353" i="3"/>
  <c r="E93" i="3"/>
  <c r="J609" i="3"/>
  <c r="J575" i="3"/>
  <c r="J301" i="3"/>
  <c r="E622" i="3"/>
  <c r="J43" i="3"/>
  <c r="J348" i="3"/>
  <c r="E135" i="3"/>
  <c r="J95" i="3"/>
  <c r="J8" i="3"/>
  <c r="J92" i="3"/>
  <c r="E579" i="3"/>
  <c r="J176" i="3"/>
  <c r="J557" i="3"/>
  <c r="J447" i="3"/>
  <c r="E263" i="3"/>
  <c r="E572" i="3"/>
  <c r="E148" i="3"/>
  <c r="E218" i="3"/>
  <c r="J290" i="3"/>
  <c r="J138" i="3"/>
  <c r="E515" i="3"/>
  <c r="J181" i="3"/>
  <c r="J9" i="3"/>
  <c r="J558" i="3"/>
  <c r="J336" i="3"/>
  <c r="E394" i="3"/>
  <c r="E488" i="3"/>
  <c r="E16" i="3"/>
  <c r="E442" i="3"/>
  <c r="E129" i="3"/>
  <c r="E220" i="3"/>
  <c r="E222" i="3"/>
  <c r="J354" i="3"/>
  <c r="B586" i="3"/>
  <c r="J270" i="3"/>
  <c r="E402" i="3"/>
  <c r="E292" i="3"/>
  <c r="E512" i="3"/>
  <c r="E183" i="3"/>
  <c r="J253" i="3"/>
  <c r="J334" i="3"/>
  <c r="C399" i="3"/>
  <c r="C327" i="3"/>
  <c r="J212" i="3"/>
  <c r="J78" i="3"/>
  <c r="E367" i="3"/>
  <c r="C364" i="3"/>
  <c r="E307" i="3"/>
  <c r="J7" i="3"/>
  <c r="J404" i="3"/>
  <c r="J128" i="3"/>
  <c r="J383" i="3"/>
  <c r="E233" i="3"/>
  <c r="C584" i="3"/>
  <c r="E216" i="3"/>
  <c r="J578" i="3"/>
  <c r="J160" i="3"/>
  <c r="E529" i="3"/>
  <c r="E27" i="3"/>
  <c r="J135" i="3"/>
  <c r="J305" i="3"/>
  <c r="E64" i="3"/>
  <c r="J19" i="3"/>
  <c r="J536" i="3"/>
  <c r="J593" i="3"/>
  <c r="E13" i="3"/>
  <c r="J280" i="3"/>
  <c r="E48" i="3"/>
  <c r="E39" i="3"/>
  <c r="J33" i="3"/>
  <c r="E85" i="3"/>
  <c r="E29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<sst xmlns="http://schemas.openxmlformats.org/spreadsheetml/2006/main" count="1815" uniqueCount="1775">
  <si>
    <t>性別</t>
    <rPh sb="0" eb="2">
      <t>セイベツ</t>
    </rPh>
    <phoneticPr fontId="2"/>
  </si>
  <si>
    <t>TD10001</t>
    <phoneticPr fontId="2"/>
  </si>
  <si>
    <t>TD10002</t>
  </si>
  <si>
    <t>TD10003</t>
  </si>
  <si>
    <t>TD10004</t>
  </si>
  <si>
    <t>TD10005</t>
  </si>
  <si>
    <t>TD10006</t>
  </si>
  <si>
    <t>TD10007</t>
  </si>
  <si>
    <t>TD10008</t>
  </si>
  <si>
    <t>TD10009</t>
  </si>
  <si>
    <t>TD10010</t>
  </si>
  <si>
    <t>TD10011</t>
  </si>
  <si>
    <t>TD10012</t>
  </si>
  <si>
    <t>TD10013</t>
  </si>
  <si>
    <t>TD10014</t>
  </si>
  <si>
    <t>TD10015</t>
  </si>
  <si>
    <t>TD10016</t>
  </si>
  <si>
    <t>TD10017</t>
  </si>
  <si>
    <t>TD10018</t>
  </si>
  <si>
    <t>TD10019</t>
  </si>
  <si>
    <t>TD10020</t>
  </si>
  <si>
    <t>TD10021</t>
  </si>
  <si>
    <t>TD10022</t>
  </si>
  <si>
    <t>TD10023</t>
  </si>
  <si>
    <t>TD10024</t>
  </si>
  <si>
    <t>TD10026</t>
  </si>
  <si>
    <t>TD10027</t>
  </si>
  <si>
    <t>TD10028</t>
  </si>
  <si>
    <t>TD10029</t>
  </si>
  <si>
    <t>TD10030</t>
  </si>
  <si>
    <t>TD10031</t>
  </si>
  <si>
    <t>TD10032</t>
  </si>
  <si>
    <t>TD10033</t>
  </si>
  <si>
    <t>TD10034</t>
  </si>
  <si>
    <t>TD10035</t>
  </si>
  <si>
    <t>TD10036</t>
  </si>
  <si>
    <t>TD10037</t>
  </si>
  <si>
    <t>TD10038</t>
  </si>
  <si>
    <t>TD10039</t>
  </si>
  <si>
    <t>TD10040</t>
  </si>
  <si>
    <t>TD10041</t>
  </si>
  <si>
    <t>TD10042</t>
  </si>
  <si>
    <t>TD10043</t>
  </si>
  <si>
    <t>TD10044</t>
  </si>
  <si>
    <t>TD10045</t>
  </si>
  <si>
    <t>TD10046</t>
  </si>
  <si>
    <t>TD10047</t>
  </si>
  <si>
    <t>TD10048</t>
  </si>
  <si>
    <t>TD10049</t>
  </si>
  <si>
    <t>TD10050</t>
  </si>
  <si>
    <t>TD10051</t>
  </si>
  <si>
    <t>TD10052</t>
  </si>
  <si>
    <t>TD10053</t>
  </si>
  <si>
    <t>TD10054</t>
  </si>
  <si>
    <t>TD10055</t>
  </si>
  <si>
    <t>TD10056</t>
  </si>
  <si>
    <t>TD10057</t>
  </si>
  <si>
    <t>TD10058</t>
  </si>
  <si>
    <t>TD10059</t>
  </si>
  <si>
    <t>TD10060</t>
  </si>
  <si>
    <t>TD10061</t>
  </si>
  <si>
    <t>TD10062</t>
  </si>
  <si>
    <t>TD10063</t>
  </si>
  <si>
    <t>TD10064</t>
  </si>
  <si>
    <t>TD10065</t>
  </si>
  <si>
    <t>TD10066</t>
  </si>
  <si>
    <t>TD10067</t>
  </si>
  <si>
    <t>TD10068</t>
  </si>
  <si>
    <t>TD10069</t>
  </si>
  <si>
    <t>TD10070</t>
  </si>
  <si>
    <t>TD10071</t>
  </si>
  <si>
    <t>TD10072</t>
  </si>
  <si>
    <t>TD10073</t>
  </si>
  <si>
    <t>TD10074</t>
  </si>
  <si>
    <t>TD10075</t>
  </si>
  <si>
    <t>TD10076</t>
  </si>
  <si>
    <t>TD10077</t>
  </si>
  <si>
    <t>TD10078</t>
  </si>
  <si>
    <t>TD10079</t>
  </si>
  <si>
    <t>TD10080</t>
  </si>
  <si>
    <t>TD10081</t>
  </si>
  <si>
    <t>TD10082</t>
  </si>
  <si>
    <t>TD10083</t>
  </si>
  <si>
    <t>TD10084</t>
  </si>
  <si>
    <t>TD10085</t>
  </si>
  <si>
    <t>TD10086</t>
  </si>
  <si>
    <t>TD10087</t>
  </si>
  <si>
    <t>TD10088</t>
  </si>
  <si>
    <t>TD10089</t>
  </si>
  <si>
    <t>TD10090</t>
  </si>
  <si>
    <t>TD10091</t>
  </si>
  <si>
    <t>TD10092</t>
  </si>
  <si>
    <t>TD10093</t>
  </si>
  <si>
    <t>TD10094</t>
  </si>
  <si>
    <t>TD10095</t>
  </si>
  <si>
    <t>TD10096</t>
  </si>
  <si>
    <t>TD10097</t>
  </si>
  <si>
    <t>TD10098</t>
  </si>
  <si>
    <t>TD10099</t>
  </si>
  <si>
    <t>姓氏</t>
    <rPh sb="0" eb="2">
      <t>セイシ</t>
    </rPh>
    <phoneticPr fontId="2"/>
  </si>
  <si>
    <t>氏名</t>
    <rPh sb="0" eb="2">
      <t>シメイ</t>
    </rPh>
    <phoneticPr fontId="2"/>
  </si>
  <si>
    <t>男性</t>
    <rPh sb="0" eb="2">
      <t>ダンセイ</t>
    </rPh>
    <phoneticPr fontId="2"/>
  </si>
  <si>
    <t>女性</t>
    <rPh sb="0" eb="2">
      <t>ジョセイ</t>
    </rPh>
    <phoneticPr fontId="2"/>
  </si>
  <si>
    <t>部門名称</t>
    <rPh sb="0" eb="2">
      <t>ブモン</t>
    </rPh>
    <rPh sb="2" eb="4">
      <t>メイショウ</t>
    </rPh>
    <phoneticPr fontId="2"/>
  </si>
  <si>
    <t>部門番号</t>
    <rPh sb="0" eb="2">
      <t>ブモン</t>
    </rPh>
    <rPh sb="2" eb="4">
      <t>バンゴウ</t>
    </rPh>
    <phoneticPr fontId="2"/>
  </si>
  <si>
    <t>営業部</t>
  </si>
  <si>
    <t>事務部</t>
  </si>
  <si>
    <t>労務部</t>
  </si>
  <si>
    <t>経理部</t>
  </si>
  <si>
    <t>法務部</t>
  </si>
  <si>
    <t>管理部</t>
  </si>
  <si>
    <t>庶務部1</t>
    <phoneticPr fontId="2"/>
  </si>
  <si>
    <t>庶務部2</t>
    <phoneticPr fontId="2"/>
  </si>
  <si>
    <t>庶務部3</t>
  </si>
  <si>
    <t>庶務部4</t>
  </si>
  <si>
    <t>BM001</t>
    <phoneticPr fontId="2"/>
  </si>
  <si>
    <t>BM003</t>
  </si>
  <si>
    <t>BM004</t>
  </si>
  <si>
    <t>BM005</t>
  </si>
  <si>
    <t>BM006</t>
  </si>
  <si>
    <t>BM002</t>
    <phoneticPr fontId="2"/>
  </si>
  <si>
    <t>BM011</t>
    <phoneticPr fontId="2"/>
  </si>
  <si>
    <t>BM012</t>
    <phoneticPr fontId="2"/>
  </si>
  <si>
    <t>BM013</t>
  </si>
  <si>
    <t>BM014</t>
  </si>
  <si>
    <t>電話番号</t>
    <rPh sb="0" eb="4">
      <t>デンワバンゴウ</t>
    </rPh>
    <phoneticPr fontId="2"/>
  </si>
  <si>
    <t>denwaBangou</t>
    <phoneticPr fontId="2"/>
  </si>
  <si>
    <t>メールアドレス</t>
    <phoneticPr fontId="2"/>
  </si>
  <si>
    <t>mailAddress</t>
    <phoneticPr fontId="2"/>
  </si>
  <si>
    <t>会員番号</t>
    <rPh sb="0" eb="2">
      <t>カイイン</t>
    </rPh>
    <rPh sb="2" eb="4">
      <t>バンゴウ</t>
    </rPh>
    <phoneticPr fontId="2"/>
  </si>
  <si>
    <t>kainBangou</t>
    <phoneticPr fontId="2"/>
  </si>
  <si>
    <t>kainMeiKanji</t>
    <phoneticPr fontId="2"/>
  </si>
  <si>
    <t>kainMeiKana</t>
    <phoneticPr fontId="2"/>
  </si>
  <si>
    <r>
      <t>kainMeiE</t>
    </r>
    <r>
      <rPr>
        <sz val="11"/>
        <color theme="1"/>
        <rFont val="Microsoft YaHei"/>
        <family val="2"/>
      </rPr>
      <t>n</t>
    </r>
    <phoneticPr fontId="2"/>
  </si>
  <si>
    <t>kainGender</t>
    <phoneticPr fontId="2"/>
  </si>
  <si>
    <t>会員名（漢字）</t>
    <rPh sb="0" eb="2">
      <t>カイイン</t>
    </rPh>
    <rPh sb="2" eb="3">
      <t>メイ</t>
    </rPh>
    <rPh sb="4" eb="6">
      <t>カンジ</t>
    </rPh>
    <phoneticPr fontId="2"/>
  </si>
  <si>
    <t>会員名（仮名）</t>
    <rPh sb="0" eb="2">
      <t>カイイン</t>
    </rPh>
    <rPh sb="2" eb="3">
      <t>メイ</t>
    </rPh>
    <rPh sb="4" eb="6">
      <t>カナ</t>
    </rPh>
    <phoneticPr fontId="2"/>
  </si>
  <si>
    <t>会員名（英語）</t>
    <rPh sb="4" eb="6">
      <t>エイゴ</t>
    </rPh>
    <phoneticPr fontId="2"/>
  </si>
  <si>
    <t>会員種別</t>
    <rPh sb="0" eb="2">
      <t>カイイン</t>
    </rPh>
    <rPh sb="2" eb="4">
      <t>シュベツ</t>
    </rPh>
    <phoneticPr fontId="2"/>
  </si>
  <si>
    <t>kaninSyubetu</t>
    <phoneticPr fontId="2"/>
  </si>
  <si>
    <t>入会日</t>
    <rPh sb="0" eb="3">
      <t>ニュウカイニチ</t>
    </rPh>
    <phoneticPr fontId="2"/>
  </si>
  <si>
    <t>nyukaiNiti</t>
    <phoneticPr fontId="2"/>
  </si>
  <si>
    <t>会員期限</t>
    <rPh sb="0" eb="4">
      <t>カイインキゲン</t>
    </rPh>
    <phoneticPr fontId="2"/>
  </si>
  <si>
    <t>kaiinKigen</t>
    <phoneticPr fontId="2"/>
  </si>
  <si>
    <t>会員権限（割引）</t>
    <rPh sb="0" eb="4">
      <t>カイインケンゲン</t>
    </rPh>
    <rPh sb="5" eb="7">
      <t>ワリビキ</t>
    </rPh>
    <phoneticPr fontId="2"/>
  </si>
  <si>
    <t>割引率</t>
    <rPh sb="0" eb="3">
      <t>ワリビキリツ</t>
    </rPh>
    <phoneticPr fontId="2"/>
  </si>
  <si>
    <t>wakibiri</t>
    <phoneticPr fontId="2"/>
  </si>
  <si>
    <t>kaninKengenWB</t>
    <phoneticPr fontId="2"/>
  </si>
  <si>
    <t>会員権限（ポイント）</t>
    <rPh sb="0" eb="4">
      <t>カイインケンゲン</t>
    </rPh>
    <phoneticPr fontId="2"/>
  </si>
  <si>
    <t>kaninKengenPoint</t>
    <phoneticPr fontId="2"/>
  </si>
  <si>
    <t>pointKingaku</t>
    <phoneticPr fontId="2"/>
  </si>
  <si>
    <t>誕生日</t>
    <rPh sb="0" eb="3">
      <t>タンジョウビ</t>
    </rPh>
    <phoneticPr fontId="2"/>
  </si>
  <si>
    <t>tanjyoubi</t>
    <phoneticPr fontId="2"/>
  </si>
  <si>
    <t>ポイント</t>
    <phoneticPr fontId="2"/>
  </si>
  <si>
    <t>point</t>
    <phoneticPr fontId="2"/>
  </si>
  <si>
    <t>備考</t>
    <rPh sb="0" eb="2">
      <t>ビコウ</t>
    </rPh>
    <phoneticPr fontId="2"/>
  </si>
  <si>
    <t>bikou</t>
    <phoneticPr fontId="2"/>
  </si>
  <si>
    <t>せいし</t>
    <phoneticPr fontId="2"/>
  </si>
  <si>
    <t>simei</t>
    <phoneticPr fontId="2"/>
  </si>
  <si>
    <t>李</t>
  </si>
  <si>
    <t>王</t>
  </si>
  <si>
    <t>周</t>
  </si>
  <si>
    <t>徐</t>
  </si>
  <si>
    <t>胡</t>
  </si>
  <si>
    <t>朱</t>
  </si>
  <si>
    <t>高</t>
  </si>
  <si>
    <t>林</t>
  </si>
  <si>
    <t>何</t>
  </si>
  <si>
    <t>郭</t>
  </si>
  <si>
    <t>梁</t>
  </si>
  <si>
    <t>宋</t>
  </si>
  <si>
    <t>唐</t>
  </si>
  <si>
    <t>于</t>
  </si>
  <si>
    <t>しめい</t>
    <phoneticPr fontId="2"/>
  </si>
  <si>
    <t>逸芹</t>
  </si>
  <si>
    <t>貴渲</t>
  </si>
  <si>
    <t>隆江</t>
  </si>
  <si>
    <t>日城</t>
  </si>
  <si>
    <t>菏科</t>
  </si>
  <si>
    <t>巨峰</t>
  </si>
  <si>
    <t>冰特</t>
  </si>
  <si>
    <t>聖枝</t>
  </si>
  <si>
    <t>朴亦</t>
  </si>
  <si>
    <t>忠博</t>
  </si>
  <si>
    <t>烈嘉</t>
  </si>
  <si>
    <t>意昌</t>
  </si>
  <si>
    <t>克文</t>
  </si>
  <si>
    <t>亦茗</t>
  </si>
  <si>
    <t>事彩</t>
  </si>
  <si>
    <t>米慕</t>
  </si>
  <si>
    <t>博松</t>
  </si>
  <si>
    <t>浦盟</t>
  </si>
  <si>
    <t>雷群</t>
  </si>
  <si>
    <t>慶祖</t>
  </si>
  <si>
    <t>泰奇</t>
  </si>
  <si>
    <t>途嘉</t>
  </si>
  <si>
    <t>惠冰</t>
  </si>
  <si>
    <t>翠琳</t>
  </si>
  <si>
    <t>淼峻</t>
  </si>
  <si>
    <t>心璟</t>
  </si>
  <si>
    <t>庭建</t>
  </si>
  <si>
    <t>生廷</t>
  </si>
  <si>
    <t>媛都</t>
  </si>
  <si>
    <t>斌湖</t>
  </si>
  <si>
    <t>珍雪</t>
  </si>
  <si>
    <t>都耿</t>
  </si>
  <si>
    <t>克升</t>
  </si>
  <si>
    <t>菡晨</t>
  </si>
  <si>
    <t>渝虹</t>
  </si>
  <si>
    <t>巍璐</t>
  </si>
  <si>
    <t>祖晏</t>
  </si>
  <si>
    <t>孝海</t>
  </si>
  <si>
    <t>曙素</t>
  </si>
  <si>
    <t>盟玲</t>
  </si>
  <si>
    <t>狂帆</t>
  </si>
  <si>
    <t>謙垚</t>
  </si>
  <si>
    <t>逸涵</t>
  </si>
  <si>
    <t>冠生</t>
  </si>
  <si>
    <t>曲佳</t>
  </si>
  <si>
    <t>霏易</t>
  </si>
  <si>
    <t>謙枝</t>
  </si>
  <si>
    <t>瀚虹</t>
  </si>
  <si>
    <t>孝宏</t>
  </si>
  <si>
    <t>巍曙</t>
  </si>
  <si>
    <t>若彬</t>
  </si>
  <si>
    <t>承良</t>
  </si>
  <si>
    <t>虹欣</t>
  </si>
  <si>
    <t>益希</t>
  </si>
  <si>
    <t>萌至</t>
  </si>
  <si>
    <t>影真</t>
  </si>
  <si>
    <t>才雅</t>
  </si>
  <si>
    <t>均昌</t>
  </si>
  <si>
    <t>朋莉</t>
  </si>
  <si>
    <t>冠聆</t>
  </si>
  <si>
    <t>祖萱</t>
  </si>
  <si>
    <t>毅格</t>
  </si>
  <si>
    <t>康森</t>
  </si>
  <si>
    <t>皇特</t>
  </si>
  <si>
    <t>德基</t>
  </si>
  <si>
    <t>雅雪</t>
  </si>
  <si>
    <t>逸傲</t>
  </si>
  <si>
    <t>源俊</t>
  </si>
  <si>
    <t>琪晶</t>
  </si>
  <si>
    <t>彤存</t>
  </si>
  <si>
    <t>物修</t>
  </si>
  <si>
    <t>至凡</t>
  </si>
  <si>
    <t>科航</t>
  </si>
  <si>
    <t>心禹</t>
  </si>
  <si>
    <t>迎臣</t>
  </si>
  <si>
    <t>喜永</t>
  </si>
  <si>
    <t>西博</t>
  </si>
  <si>
    <t>熙卡</t>
  </si>
  <si>
    <t>玉木</t>
  </si>
  <si>
    <t>赫佑</t>
  </si>
  <si>
    <t>群昌</t>
  </si>
  <si>
    <t>忠本</t>
  </si>
  <si>
    <t>湖敏</t>
  </si>
  <si>
    <t>彩金</t>
  </si>
  <si>
    <t>宇高</t>
  </si>
  <si>
    <t>起泉</t>
  </si>
  <si>
    <t>用卓</t>
  </si>
  <si>
    <t>旋衡</t>
  </si>
  <si>
    <t>霆名</t>
  </si>
  <si>
    <t>泰聚</t>
  </si>
  <si>
    <t>武巧</t>
  </si>
  <si>
    <t>巍竹</t>
  </si>
  <si>
    <t>菏本</t>
  </si>
  <si>
    <t>耿晏</t>
  </si>
  <si>
    <t>泓唯</t>
  </si>
  <si>
    <t>貴孝</t>
  </si>
  <si>
    <t>彤媛</t>
  </si>
  <si>
    <t>台衷</t>
  </si>
  <si>
    <t>麒雪</t>
  </si>
  <si>
    <t>滋帆</t>
  </si>
  <si>
    <t>卓芹</t>
  </si>
  <si>
    <t>浚建</t>
  </si>
  <si>
    <t>亭芬</t>
  </si>
  <si>
    <t>典存</t>
  </si>
  <si>
    <t>群婷</t>
  </si>
  <si>
    <t>益菡</t>
  </si>
  <si>
    <t>禾博</t>
  </si>
  <si>
    <t>蒂琴</t>
  </si>
  <si>
    <t>光菏</t>
  </si>
  <si>
    <t>萌成</t>
  </si>
  <si>
    <t>具幽</t>
  </si>
  <si>
    <t>真物</t>
  </si>
  <si>
    <t>哲巧</t>
  </si>
  <si>
    <t>台亭</t>
  </si>
  <si>
    <t>系迅</t>
  </si>
  <si>
    <t>依思</t>
  </si>
  <si>
    <t>朴雷</t>
  </si>
  <si>
    <t>澄瑜</t>
  </si>
  <si>
    <t>冠俊</t>
  </si>
  <si>
    <t>狂宗</t>
  </si>
  <si>
    <t>浚微</t>
  </si>
  <si>
    <t>峻承</t>
  </si>
  <si>
    <t>易意</t>
  </si>
  <si>
    <t>唯慶</t>
  </si>
  <si>
    <t>厚道</t>
  </si>
  <si>
    <t>思菲</t>
  </si>
  <si>
    <t>盈年</t>
  </si>
  <si>
    <t>吉可</t>
  </si>
  <si>
    <t>月心</t>
  </si>
  <si>
    <t>皓浚</t>
  </si>
  <si>
    <t>烈斌</t>
  </si>
  <si>
    <t>玲千</t>
  </si>
  <si>
    <t>泓索</t>
  </si>
  <si>
    <t>萊德</t>
  </si>
  <si>
    <t>協明</t>
  </si>
  <si>
    <t>靜耿</t>
  </si>
  <si>
    <t>聯晨</t>
  </si>
  <si>
    <t>芬勁</t>
  </si>
  <si>
    <r>
      <t>彥</t>
    </r>
    <r>
      <rPr>
        <sz val="11"/>
        <color theme="1"/>
        <rFont val="Yu Gothic"/>
        <family val="2"/>
        <scheme val="minor"/>
      </rPr>
      <t>臨</t>
    </r>
  </si>
  <si>
    <t>鼎華</t>
  </si>
  <si>
    <t>瑞賽</t>
  </si>
  <si>
    <t>愛巧</t>
  </si>
  <si>
    <t>金鈞</t>
  </si>
  <si>
    <t>耿雙</t>
  </si>
  <si>
    <t>風帝</t>
  </si>
  <si>
    <t>優遷</t>
  </si>
  <si>
    <t>詠星</t>
  </si>
  <si>
    <t>忠謙</t>
  </si>
  <si>
    <t>銀杭</t>
  </si>
  <si>
    <t>聯頃</t>
  </si>
  <si>
    <t>斯蘭</t>
  </si>
  <si>
    <t>晟憶</t>
  </si>
  <si>
    <t>皓聽</t>
  </si>
  <si>
    <t>葉菡</t>
  </si>
  <si>
    <t>曉頻</t>
  </si>
  <si>
    <t>聰碩</t>
  </si>
  <si>
    <t>貴昂</t>
  </si>
  <si>
    <t>折東</t>
  </si>
  <si>
    <t>含瑋</t>
  </si>
  <si>
    <t>鋒逸</t>
  </si>
  <si>
    <t>聆實</t>
  </si>
  <si>
    <t>悅協</t>
  </si>
  <si>
    <t>超鈺</t>
  </si>
  <si>
    <t>冠複</t>
  </si>
  <si>
    <t>木學</t>
  </si>
  <si>
    <t>索頻</t>
  </si>
  <si>
    <t>捷覽</t>
  </si>
  <si>
    <t>發謙</t>
  </si>
  <si>
    <t>欽龍</t>
  </si>
  <si>
    <t>菏飛</t>
  </si>
  <si>
    <t>瀚躍</t>
  </si>
  <si>
    <t>均經</t>
  </si>
  <si>
    <t>若齊</t>
  </si>
  <si>
    <t>珍麥</t>
  </si>
  <si>
    <t>驕健</t>
  </si>
  <si>
    <t>輝駿</t>
  </si>
  <si>
    <t>銀霆</t>
  </si>
  <si>
    <t>鳳梅</t>
  </si>
  <si>
    <t>協方</t>
  </si>
  <si>
    <t>致複</t>
  </si>
  <si>
    <t>雲欣</t>
  </si>
  <si>
    <t>燦蔚</t>
  </si>
  <si>
    <t>娜亞</t>
  </si>
  <si>
    <t>軒荒</t>
  </si>
  <si>
    <t>嘉時</t>
  </si>
  <si>
    <t>美貿</t>
  </si>
  <si>
    <t>銀池</t>
  </si>
  <si>
    <t>秀髮</t>
  </si>
  <si>
    <t>慶興</t>
  </si>
  <si>
    <t>秀憶</t>
  </si>
  <si>
    <t>領東</t>
  </si>
  <si>
    <t>一貿</t>
  </si>
  <si>
    <t>憶捷</t>
  </si>
  <si>
    <t>謙毅</t>
  </si>
  <si>
    <t>永繼</t>
  </si>
  <si>
    <t>亦麥</t>
  </si>
  <si>
    <t>領俊</t>
  </si>
  <si>
    <t>宇頃</t>
  </si>
  <si>
    <t>倩嵐</t>
  </si>
  <si>
    <t>亞芬</t>
  </si>
  <si>
    <t>協曉</t>
  </si>
  <si>
    <t>宸碩</t>
  </si>
  <si>
    <t>詠普</t>
  </si>
  <si>
    <t>登寧</t>
  </si>
  <si>
    <t>業領</t>
  </si>
  <si>
    <t>創和</t>
  </si>
  <si>
    <t>儒銀</t>
  </si>
  <si>
    <t>經能</t>
  </si>
  <si>
    <t>霖瑋</t>
  </si>
  <si>
    <t>資繼</t>
  </si>
  <si>
    <t>倫惠</t>
  </si>
  <si>
    <t>沃誼</t>
  </si>
  <si>
    <t>萬斌</t>
  </si>
  <si>
    <t>略連</t>
  </si>
  <si>
    <t>冰夢</t>
  </si>
  <si>
    <t>網聰</t>
  </si>
  <si>
    <t>閑康</t>
  </si>
  <si>
    <t>衛影</t>
  </si>
  <si>
    <t>麟堅</t>
  </si>
  <si>
    <t>潤頓</t>
  </si>
  <si>
    <t>壯臻</t>
  </si>
  <si>
    <t>樂真</t>
  </si>
  <si>
    <t>創淺</t>
  </si>
  <si>
    <t>賢沃</t>
  </si>
  <si>
    <t>資圓</t>
  </si>
  <si>
    <t>茂韋</t>
  </si>
  <si>
    <t>系匯</t>
  </si>
  <si>
    <t>時素</t>
  </si>
  <si>
    <t>鈺意</t>
  </si>
  <si>
    <t>樂萊</t>
  </si>
  <si>
    <t>眾碼</t>
  </si>
  <si>
    <t>馳微</t>
  </si>
  <si>
    <t>慕頻</t>
  </si>
  <si>
    <t>晟創</t>
  </si>
  <si>
    <t>暉晨</t>
  </si>
  <si>
    <t>羽鳳</t>
  </si>
  <si>
    <t>依邁</t>
  </si>
  <si>
    <t>金訊</t>
  </si>
  <si>
    <t>劍納</t>
  </si>
  <si>
    <t>繼材</t>
  </si>
  <si>
    <t>元壯</t>
  </si>
  <si>
    <t>宗藍</t>
  </si>
  <si>
    <t>騰威</t>
  </si>
  <si>
    <t>複仟</t>
  </si>
  <si>
    <t>天達</t>
  </si>
  <si>
    <t>素財</t>
  </si>
  <si>
    <t>奧常</t>
  </si>
  <si>
    <t>蓮聞</t>
  </si>
  <si>
    <t>勤財</t>
  </si>
  <si>
    <t>語蘭</t>
  </si>
  <si>
    <t>泉紀</t>
  </si>
  <si>
    <t>存貿</t>
  </si>
  <si>
    <t>臻倫</t>
  </si>
  <si>
    <t>日劍</t>
  </si>
  <si>
    <t>騰瑞</t>
  </si>
  <si>
    <t>木納</t>
  </si>
  <si>
    <t>虎傑</t>
  </si>
  <si>
    <t>電爾</t>
  </si>
  <si>
    <t>億蒂</t>
  </si>
  <si>
    <t>媛雲</t>
  </si>
  <si>
    <t>茗奧</t>
  </si>
  <si>
    <t>義朴</t>
  </si>
  <si>
    <t>斌樺</t>
  </si>
  <si>
    <t>航藍</t>
  </si>
  <si>
    <t>憶友</t>
  </si>
  <si>
    <t>銘磊</t>
  </si>
  <si>
    <t>慶睿</t>
  </si>
  <si>
    <t>勁綠</t>
  </si>
  <si>
    <r>
      <t>祖</t>
    </r>
    <r>
      <rPr>
        <sz val="11"/>
        <color theme="1"/>
        <rFont val="Yu Gothic"/>
        <family val="3"/>
        <charset val="134"/>
        <scheme val="minor"/>
      </rPr>
      <t>彥</t>
    </r>
  </si>
  <si>
    <t>協銘</t>
  </si>
  <si>
    <t>超萬</t>
  </si>
  <si>
    <t>欽西</t>
  </si>
  <si>
    <t>瀚鴻</t>
  </si>
  <si>
    <t>歐國</t>
  </si>
  <si>
    <t>物頃</t>
  </si>
  <si>
    <t>飛湖</t>
  </si>
  <si>
    <t>州紹</t>
  </si>
  <si>
    <t>興祥</t>
  </si>
  <si>
    <t>伊劍</t>
  </si>
  <si>
    <t>鴻材</t>
  </si>
  <si>
    <t>詩宗</t>
  </si>
  <si>
    <t>泓聽</t>
  </si>
  <si>
    <t>林會</t>
  </si>
  <si>
    <t>濱媛</t>
  </si>
  <si>
    <t>賢界</t>
  </si>
  <si>
    <t>躍浦</t>
  </si>
  <si>
    <t>發克</t>
  </si>
  <si>
    <t>慶圖</t>
  </si>
  <si>
    <t>銀營</t>
  </si>
  <si>
    <t>華瑋</t>
  </si>
  <si>
    <t>濤松</t>
  </si>
  <si>
    <t>勳林</t>
  </si>
  <si>
    <t>聰晨</t>
  </si>
  <si>
    <t>綸網</t>
  </si>
  <si>
    <t>偉榮</t>
  </si>
  <si>
    <t>韋覽</t>
  </si>
  <si>
    <t>詠堯</t>
  </si>
  <si>
    <t>途錦</t>
  </si>
  <si>
    <t>貴友</t>
  </si>
  <si>
    <t>韻臨</t>
  </si>
  <si>
    <t>品夢</t>
  </si>
  <si>
    <t>碼紀</t>
  </si>
  <si>
    <t>騰川</t>
  </si>
  <si>
    <t>相輝</t>
  </si>
  <si>
    <t>群圓</t>
  </si>
  <si>
    <t>碧漢</t>
  </si>
  <si>
    <t>藍尚</t>
  </si>
  <si>
    <t>萱潔</t>
  </si>
  <si>
    <t>靜慶</t>
  </si>
  <si>
    <t>晟輝</t>
  </si>
  <si>
    <t>灣真</t>
  </si>
  <si>
    <t>衷閒</t>
  </si>
  <si>
    <t>寧金</t>
  </si>
  <si>
    <t>燦奇</t>
  </si>
  <si>
    <t>緣杭</t>
  </si>
  <si>
    <r>
      <t>彥</t>
    </r>
    <r>
      <rPr>
        <sz val="11"/>
        <color theme="1"/>
        <rFont val="Yu Gothic"/>
        <family val="2"/>
        <scheme val="minor"/>
      </rPr>
      <t>達</t>
    </r>
  </si>
  <si>
    <t>濤泉</t>
  </si>
  <si>
    <t>馳聖</t>
  </si>
  <si>
    <t>學振</t>
  </si>
  <si>
    <t>譽昌</t>
  </si>
  <si>
    <t>唯勳</t>
  </si>
  <si>
    <t>龍彩</t>
  </si>
  <si>
    <t>曇軒</t>
  </si>
  <si>
    <t>影雙</t>
  </si>
  <si>
    <t>資速</t>
  </si>
  <si>
    <t>長香</t>
  </si>
  <si>
    <t>輝琛</t>
  </si>
  <si>
    <t>領含</t>
  </si>
  <si>
    <t>維繼</t>
  </si>
  <si>
    <t>道頻</t>
  </si>
  <si>
    <t>Lai De</t>
  </si>
  <si>
    <t>Xie Ming</t>
  </si>
  <si>
    <t>Yi Qin</t>
  </si>
  <si>
    <t>Jing Geng</t>
  </si>
  <si>
    <t>Lian Chen</t>
  </si>
  <si>
    <t>Gui Xuan</t>
  </si>
  <si>
    <t>Long Jiang</t>
  </si>
  <si>
    <t>Ri Cheng</t>
  </si>
  <si>
    <t>Fen Jin</t>
  </si>
  <si>
    <t>He Ke</t>
  </si>
  <si>
    <t>Yan Lin</t>
  </si>
  <si>
    <t>Ju Feng</t>
  </si>
  <si>
    <t>Ding Hua</t>
  </si>
  <si>
    <t>Bing Te</t>
  </si>
  <si>
    <t>Rui Sai</t>
  </si>
  <si>
    <t>Ai Qiao</t>
  </si>
  <si>
    <t>Jin Jun</t>
  </si>
  <si>
    <t>Sheng Zhi</t>
  </si>
  <si>
    <t>Geng Shuang</t>
  </si>
  <si>
    <t>Pu Yi</t>
  </si>
  <si>
    <t>Feng Di</t>
  </si>
  <si>
    <t>Zhong Bo</t>
  </si>
  <si>
    <t>You Qian</t>
  </si>
  <si>
    <t>Lie Jia</t>
  </si>
  <si>
    <t>Yong Xing</t>
  </si>
  <si>
    <t>Zhong Qian</t>
  </si>
  <si>
    <t>Yin Hang</t>
  </si>
  <si>
    <t>Lian Qing</t>
  </si>
  <si>
    <t>Si Lan</t>
  </si>
  <si>
    <t>Sheng Yi</t>
  </si>
  <si>
    <t>Hao Ting</t>
  </si>
  <si>
    <t>Yi Chang</t>
  </si>
  <si>
    <t>Ke Wen</t>
  </si>
  <si>
    <t>Yi Ming</t>
  </si>
  <si>
    <t>Shi Cai</t>
  </si>
  <si>
    <t>Mi Mu</t>
  </si>
  <si>
    <t>Ye Han</t>
  </si>
  <si>
    <t>Xiao Pin</t>
  </si>
  <si>
    <t>Cong Shuo</t>
  </si>
  <si>
    <t>Gui Ang</t>
  </si>
  <si>
    <t>Zhe Dong</t>
  </si>
  <si>
    <t>Han Wei</t>
  </si>
  <si>
    <t>Bo Song</t>
  </si>
  <si>
    <t>Feng Yi</t>
  </si>
  <si>
    <t>Pu Meng</t>
  </si>
  <si>
    <t>Lei Qun</t>
  </si>
  <si>
    <t>Ling Shi</t>
  </si>
  <si>
    <t>Yue Xie</t>
  </si>
  <si>
    <t>Qing Zu</t>
  </si>
  <si>
    <t>Tai Qi</t>
  </si>
  <si>
    <t>Chao Yu</t>
  </si>
  <si>
    <t>Guan Fu</t>
  </si>
  <si>
    <t>Tu Jia</t>
  </si>
  <si>
    <t>Hui Bing</t>
  </si>
  <si>
    <t>Cui Lin</t>
  </si>
  <si>
    <t>Mu Xue</t>
  </si>
  <si>
    <t>Suo Pin</t>
  </si>
  <si>
    <t>Miao Jun</t>
  </si>
  <si>
    <t>Jie Lan</t>
  </si>
  <si>
    <t>Xin Jing</t>
  </si>
  <si>
    <t>Fa Qian</t>
  </si>
  <si>
    <t>Qin Long</t>
  </si>
  <si>
    <t>Ting Jian</t>
  </si>
  <si>
    <t>Sheng Ting</t>
  </si>
  <si>
    <t>He Fei</t>
  </si>
  <si>
    <t>Han Yue</t>
  </si>
  <si>
    <t>Jun Jing</t>
  </si>
  <si>
    <t>Ruo Qi</t>
  </si>
  <si>
    <t>Yuan Du</t>
  </si>
  <si>
    <t>Zhen Mai</t>
  </si>
  <si>
    <t>Jiao Jian</t>
  </si>
  <si>
    <t>Hui Jun</t>
  </si>
  <si>
    <t>Yin Ting</t>
  </si>
  <si>
    <t>Feng Mei</t>
  </si>
  <si>
    <t>Xie Fang</t>
  </si>
  <si>
    <t>Bin Hu</t>
  </si>
  <si>
    <t>Zhen Xue</t>
  </si>
  <si>
    <t>Zhi Fu</t>
  </si>
  <si>
    <t>Yun Xin</t>
  </si>
  <si>
    <t>Can Wei</t>
  </si>
  <si>
    <t>Dou Geng</t>
  </si>
  <si>
    <t>Na Ya</t>
  </si>
  <si>
    <t>Ke Sheng</t>
  </si>
  <si>
    <t>Han Chen</t>
  </si>
  <si>
    <t>Xuan Huang</t>
  </si>
  <si>
    <t>Jia Shi</t>
  </si>
  <si>
    <t>Yu Hong</t>
  </si>
  <si>
    <t>Mei Mao</t>
  </si>
  <si>
    <t>Yin Chi</t>
  </si>
  <si>
    <t>Xiu Fa</t>
  </si>
  <si>
    <t>Qing Xing</t>
  </si>
  <si>
    <t>Xiu Yi</t>
  </si>
  <si>
    <t>Ling Dong</t>
  </si>
  <si>
    <t>Yi Mao</t>
  </si>
  <si>
    <t>Wei Lu</t>
  </si>
  <si>
    <t>Zu Yan</t>
  </si>
  <si>
    <t>Yi Jie</t>
  </si>
  <si>
    <t>Qian Yi</t>
  </si>
  <si>
    <t>Xiao Hai</t>
  </si>
  <si>
    <t>Shu Su</t>
  </si>
  <si>
    <t>Meng Ling</t>
  </si>
  <si>
    <t>Kuang Fan</t>
  </si>
  <si>
    <t>Yong Ji</t>
  </si>
  <si>
    <t>Yi Mai</t>
  </si>
  <si>
    <t>Ling Jun</t>
  </si>
  <si>
    <t>Yu Qing</t>
  </si>
  <si>
    <t>Qian Lan</t>
  </si>
  <si>
    <t>Qian Yao</t>
  </si>
  <si>
    <t>Ya Fen</t>
  </si>
  <si>
    <t>Xie Xiao</t>
  </si>
  <si>
    <t>Chen Shuo</t>
  </si>
  <si>
    <t>Yi Han</t>
  </si>
  <si>
    <t>Yong Pu</t>
  </si>
  <si>
    <t>Guan Sheng</t>
  </si>
  <si>
    <t>Qu Jia</t>
  </si>
  <si>
    <t>Fei Yi</t>
  </si>
  <si>
    <t>Qian Zhi</t>
  </si>
  <si>
    <t>Han Hong</t>
  </si>
  <si>
    <t>Xiao Hong</t>
  </si>
  <si>
    <t>Deng Ning</t>
  </si>
  <si>
    <t>Ye Ling</t>
  </si>
  <si>
    <t>Wei Shu</t>
  </si>
  <si>
    <t>Ruo Bin</t>
  </si>
  <si>
    <t>Chuang He</t>
  </si>
  <si>
    <t>Ru Yin</t>
  </si>
  <si>
    <t>Jing Neng</t>
  </si>
  <si>
    <t>Lin Wei</t>
  </si>
  <si>
    <t>Cheng Liang</t>
  </si>
  <si>
    <t>Zi Ji</t>
  </si>
  <si>
    <t>Lun Hui</t>
  </si>
  <si>
    <t>Hong Xin</t>
  </si>
  <si>
    <t>Wo Yi</t>
  </si>
  <si>
    <t>Wan Bin</t>
  </si>
  <si>
    <t>Lüe Lian</t>
  </si>
  <si>
    <t>Bing Meng</t>
  </si>
  <si>
    <t>Wang Cong</t>
  </si>
  <si>
    <t>Yi Xi</t>
  </si>
  <si>
    <t>Meng Zhi</t>
  </si>
  <si>
    <t>Ying Zhen</t>
  </si>
  <si>
    <t>Xian Kang</t>
  </si>
  <si>
    <t>Wei Ying</t>
  </si>
  <si>
    <t>Lin Jian</t>
  </si>
  <si>
    <t>Run Dun</t>
  </si>
  <si>
    <t>Zhuang Zhen</t>
  </si>
  <si>
    <t>Cai Ya</t>
  </si>
  <si>
    <t>Le Zhen</t>
  </si>
  <si>
    <t>Jun Chang</t>
  </si>
  <si>
    <t>Chuang Qian</t>
  </si>
  <si>
    <t>Xian Wo</t>
  </si>
  <si>
    <t>Zi Yuan</t>
  </si>
  <si>
    <t>Mao Wei</t>
  </si>
  <si>
    <t>Peng Li</t>
  </si>
  <si>
    <t>Xi Hui</t>
  </si>
  <si>
    <t>Shi Su</t>
  </si>
  <si>
    <t>Guan Ling</t>
  </si>
  <si>
    <t>Yu Yi</t>
  </si>
  <si>
    <t>Zu Xuan</t>
  </si>
  <si>
    <t>Le Lai</t>
  </si>
  <si>
    <t>Zhong Ma</t>
  </si>
  <si>
    <t>Chi Wei</t>
  </si>
  <si>
    <t>Mu Pin</t>
  </si>
  <si>
    <t>Sheng Chuang</t>
  </si>
  <si>
    <t>Hui Chen</t>
  </si>
  <si>
    <t>Yu Feng</t>
  </si>
  <si>
    <t>Jin Xun</t>
  </si>
  <si>
    <t>Jian Na</t>
  </si>
  <si>
    <t>Ji Cai</t>
  </si>
  <si>
    <t>Yuan Zhuang</t>
  </si>
  <si>
    <t>Zong Lan</t>
  </si>
  <si>
    <t>Yi Ge</t>
  </si>
  <si>
    <t>Teng Wei</t>
  </si>
  <si>
    <t>Kang Sen</t>
  </si>
  <si>
    <t>Fu Qian</t>
  </si>
  <si>
    <t>Tian Da</t>
  </si>
  <si>
    <t>Su Cai</t>
  </si>
  <si>
    <t>Ao Chang</t>
  </si>
  <si>
    <t>Huang Te</t>
  </si>
  <si>
    <t>Lian Wen</t>
  </si>
  <si>
    <t>De Ji</t>
  </si>
  <si>
    <t>Ya Xue</t>
  </si>
  <si>
    <t>Yi Ao</t>
  </si>
  <si>
    <t>Qin Cai</t>
  </si>
  <si>
    <t>Yuan Jun</t>
  </si>
  <si>
    <t>Qi Jing</t>
  </si>
  <si>
    <t>Tong Cun</t>
  </si>
  <si>
    <t>Wu Xiu</t>
  </si>
  <si>
    <t>Yu Lan</t>
  </si>
  <si>
    <t>Quan Ji</t>
  </si>
  <si>
    <t>Zhi Fan</t>
  </si>
  <si>
    <t>Cun Mao</t>
  </si>
  <si>
    <t>Zhen Lun</t>
  </si>
  <si>
    <t>Ke Hang</t>
  </si>
  <si>
    <t>Ri Jian</t>
  </si>
  <si>
    <t>Xin Yu</t>
  </si>
  <si>
    <t>Teng Rui</t>
  </si>
  <si>
    <t>Ying Chen</t>
  </si>
  <si>
    <t>Xi Yong</t>
  </si>
  <si>
    <t>Mu Na</t>
  </si>
  <si>
    <t>Hu Jie</t>
  </si>
  <si>
    <t>Dian Er</t>
  </si>
  <si>
    <t>Yi Di</t>
  </si>
  <si>
    <t>Xi Bo</t>
  </si>
  <si>
    <t>Yuan Yun</t>
  </si>
  <si>
    <t>Xi Ka</t>
  </si>
  <si>
    <t>Yu Mu</t>
  </si>
  <si>
    <t>He You</t>
  </si>
  <si>
    <t>Ming Ao</t>
  </si>
  <si>
    <t>Yi Pu</t>
  </si>
  <si>
    <t>Qun Chang</t>
  </si>
  <si>
    <t>Zhong Ben</t>
  </si>
  <si>
    <t>Hu Min</t>
  </si>
  <si>
    <t>Cai Jin</t>
  </si>
  <si>
    <t>Bin Hua</t>
  </si>
  <si>
    <t>Yu Gao</t>
  </si>
  <si>
    <t>Qi Quan</t>
  </si>
  <si>
    <t>Hang Lan</t>
  </si>
  <si>
    <t>Yi You</t>
  </si>
  <si>
    <t>Ming Lei</t>
  </si>
  <si>
    <t>Qing Rui</t>
  </si>
  <si>
    <t>Yong Zhuo</t>
  </si>
  <si>
    <t>Jin Lü</t>
  </si>
  <si>
    <t>Chao Wan</t>
  </si>
  <si>
    <t>Qin Xi</t>
  </si>
  <si>
    <t>Han Hong</t>
  </si>
  <si>
    <t>Ou Guo</t>
  </si>
  <si>
    <t>Wu Qing</t>
  </si>
  <si>
    <t>Fei Hu</t>
  </si>
  <si>
    <t>Xuan Heng</t>
  </si>
  <si>
    <t>Zhou Shao</t>
  </si>
  <si>
    <t>Ting Ming</t>
  </si>
  <si>
    <t>Tai Ju</t>
  </si>
  <si>
    <t>Xing Xiang</t>
  </si>
  <si>
    <t>Wu Qiao</t>
  </si>
  <si>
    <t>Wei Zhu</t>
  </si>
  <si>
    <t>Yi Jian</t>
  </si>
  <si>
    <t>He Ben</t>
  </si>
  <si>
    <t>Geng Yan</t>
  </si>
  <si>
    <t>Hong Wei</t>
  </si>
  <si>
    <t>Hong Cai</t>
  </si>
  <si>
    <t>Gui Xiao</t>
  </si>
  <si>
    <t>Tong Yuan</t>
  </si>
  <si>
    <t>Tai Zhong</t>
  </si>
  <si>
    <t>Shi Zong</t>
  </si>
  <si>
    <t>Hong Ting</t>
  </si>
  <si>
    <t>Qi Xue</t>
  </si>
  <si>
    <t>Lin Hui</t>
  </si>
  <si>
    <t>Bin Yuan</t>
  </si>
  <si>
    <t>Xian Jie</t>
  </si>
  <si>
    <t>Yue Pu</t>
  </si>
  <si>
    <t>Fa Ke</t>
  </si>
  <si>
    <t>Qing Tu</t>
  </si>
  <si>
    <t>Zi Fan</t>
  </si>
  <si>
    <t>Yin Ying</t>
  </si>
  <si>
    <t>Hua Wei</t>
  </si>
  <si>
    <t>Zhuo Qin</t>
  </si>
  <si>
    <t>Tao Song</t>
  </si>
  <si>
    <t>Xun Lin</t>
  </si>
  <si>
    <t>Cong Chen</t>
  </si>
  <si>
    <t>Lun Wang</t>
  </si>
  <si>
    <t>Jun Jian</t>
  </si>
  <si>
    <t>Wei Rong</t>
  </si>
  <si>
    <t>Ting Fen</t>
  </si>
  <si>
    <t>Dian Cun</t>
  </si>
  <si>
    <t>Qun Ting</t>
  </si>
  <si>
    <t>Wei Lan</t>
  </si>
  <si>
    <t>He Bo</t>
  </si>
  <si>
    <t>Di Qin</t>
  </si>
  <si>
    <t>Yong Yao</t>
  </si>
  <si>
    <t>Tu Jin</t>
  </si>
  <si>
    <t>Gui You</t>
  </si>
  <si>
    <t>Yun Lin</t>
  </si>
  <si>
    <t>Guang He</t>
  </si>
  <si>
    <t>Meng Cheng</t>
  </si>
  <si>
    <t>Ju You</t>
  </si>
  <si>
    <t>Zhen Wu</t>
  </si>
  <si>
    <t>Zhe Qiao</t>
  </si>
  <si>
    <t>Pin Meng</t>
  </si>
  <si>
    <t>Tai Ting</t>
  </si>
  <si>
    <t>Xi Xun</t>
  </si>
  <si>
    <t>Yi Si</t>
  </si>
  <si>
    <t>Pu Lei</t>
  </si>
  <si>
    <t>Ma Ji</t>
  </si>
  <si>
    <t>Cheng Yu</t>
  </si>
  <si>
    <t>Teng Chuan</t>
  </si>
  <si>
    <t>Xiang Hui</t>
  </si>
  <si>
    <t>Guan Jun</t>
  </si>
  <si>
    <t>Kuang Zong</t>
  </si>
  <si>
    <t>Qun Yuan</t>
  </si>
  <si>
    <t>Bi Han</t>
  </si>
  <si>
    <t>Lan Shang</t>
  </si>
  <si>
    <t>Jun Wei</t>
  </si>
  <si>
    <t>Jun Cheng</t>
  </si>
  <si>
    <t>Xuan Jie</t>
  </si>
  <si>
    <t>Yi Yi</t>
  </si>
  <si>
    <t>Jing Qing</t>
  </si>
  <si>
    <t>Wei Qing</t>
  </si>
  <si>
    <t>Hou Dao</t>
  </si>
  <si>
    <t>Sheng Hui</t>
  </si>
  <si>
    <t>Wan Zhen</t>
  </si>
  <si>
    <t>Zhong Xian</t>
  </si>
  <si>
    <t>Ning Jin</t>
  </si>
  <si>
    <t>Si Fei</t>
  </si>
  <si>
    <t>Can Qi</t>
  </si>
  <si>
    <t>Ying Nian</t>
  </si>
  <si>
    <t>Ji Ke</t>
  </si>
  <si>
    <t>Yuan Hang</t>
  </si>
  <si>
    <t>Yan Da</t>
  </si>
  <si>
    <t>Tao Quan</t>
  </si>
  <si>
    <t>Chi Sheng</t>
  </si>
  <si>
    <t>Xue Zhen</t>
  </si>
  <si>
    <t>Yue Xin</t>
  </si>
  <si>
    <t>Yu Chang</t>
  </si>
  <si>
    <t>Wei Xun</t>
  </si>
  <si>
    <t>Long Cai</t>
  </si>
  <si>
    <t>Hao Jun</t>
  </si>
  <si>
    <t>Tan Xuan</t>
  </si>
  <si>
    <t>Lie Bin</t>
  </si>
  <si>
    <t>Ying Shuang</t>
  </si>
  <si>
    <t>Ling Qian</t>
  </si>
  <si>
    <t>Zi Su</t>
  </si>
  <si>
    <t>Chang Xiang</t>
  </si>
  <si>
    <t>Hong Suo</t>
  </si>
  <si>
    <t>Ling Han</t>
  </si>
  <si>
    <t>Wei Ji</t>
  </si>
  <si>
    <t>Dao Pin</t>
  </si>
  <si>
    <t>TD10100</t>
  </si>
  <si>
    <t>TD10101</t>
  </si>
  <si>
    <t>TD10102</t>
  </si>
  <si>
    <t>TD10103</t>
  </si>
  <si>
    <t>TD10104</t>
  </si>
  <si>
    <t>TD10105</t>
  </si>
  <si>
    <t>TD10106</t>
  </si>
  <si>
    <t>TD10107</t>
  </si>
  <si>
    <t>TD10108</t>
  </si>
  <si>
    <t>TD10109</t>
  </si>
  <si>
    <t>TD10110</t>
  </si>
  <si>
    <t>TD10111</t>
  </si>
  <si>
    <t>TD10112</t>
  </si>
  <si>
    <t>TD10113</t>
  </si>
  <si>
    <t>TD10114</t>
  </si>
  <si>
    <t>TD10115</t>
  </si>
  <si>
    <t>TD10116</t>
  </si>
  <si>
    <t>TD10117</t>
  </si>
  <si>
    <t>TD10118</t>
  </si>
  <si>
    <t>TD10119</t>
  </si>
  <si>
    <t>TD10120</t>
  </si>
  <si>
    <t>TD10121</t>
  </si>
  <si>
    <t>TD10122</t>
  </si>
  <si>
    <t>TD10123</t>
  </si>
  <si>
    <t>TD10124</t>
  </si>
  <si>
    <t>TD10125</t>
  </si>
  <si>
    <t>TD10126</t>
  </si>
  <si>
    <t>TD10127</t>
  </si>
  <si>
    <t>TD10128</t>
  </si>
  <si>
    <t>TD10129</t>
  </si>
  <si>
    <t>TD10130</t>
  </si>
  <si>
    <t>TD10131</t>
  </si>
  <si>
    <t>TD10132</t>
  </si>
  <si>
    <t>TD10133</t>
  </si>
  <si>
    <t>TD10134</t>
  </si>
  <si>
    <t>TD10135</t>
  </si>
  <si>
    <t>TD10136</t>
  </si>
  <si>
    <t>TD10137</t>
  </si>
  <si>
    <t>TD10138</t>
  </si>
  <si>
    <t>TD10139</t>
  </si>
  <si>
    <t>TD10140</t>
  </si>
  <si>
    <t>TD10141</t>
  </si>
  <si>
    <t>TD10142</t>
  </si>
  <si>
    <t>TD10143</t>
  </si>
  <si>
    <t>TD10144</t>
  </si>
  <si>
    <t>TD10145</t>
  </si>
  <si>
    <t>TD10146</t>
  </si>
  <si>
    <t>TD10147</t>
  </si>
  <si>
    <t>TD10148</t>
  </si>
  <si>
    <t>TD10149</t>
  </si>
  <si>
    <t>TD10150</t>
  </si>
  <si>
    <t>TD10151</t>
  </si>
  <si>
    <t>TD10152</t>
  </si>
  <si>
    <t>TD10153</t>
  </si>
  <si>
    <t>TD10154</t>
  </si>
  <si>
    <t>TD10155</t>
  </si>
  <si>
    <t>TD10156</t>
  </si>
  <si>
    <t>TD10157</t>
  </si>
  <si>
    <t>TD10158</t>
  </si>
  <si>
    <t>TD10159</t>
  </si>
  <si>
    <t>TD10160</t>
  </si>
  <si>
    <t>TD10161</t>
  </si>
  <si>
    <t>TD10162</t>
  </si>
  <si>
    <t>TD10163</t>
  </si>
  <si>
    <t>TD10164</t>
  </si>
  <si>
    <t>TD10165</t>
  </si>
  <si>
    <t>TD10166</t>
  </si>
  <si>
    <t>TD10167</t>
  </si>
  <si>
    <t>TD10168</t>
  </si>
  <si>
    <t>TD10169</t>
  </si>
  <si>
    <t>TD10170</t>
  </si>
  <si>
    <t>TD10171</t>
  </si>
  <si>
    <t>TD10172</t>
  </si>
  <si>
    <t>TD10173</t>
  </si>
  <si>
    <t>TD10174</t>
  </si>
  <si>
    <t>TD10175</t>
  </si>
  <si>
    <t>TD10176</t>
  </si>
  <si>
    <t>TD10177</t>
  </si>
  <si>
    <t>TD10178</t>
  </si>
  <si>
    <t>TD10179</t>
  </si>
  <si>
    <t>TD10180</t>
  </si>
  <si>
    <t>TD10181</t>
  </si>
  <si>
    <t>TD10182</t>
  </si>
  <si>
    <t>TD10183</t>
  </si>
  <si>
    <t>TD10184</t>
  </si>
  <si>
    <t>TD10185</t>
  </si>
  <si>
    <t>TD10186</t>
  </si>
  <si>
    <t>TD10187</t>
  </si>
  <si>
    <t>TD10188</t>
  </si>
  <si>
    <t>TD10189</t>
  </si>
  <si>
    <t>TD10190</t>
  </si>
  <si>
    <t>TD10191</t>
  </si>
  <si>
    <t>TD10192</t>
  </si>
  <si>
    <t>TD10193</t>
  </si>
  <si>
    <t>TD10194</t>
  </si>
  <si>
    <t>TD10195</t>
  </si>
  <si>
    <t>TD10196</t>
  </si>
  <si>
    <t>TD10197</t>
  </si>
  <si>
    <t>TD10198</t>
  </si>
  <si>
    <t>TD10199</t>
  </si>
  <si>
    <t>TD10200</t>
  </si>
  <si>
    <t>TD10201</t>
  </si>
  <si>
    <t>TD10202</t>
  </si>
  <si>
    <t>TD10203</t>
  </si>
  <si>
    <t>TD10204</t>
  </si>
  <si>
    <t>TD10205</t>
  </si>
  <si>
    <t>TD10206</t>
  </si>
  <si>
    <t>TD10207</t>
  </si>
  <si>
    <t>TD10208</t>
  </si>
  <si>
    <t>TD10209</t>
  </si>
  <si>
    <t>TD10210</t>
  </si>
  <si>
    <t>TD10211</t>
  </si>
  <si>
    <t>TD10212</t>
  </si>
  <si>
    <t>TD10213</t>
  </si>
  <si>
    <t>TD10214</t>
  </si>
  <si>
    <t>TD10215</t>
  </si>
  <si>
    <t>TD10216</t>
  </si>
  <si>
    <t>TD10217</t>
  </si>
  <si>
    <t>TD10218</t>
  </si>
  <si>
    <t>TD10219</t>
  </si>
  <si>
    <t>TD10220</t>
  </si>
  <si>
    <t>TD10221</t>
  </si>
  <si>
    <t>TD10222</t>
  </si>
  <si>
    <t>TD10223</t>
  </si>
  <si>
    <t>TD10224</t>
  </si>
  <si>
    <t>TD10225</t>
  </si>
  <si>
    <t>TD10226</t>
  </si>
  <si>
    <t>TD10227</t>
  </si>
  <si>
    <t>TD10228</t>
  </si>
  <si>
    <t>TD10229</t>
  </si>
  <si>
    <t>TD10230</t>
  </si>
  <si>
    <t>TD10231</t>
  </si>
  <si>
    <t>TD10232</t>
  </si>
  <si>
    <t>TD10233</t>
  </si>
  <si>
    <t>TD10234</t>
  </si>
  <si>
    <t>TD10235</t>
  </si>
  <si>
    <t>TD10236</t>
  </si>
  <si>
    <t>TD10237</t>
  </si>
  <si>
    <t>TD10238</t>
  </si>
  <si>
    <t>TD10239</t>
  </si>
  <si>
    <t>TD10240</t>
  </si>
  <si>
    <t>TD10241</t>
  </si>
  <si>
    <t>TD10242</t>
  </si>
  <si>
    <t>TD10243</t>
  </si>
  <si>
    <t>TD10244</t>
  </si>
  <si>
    <t>TD10245</t>
  </si>
  <si>
    <t>TD10246</t>
  </si>
  <si>
    <t>TD10247</t>
  </si>
  <si>
    <t>TD10248</t>
  </si>
  <si>
    <t>TD10249</t>
  </si>
  <si>
    <t>TD10250</t>
  </si>
  <si>
    <t>TD10251</t>
  </si>
  <si>
    <t>TD10252</t>
  </si>
  <si>
    <t>TD10253</t>
  </si>
  <si>
    <t>TD10254</t>
  </si>
  <si>
    <t>TD10255</t>
  </si>
  <si>
    <t>TD10256</t>
  </si>
  <si>
    <t>TD10257</t>
  </si>
  <si>
    <t>TD10258</t>
  </si>
  <si>
    <t>TD10259</t>
  </si>
  <si>
    <t>TD10260</t>
  </si>
  <si>
    <t>TD10261</t>
  </si>
  <si>
    <t>TD10262</t>
  </si>
  <si>
    <t>TD10263</t>
  </si>
  <si>
    <t>TD10264</t>
  </si>
  <si>
    <t>TD10265</t>
  </si>
  <si>
    <t>TD10266</t>
  </si>
  <si>
    <t>TD10267</t>
  </si>
  <si>
    <t>TD10268</t>
  </si>
  <si>
    <t>TD10269</t>
  </si>
  <si>
    <t>TD10270</t>
  </si>
  <si>
    <t>TD10271</t>
  </si>
  <si>
    <t>TD10272</t>
  </si>
  <si>
    <t>TD10273</t>
  </si>
  <si>
    <t>TD10274</t>
  </si>
  <si>
    <t>TD10275</t>
  </si>
  <si>
    <t>TD10276</t>
  </si>
  <si>
    <t>TD10277</t>
  </si>
  <si>
    <t>TD10278</t>
  </si>
  <si>
    <t>TD10279</t>
  </si>
  <si>
    <t>TD10280</t>
  </si>
  <si>
    <t>TD10281</t>
  </si>
  <si>
    <t>TD10282</t>
  </si>
  <si>
    <t>TD10283</t>
  </si>
  <si>
    <t>TD10284</t>
  </si>
  <si>
    <t>TD10285</t>
  </si>
  <si>
    <t>TD10286</t>
  </si>
  <si>
    <t>TD10287</t>
  </si>
  <si>
    <t>TD10288</t>
  </si>
  <si>
    <t>TD10289</t>
  </si>
  <si>
    <t>TD10290</t>
  </si>
  <si>
    <t>TD10291</t>
  </si>
  <si>
    <t>TD10292</t>
  </si>
  <si>
    <t>TD10293</t>
  </si>
  <si>
    <t>TD10294</t>
  </si>
  <si>
    <t>TD10295</t>
  </si>
  <si>
    <t>TD10296</t>
  </si>
  <si>
    <t>TD10297</t>
  </si>
  <si>
    <t>TD10298</t>
  </si>
  <si>
    <t>TD10299</t>
  </si>
  <si>
    <t>TD10300</t>
  </si>
  <si>
    <t>TD10301</t>
  </si>
  <si>
    <t>TD10302</t>
  </si>
  <si>
    <t>TD10303</t>
  </si>
  <si>
    <t>TD10304</t>
  </si>
  <si>
    <t>TD10305</t>
  </si>
  <si>
    <t>TD10306</t>
  </si>
  <si>
    <t>TD10307</t>
  </si>
  <si>
    <t>TD10308</t>
  </si>
  <si>
    <t>TD10309</t>
  </si>
  <si>
    <t>TD10310</t>
  </si>
  <si>
    <t>TD10311</t>
  </si>
  <si>
    <t>TD10312</t>
  </si>
  <si>
    <t>TD10313</t>
  </si>
  <si>
    <t>TD10314</t>
  </si>
  <si>
    <t>TD10315</t>
  </si>
  <si>
    <t>TD10316</t>
  </si>
  <si>
    <t>TD10317</t>
  </si>
  <si>
    <t>TD10318</t>
  </si>
  <si>
    <t>TD10319</t>
  </si>
  <si>
    <t>TD10320</t>
  </si>
  <si>
    <t>TD10321</t>
  </si>
  <si>
    <t>TD10322</t>
  </si>
  <si>
    <t>TD10323</t>
  </si>
  <si>
    <t>TD10324</t>
  </si>
  <si>
    <t>TD10325</t>
  </si>
  <si>
    <t>TD10326</t>
  </si>
  <si>
    <t>TD10327</t>
  </si>
  <si>
    <t>TD10328</t>
  </si>
  <si>
    <t>TD10329</t>
  </si>
  <si>
    <t>TD10330</t>
  </si>
  <si>
    <t>TD10331</t>
  </si>
  <si>
    <t>TD10332</t>
  </si>
  <si>
    <t>TD10333</t>
  </si>
  <si>
    <t>TD10334</t>
  </si>
  <si>
    <t>TD10335</t>
  </si>
  <si>
    <t>TD10336</t>
  </si>
  <si>
    <t>TD10337</t>
  </si>
  <si>
    <t>TD10338</t>
  </si>
  <si>
    <t>TD10339</t>
  </si>
  <si>
    <t>TD10340</t>
  </si>
  <si>
    <t>TD10341</t>
  </si>
  <si>
    <t>TD10342</t>
  </si>
  <si>
    <t>TD10343</t>
  </si>
  <si>
    <t>TD10344</t>
  </si>
  <si>
    <t>TD10345</t>
  </si>
  <si>
    <t>TD10346</t>
  </si>
  <si>
    <t>TD10347</t>
  </si>
  <si>
    <t>TD10348</t>
  </si>
  <si>
    <t>TD10349</t>
  </si>
  <si>
    <t>TD10350</t>
  </si>
  <si>
    <t>TD10351</t>
  </si>
  <si>
    <t>TD10352</t>
  </si>
  <si>
    <t>TD10353</t>
  </si>
  <si>
    <t>TD10354</t>
  </si>
  <si>
    <t>TD10355</t>
  </si>
  <si>
    <t>TD10356</t>
  </si>
  <si>
    <t>TD10357</t>
  </si>
  <si>
    <t>TD10358</t>
  </si>
  <si>
    <t>TD10359</t>
  </si>
  <si>
    <t>TD10360</t>
  </si>
  <si>
    <t>TD10361</t>
  </si>
  <si>
    <t>TD10362</t>
  </si>
  <si>
    <t>TD10363</t>
  </si>
  <si>
    <t>TD10364</t>
  </si>
  <si>
    <t>TD10365</t>
  </si>
  <si>
    <t>TD10366</t>
  </si>
  <si>
    <t>TD10367</t>
  </si>
  <si>
    <t>TD10368</t>
  </si>
  <si>
    <t>TD10369</t>
  </si>
  <si>
    <t>TD10370</t>
  </si>
  <si>
    <t>TD10371</t>
  </si>
  <si>
    <t>TD10372</t>
  </si>
  <si>
    <t>TD10373</t>
  </si>
  <si>
    <t>TD10374</t>
  </si>
  <si>
    <t>TD10375</t>
  </si>
  <si>
    <t>TD10376</t>
  </si>
  <si>
    <t>TD10377</t>
  </si>
  <si>
    <t>TD10378</t>
  </si>
  <si>
    <t>TD10379</t>
  </si>
  <si>
    <t>TD10380</t>
  </si>
  <si>
    <t>TD10381</t>
  </si>
  <si>
    <t>TD10382</t>
  </si>
  <si>
    <t>TD10383</t>
  </si>
  <si>
    <t>TD10384</t>
  </si>
  <si>
    <t>TD10385</t>
  </si>
  <si>
    <t>TD10386</t>
  </si>
  <si>
    <t>TD10387</t>
  </si>
  <si>
    <t>TD10388</t>
  </si>
  <si>
    <t>TD10389</t>
  </si>
  <si>
    <t>TD10390</t>
  </si>
  <si>
    <t>TD10391</t>
  </si>
  <si>
    <t>TD10392</t>
  </si>
  <si>
    <t>TD10393</t>
  </si>
  <si>
    <t>TD10394</t>
  </si>
  <si>
    <t>TD10395</t>
  </si>
  <si>
    <t>TD10396</t>
  </si>
  <si>
    <t>姓氏随机数</t>
    <phoneticPr fontId="2"/>
  </si>
  <si>
    <t>名字随机数</t>
    <phoneticPr fontId="2"/>
  </si>
  <si>
    <t>ﾗｲ ﾄﾞｰｧ</t>
  </si>
  <si>
    <t>ｼｴ ﾐｰﾝ</t>
  </si>
  <si>
    <t>ｲｰ ﾁﾝ</t>
  </si>
  <si>
    <t>ｼﾞｰﾝ ｸﾞｵﾝ</t>
  </si>
  <si>
    <t>ﾘｴﾝ ﾁｪﾝ</t>
  </si>
  <si>
    <t>ｸﾞｲ ｼｭｴﾝ</t>
  </si>
  <si>
    <t>ﾛｰﾝ ｼﾞｱｰﾝ</t>
  </si>
  <si>
    <t>ｩﾘｰ ﾁｭﾖﾝ</t>
  </si>
  <si>
    <t>ﾌｪﾝ ｼﾞﾝ</t>
  </si>
  <si>
    <t>ﾎｰｧ ｺｰｧ</t>
  </si>
  <si>
    <t>ｲｴﾝ ﾘﾝ</t>
  </si>
  <si>
    <t>ｼﾞｭｲ ﾌｵﾝ</t>
  </si>
  <si>
    <t>ﾃﾞｨｰﾝ ﾎﾜ</t>
  </si>
  <si>
    <t>ﾋﾞｰﾝ ﾄｰｧ</t>
  </si>
  <si>
    <t>ｩﾙｲ ｻｲ</t>
  </si>
  <si>
    <t>ｱｲ ﾁﾔｵ</t>
  </si>
  <si>
    <t>ｼﾞﾝ ｼﾞｭｲﾝ</t>
  </si>
  <si>
    <t>ｼｭﾖﾝ ｼﾞｰ</t>
  </si>
  <si>
    <t>ｸﾞｵﾝ ｼｭﾜｰﾝ</t>
  </si>
  <si>
    <t>ﾌﾟｩ ｲｰ</t>
  </si>
  <si>
    <t>ﾌｵﾝ ﾃﾞｨｰ</t>
  </si>
  <si>
    <t>ｼﾞｮｰﾝ ﾎﾞｰ</t>
  </si>
  <si>
    <t>ﾖｳ ﾁｴﾝ</t>
  </si>
  <si>
    <t>ﾘｴ ｼﾞｱ</t>
  </si>
  <si>
    <t>ﾖｰﾝ ｼｰﾝ</t>
  </si>
  <si>
    <t>ｼﾞｮｰﾝ ﾁｴﾝ</t>
  </si>
  <si>
    <t>ｲﾝ ﾊｰﾝ</t>
  </si>
  <si>
    <t>ﾘｴﾝ ﾁｰﾝ</t>
  </si>
  <si>
    <t>ｽｰ ﾗﾝ</t>
  </si>
  <si>
    <t>ｼｭﾖﾝ ｲｰ</t>
  </si>
  <si>
    <t>ﾊｵ ﾃｨｰﾝ</t>
  </si>
  <si>
    <t>ｲｰ ﾁｬｰﾝ</t>
  </si>
  <si>
    <t>ｺｰｧ ｳｴﾝ</t>
  </si>
  <si>
    <t>ｲｰ ﾐｰﾝ</t>
  </si>
  <si>
    <t>ｼｰ ﾂｧｲ</t>
  </si>
  <si>
    <t>ﾐｰ ﾑｩ</t>
  </si>
  <si>
    <t>ｲｴ ﾊﾝ</t>
  </si>
  <si>
    <t>ｼﾔｵ ﾋﾟﾝ</t>
  </si>
  <si>
    <t>ｯｵｰﾝ ｼｭｵ</t>
  </si>
  <si>
    <t>ｸﾞｲ ｱｰﾝ</t>
  </si>
  <si>
    <t>ｼﾞｮｰｧ ﾄﾞｰﾝ</t>
  </si>
  <si>
    <t>ﾊﾝ ｳｴｲ</t>
  </si>
  <si>
    <t>ﾎﾞｰ ｿｰﾝ</t>
  </si>
  <si>
    <t>ﾌｵﾝ ｲｰ</t>
  </si>
  <si>
    <t>ﾌﾟｩ ﾑｵﾝ</t>
  </si>
  <si>
    <t>ﾚｲ ﾁｭｲﾝ</t>
  </si>
  <si>
    <t>ﾘｰﾝ ｼｰ</t>
  </si>
  <si>
    <t>ﾕｴ ｼｴ</t>
  </si>
  <si>
    <t>ﾁｰﾝ ｽﾞｩ</t>
  </si>
  <si>
    <t>ﾀｲ ﾁｲ</t>
  </si>
  <si>
    <t>ﾁｬｵ ﾕｲ</t>
  </si>
  <si>
    <t>ｸﾞﾜﾝ ﾌｩ</t>
  </si>
  <si>
    <t>ﾄｩ ｼﾞｱ</t>
  </si>
  <si>
    <t>ﾎｩｲ ﾋﾞｰﾝ</t>
  </si>
  <si>
    <t>ﾂｩｲ ﾘﾝ</t>
  </si>
  <si>
    <t>ﾑｩ ｼｭｴ</t>
  </si>
  <si>
    <t>ｽｩｵ ﾋﾟﾝ</t>
  </si>
  <si>
    <t>ﾐﾔｵ ｼﾞｭｲﾝ</t>
  </si>
  <si>
    <t>ｼﾞｴ ﾗﾝ</t>
  </si>
  <si>
    <t>ｼﾝ ｼﾞｰﾝ</t>
  </si>
  <si>
    <t>ﾌｧｰ ﾁｴﾝ</t>
  </si>
  <si>
    <t>ﾁﾝ ﾛｰﾝ</t>
  </si>
  <si>
    <t>ﾃｨｰﾝ ｼﾞｴﾝ</t>
  </si>
  <si>
    <t>ｼｭﾖﾝ ﾃｨｰﾝ</t>
  </si>
  <si>
    <t>ﾎｰｧ ﾌｪｲ</t>
  </si>
  <si>
    <t>ﾊﾝ ﾕｴ</t>
  </si>
  <si>
    <t>ｼﾞｭｲﾝ ｼﾞｰﾝ</t>
  </si>
  <si>
    <t>ｩﾙｵ ﾁｲ</t>
  </si>
  <si>
    <t>ﾕｴﾝ ﾄﾞｩ</t>
  </si>
  <si>
    <t>ｼﾞｪﾝ ﾏｲ</t>
  </si>
  <si>
    <t>ｼﾞｱｵ ｼﾞｴﾝ</t>
  </si>
  <si>
    <t>ﾎｩｲ ｼﾞｭｲﾝ</t>
  </si>
  <si>
    <t>ｲﾝ ﾃｨｰﾝ</t>
  </si>
  <si>
    <t>ﾌｵﾝ ﾒｲ</t>
  </si>
  <si>
    <t>ｼｴ ﾌｧｰﾝ</t>
  </si>
  <si>
    <t>ﾋﾞﾝ ﾎｩ</t>
  </si>
  <si>
    <t>ｼﾞｪﾝ ｼｭｴ</t>
  </si>
  <si>
    <t>ｼﾞｰ ﾌｩ</t>
  </si>
  <si>
    <t>ﾕｲﾝ ｼﾝ</t>
  </si>
  <si>
    <t>ﾂｧﾝ ｳｴｲ</t>
  </si>
  <si>
    <t>ﾄﾞｳ ｸﾞｵﾝ</t>
  </si>
  <si>
    <t>ﾅｰ ﾔｰ</t>
  </si>
  <si>
    <t>ｺｰｧ ｼｭﾖﾝ</t>
  </si>
  <si>
    <t>ﾊﾝ ﾁｪﾝ</t>
  </si>
  <si>
    <t>ｼｭｴﾝ ﾎﾜｰﾝ</t>
  </si>
  <si>
    <t>ｼﾞｱ ｼｰ</t>
  </si>
  <si>
    <t>ﾕｲ ﾎｰﾝ</t>
  </si>
  <si>
    <t>ﾒｲ ﾏｵ</t>
  </si>
  <si>
    <t>ｲﾝ ﾁｰ</t>
  </si>
  <si>
    <t>ｼｳ ﾌｧｰ</t>
  </si>
  <si>
    <t>ﾁｰﾝ ｼｰﾝ</t>
  </si>
  <si>
    <t>ｼｳ ｲｰ</t>
  </si>
  <si>
    <t>ﾘｰﾝ ﾄﾞｰﾝ</t>
  </si>
  <si>
    <t>ｲｰ ﾏｵ</t>
  </si>
  <si>
    <t>ｳｴｲ ﾙｩ</t>
  </si>
  <si>
    <t>ｽﾞｩ ｲｴﾝ</t>
  </si>
  <si>
    <t>ｲｰ ｼﾞｴ</t>
  </si>
  <si>
    <t>ﾁｴﾝ ｲｰ</t>
  </si>
  <si>
    <t>ｼﾔｵ ﾊｲ</t>
  </si>
  <si>
    <t>ｼｭｳ ｽｩ</t>
  </si>
  <si>
    <t>ﾑｵﾝ ﾘｰﾝ</t>
  </si>
  <si>
    <t>ｸﾜｰﾝ ﾌｧﾝ</t>
  </si>
  <si>
    <t>ﾖｰﾝ ｼﾞｰ</t>
  </si>
  <si>
    <t>ｲｰ ﾏｲ</t>
  </si>
  <si>
    <t>ﾘｰﾝ ｼﾞｭｲﾝ</t>
  </si>
  <si>
    <t>ﾕｲ ﾁｰﾝ</t>
  </si>
  <si>
    <t>ﾁｴﾝ ﾗﾝ</t>
  </si>
  <si>
    <t>ﾁｴﾝ ﾔｵ</t>
  </si>
  <si>
    <t>ﾔｰ ﾌｪﾝ</t>
  </si>
  <si>
    <t>ｼｴ ｼﾔｵ</t>
  </si>
  <si>
    <t>ﾁｪﾝ ｼｭｵ</t>
  </si>
  <si>
    <t>ｲｰ ﾊﾝ</t>
  </si>
  <si>
    <t>ﾖｰﾝ ﾌﾟｩ</t>
  </si>
  <si>
    <t>ｸﾞﾜﾝ ｼｭﾖﾝ</t>
  </si>
  <si>
    <t>ﾁｭｲ ｼﾞｱ</t>
  </si>
  <si>
    <t>ﾌｪｲ ｲｰ</t>
  </si>
  <si>
    <t>ﾁｴﾝ ｼﾞｰ</t>
  </si>
  <si>
    <t>ﾊﾝ ﾎｰﾝ</t>
  </si>
  <si>
    <t>ｼﾔｵ ﾎｰﾝ</t>
  </si>
  <si>
    <t>ﾄﾞｩｵﾝ ﾆｰﾝ</t>
  </si>
  <si>
    <t>ｲｴ ﾘｰﾝ</t>
  </si>
  <si>
    <t>ｳｴｲ ｼｭｳ</t>
  </si>
  <si>
    <t>ｩﾙｵ ﾋﾞﾝ</t>
  </si>
  <si>
    <t>ﾁｭﾜｰﾝ ﾎｰｧ</t>
  </si>
  <si>
    <t>ｩﾙｩ ｲﾝ</t>
  </si>
  <si>
    <t>ｼﾞｰﾝ ﾇｵﾝ</t>
  </si>
  <si>
    <t>ﾘﾝ ｳｴｲ</t>
  </si>
  <si>
    <t>ﾁｭﾖﾝ ﾘﾔｰﾝ</t>
  </si>
  <si>
    <t>ｽﾞｰ ｼﾞｰ</t>
  </si>
  <si>
    <t>ﾙﾝ ﾎｩｲ</t>
  </si>
  <si>
    <t>ﾎｰﾝ ｼﾝ</t>
  </si>
  <si>
    <t>ｳｫ ｲｰ</t>
  </si>
  <si>
    <t>ﾜﾝ ﾋﾞﾝ</t>
  </si>
  <si>
    <t>lüe ﾘｴﾝ</t>
  </si>
  <si>
    <t>ﾋﾞｰﾝ ﾑｵﾝ</t>
  </si>
  <si>
    <t>ﾜｰﾝ ｯｵｰﾝ</t>
  </si>
  <si>
    <t>ｲｰ ｼｲ</t>
  </si>
  <si>
    <t>ﾑｵﾝ ｼﾞｰ</t>
  </si>
  <si>
    <t>ｲｰﾝ ｼﾞｪﾝ</t>
  </si>
  <si>
    <t>ｼｴﾝ ｶｰﾝ</t>
  </si>
  <si>
    <t>ｳｴｲ ｲｰﾝ</t>
  </si>
  <si>
    <t>ﾘﾝ ｼﾞｴﾝ</t>
  </si>
  <si>
    <t>ｩﾙﾝ ﾄﾞｩﾝ</t>
  </si>
  <si>
    <t>ｼﾞｭﾜｰﾝ ｼﾞｪﾝ</t>
  </si>
  <si>
    <t>ﾂｧｲ ﾔｰ</t>
  </si>
  <si>
    <t>ﾛｰｧ ｼﾞｪﾝ</t>
  </si>
  <si>
    <t>ｼﾞｭｲﾝ ﾁｬｰﾝ</t>
  </si>
  <si>
    <t>ﾁｭﾜｰﾝ ﾁｴﾝ</t>
  </si>
  <si>
    <t>ｼｴﾝ ｳｫ</t>
  </si>
  <si>
    <t>ｽﾞｰ ﾕｴﾝ</t>
  </si>
  <si>
    <t>ﾏｵ ｳｴｲ</t>
  </si>
  <si>
    <t>ﾌﾟｵﾝ ﾘｰ</t>
  </si>
  <si>
    <t>ｼｲ ﾎｩｲ</t>
  </si>
  <si>
    <t>ｼｰ ｽｩ</t>
  </si>
  <si>
    <t>ｸﾞﾜﾝ ﾘｰﾝ</t>
  </si>
  <si>
    <t>ﾕｲ ｲｰ</t>
  </si>
  <si>
    <t>ｽﾞｩ ｼｭｴﾝ</t>
  </si>
  <si>
    <t>ﾛｰｧ ﾗｲ</t>
  </si>
  <si>
    <t>ｼﾞｮｰﾝ ﾏｰ</t>
  </si>
  <si>
    <t>ﾁｰ ｳｴｲ</t>
  </si>
  <si>
    <t>ﾑｩ ﾋﾟﾝ</t>
  </si>
  <si>
    <t>ｼｭﾖﾝ ﾁｭﾜｰﾝ</t>
  </si>
  <si>
    <t>ﾎｩｲ ﾁｪﾝ</t>
  </si>
  <si>
    <t>ﾕｲ ﾌｵﾝ</t>
  </si>
  <si>
    <t>ｼﾞﾝ ｼｭｲﾝ</t>
  </si>
  <si>
    <t>ｼﾞｴﾝ ﾅｰ</t>
  </si>
  <si>
    <t>ｼﾞｰ ﾂｧｲ</t>
  </si>
  <si>
    <t>ﾕｴﾝ ｼﾞｭﾜｰﾝ</t>
  </si>
  <si>
    <t>ｿﾞｰﾝ ﾗﾝ</t>
  </si>
  <si>
    <t>ｲｰ ｺﾞｰｧ</t>
  </si>
  <si>
    <t>ﾄｩｵﾝ ｳｴｲ</t>
  </si>
  <si>
    <t>ｶｰﾝ ｾﾝ</t>
  </si>
  <si>
    <t>ﾌｩ ﾁｴﾝ</t>
  </si>
  <si>
    <t>ﾃｨｴﾝ ﾀﾞｰ</t>
  </si>
  <si>
    <t>ｽｩ ﾂｧｲ</t>
  </si>
  <si>
    <t>ｱｵ ﾁｬｰﾝ</t>
  </si>
  <si>
    <t>ﾎﾜｰﾝ ﾄｰｧ</t>
  </si>
  <si>
    <t>ﾘｴﾝ ｳｴﾝ</t>
  </si>
  <si>
    <t>ﾄﾞｰｧ ｼﾞｰ</t>
  </si>
  <si>
    <t>ﾔｰ ｼｭｴ</t>
  </si>
  <si>
    <t>ｲｰ ｱｵ</t>
  </si>
  <si>
    <t>ﾁﾝ ﾂｧｲ</t>
  </si>
  <si>
    <t>ﾕｴﾝ ｼﾞｭｲﾝ</t>
  </si>
  <si>
    <t>ﾁｲ ｼﾞｰﾝ</t>
  </si>
  <si>
    <t>ﾄｰﾝ ﾂｩﾝ</t>
  </si>
  <si>
    <t>ｳｰ ｼｳ</t>
  </si>
  <si>
    <t>ﾕｲ ﾗﾝ</t>
  </si>
  <si>
    <t>ﾁｭｴﾝ ｼﾞｰ</t>
  </si>
  <si>
    <t>ｼﾞｰ ﾌｧﾝ</t>
  </si>
  <si>
    <t>ﾂｩﾝ ﾏｵ</t>
  </si>
  <si>
    <t>ｼﾞｪﾝ ﾙﾝ</t>
  </si>
  <si>
    <t>ｺｰｧ ﾊｰﾝ</t>
  </si>
  <si>
    <t>ｩﾘｰ ｼﾞｴﾝ</t>
  </si>
  <si>
    <t>ｼﾝ ﾕｲ</t>
  </si>
  <si>
    <t>ﾄｩｵﾝ ｩﾙｲ</t>
  </si>
  <si>
    <t>ｲｰﾝ ﾁｪﾝ</t>
  </si>
  <si>
    <t>ｼｲ ﾖｰﾝ</t>
  </si>
  <si>
    <t>ﾑｩ ﾅｰ</t>
  </si>
  <si>
    <t>ﾎｩ ｼﾞｴ</t>
  </si>
  <si>
    <t>ﾃﾞｨｴﾝ ｱﾙ</t>
  </si>
  <si>
    <t>ｲｰ ﾃﾞｨｰ</t>
  </si>
  <si>
    <t>ｼｲ ﾎﾞｰ</t>
  </si>
  <si>
    <t>ﾕｴﾝ ﾕｲﾝ</t>
  </si>
  <si>
    <t>ｼｲ ｶｰ</t>
  </si>
  <si>
    <t>ﾕｲ ﾑｩ</t>
  </si>
  <si>
    <t>ﾎｰｧ ﾖｳ</t>
  </si>
  <si>
    <t>ﾐｰﾝ ｱｵ</t>
  </si>
  <si>
    <t>ｲｰ ﾌﾟｩ</t>
  </si>
  <si>
    <t>ﾁｭｲﾝ ﾁｬｰﾝ</t>
  </si>
  <si>
    <t>ｼﾞｮｰﾝ ﾍﾞﾝ</t>
  </si>
  <si>
    <t>ﾎｩ ﾐﾝ</t>
  </si>
  <si>
    <t>ﾂｧｲ ｼﾞﾝ</t>
  </si>
  <si>
    <t>ﾋﾞﾝ ﾎﾜ</t>
  </si>
  <si>
    <t>ﾕｲ ｶﾞｵ</t>
  </si>
  <si>
    <t>ﾁｲ ﾁｭｴﾝ</t>
  </si>
  <si>
    <t>ﾊｰﾝ ﾗﾝ</t>
  </si>
  <si>
    <t>ｲｰ ﾖｳ</t>
  </si>
  <si>
    <t>ﾐｰﾝ ﾚｲ</t>
  </si>
  <si>
    <t>ﾁｰﾝ ｩﾙｲ</t>
  </si>
  <si>
    <t>ﾖｰﾝ ｼﾞｭｵ</t>
  </si>
  <si>
    <t>ｼﾞﾝ ﾙｩｨ</t>
  </si>
  <si>
    <t>ﾁｬｵ ﾜﾝ</t>
  </si>
  <si>
    <t>ﾁﾝ ｼｲ</t>
  </si>
  <si>
    <t>ﾊﾝ ﾎｰﾝ</t>
  </si>
  <si>
    <t>ｵｳ ｸﾞｵ</t>
  </si>
  <si>
    <t>ｳｰ ﾁｰﾝ</t>
  </si>
  <si>
    <t>ﾌｪｲ ﾎｩ</t>
  </si>
  <si>
    <t>ｼｭｴﾝ ﾎｩｵﾝ</t>
  </si>
  <si>
    <t>ｼﾞｮｳ ｼｬｵ</t>
  </si>
  <si>
    <t>ﾃｨｰﾝ ﾐｰﾝ</t>
  </si>
  <si>
    <t>ﾀｲ ｼﾞｭｲ</t>
  </si>
  <si>
    <t>ｼｰﾝ ｼｱｰﾝ</t>
  </si>
  <si>
    <t>ｳｰ ﾁﾔｵ</t>
  </si>
  <si>
    <t>ｳｴｲ ｼﾞｭｳ</t>
  </si>
  <si>
    <t>ｲｰ ｼﾞｴﾝ</t>
  </si>
  <si>
    <t>ﾎｰｧ ﾍﾞﾝ</t>
  </si>
  <si>
    <t>ｸﾞｵﾝ ｲｴﾝ</t>
  </si>
  <si>
    <t>ﾎｰﾝ ｳｴｲ</t>
  </si>
  <si>
    <t>ﾎｰﾝ ﾂｧｲ</t>
  </si>
  <si>
    <t>ｸﾞｲ ｼﾔｵ</t>
  </si>
  <si>
    <t>ﾄｰﾝ ﾕｴﾝ</t>
  </si>
  <si>
    <t>ﾀｲ ｼﾞｮｰﾝ</t>
  </si>
  <si>
    <t>ｼｰ ｿﾞｰﾝ</t>
  </si>
  <si>
    <t>ﾎｰﾝ ﾃｨｰﾝ</t>
  </si>
  <si>
    <t>ﾁｲ ｼｭｴ</t>
  </si>
  <si>
    <t>ﾘﾝ ﾎｩｲ</t>
  </si>
  <si>
    <t>ﾋﾞﾝ ﾕｴﾝ</t>
  </si>
  <si>
    <t>ｼｴﾝ ｼﾞｴ</t>
  </si>
  <si>
    <t>ﾕｴ ﾌﾟｩ</t>
  </si>
  <si>
    <t>ﾌｧｰ ｺｰｧ</t>
  </si>
  <si>
    <t>ﾁｰﾝ ﾄｩ</t>
  </si>
  <si>
    <t>ｽﾞｰ ﾌｧﾝ</t>
  </si>
  <si>
    <t>ｲﾝ ｲｰﾝ</t>
  </si>
  <si>
    <t>ﾎﾜ ｳｴｲ</t>
  </si>
  <si>
    <t>ｼﾞｭｵ ﾁﾝ</t>
  </si>
  <si>
    <t>ﾀｵ ｿｰﾝ</t>
  </si>
  <si>
    <t>ｼｭｲﾝ ﾘﾝ</t>
  </si>
  <si>
    <t>ｯｵｰﾝ ﾁｪﾝ</t>
  </si>
  <si>
    <t>ﾙﾝ ﾜｰﾝ</t>
  </si>
  <si>
    <t>ｼﾞｭｲﾝ ｼﾞｴﾝ</t>
  </si>
  <si>
    <t>ｳｴｲ ｩﾛｰﾝ</t>
  </si>
  <si>
    <t>ﾃｨｰﾝ ﾌｪﾝ</t>
  </si>
  <si>
    <t>ﾃﾞｨｴﾝ ﾂｩﾝ</t>
  </si>
  <si>
    <t>ﾁｭｲﾝ ﾃｨｰﾝ</t>
  </si>
  <si>
    <t>ｳｴｲ ﾗﾝ</t>
  </si>
  <si>
    <t>ﾎｰｧ ﾎﾞｰ</t>
  </si>
  <si>
    <t>ﾃﾞｨｰ ﾁﾝ</t>
  </si>
  <si>
    <t>ﾖｰﾝ ﾔｵ</t>
  </si>
  <si>
    <t>ﾄｩ ｼﾞﾝ</t>
  </si>
  <si>
    <t>ｸﾞｲ ﾖｳ</t>
  </si>
  <si>
    <t>ﾕｲﾝ ﾘﾝ</t>
  </si>
  <si>
    <t>ｸﾞﾜｰﾝ ﾎｰｧ</t>
  </si>
  <si>
    <t>ﾑｵﾝ ﾁｭﾖﾝ</t>
  </si>
  <si>
    <t>ｼﾞｭｲ ﾖｳ</t>
  </si>
  <si>
    <t>ｼﾞｪﾝ ｳｰ</t>
  </si>
  <si>
    <t>ｼﾞｮｰｧ ﾁﾔｵ</t>
  </si>
  <si>
    <t>ﾋﾟﾝ ﾑｵﾝ</t>
  </si>
  <si>
    <t>ﾀｲ ﾃｨｰﾝ</t>
  </si>
  <si>
    <t>ｼｲ ｼｭｲﾝ</t>
  </si>
  <si>
    <t>ｲｰ ｽｰ</t>
  </si>
  <si>
    <t>ﾌﾟｩ ﾚｲ</t>
  </si>
  <si>
    <t>ﾏｰ ｼﾞｰ</t>
  </si>
  <si>
    <t>ﾁｭﾖﾝ ﾕｲ</t>
  </si>
  <si>
    <t>ﾄｩｵﾝ ﾁｭﾜﾝ</t>
  </si>
  <si>
    <t>ｼｱｰﾝ ﾎｩｲ</t>
  </si>
  <si>
    <t>ｸﾞﾜﾝ ｼﾞｭｲﾝ</t>
  </si>
  <si>
    <t>ｸﾜｰﾝ ｿﾞｰﾝ</t>
  </si>
  <si>
    <t>ﾁｭｲﾝ ﾕｴﾝ</t>
  </si>
  <si>
    <t>ﾋﾞｰ ﾊﾝ</t>
  </si>
  <si>
    <t>ﾗﾝ ｼｬｰﾝ</t>
  </si>
  <si>
    <t>ｼﾞｭｲﾝ ｳｴｲ</t>
  </si>
  <si>
    <t>ｼﾞｭｲﾝ ﾁｭﾖﾝ</t>
  </si>
  <si>
    <t>ｼｭｴﾝ ｼﾞｴ</t>
  </si>
  <si>
    <t>ｲｰ ｲｰ</t>
  </si>
  <si>
    <t>ｼﾞｰﾝ ﾁｰﾝ</t>
  </si>
  <si>
    <t>ｳｴｲ ﾁｰﾝ</t>
  </si>
  <si>
    <t>ﾎｳ ﾀﾞｵ</t>
  </si>
  <si>
    <t>ｼｭﾖﾝ ﾎｩｲ</t>
  </si>
  <si>
    <t>ﾜﾝ ｼﾞｪﾝ</t>
  </si>
  <si>
    <t>ｼﾞｮｰﾝ ｼｴﾝ</t>
  </si>
  <si>
    <t>ﾆｰﾝ ｼﾞﾝ</t>
  </si>
  <si>
    <t>ｽｰ ﾌｪｲ</t>
  </si>
  <si>
    <t>ﾂｧﾝ ﾁｲ</t>
  </si>
  <si>
    <t>ｲｰﾝ ﾆｴﾝ</t>
  </si>
  <si>
    <t>ｼﾞｰ ｺｰｧ</t>
  </si>
  <si>
    <t>ﾕｴﾝ ﾊｰﾝ</t>
  </si>
  <si>
    <t>ｲｴﾝ ﾀﾞｰ</t>
  </si>
  <si>
    <t>ﾀｵ ﾁｭｴﾝ</t>
  </si>
  <si>
    <t>ﾁｰ ｼｭﾖﾝ</t>
  </si>
  <si>
    <t>ｼｭｴ ｼﾞｪﾝ</t>
  </si>
  <si>
    <t>ﾕｴ ｼﾝ</t>
  </si>
  <si>
    <t>ﾕｲ ﾁｬｰﾝ</t>
  </si>
  <si>
    <t>ｳｴｲ ｼｭｲﾝ</t>
  </si>
  <si>
    <t>ﾛｰﾝ ﾂｧｲ</t>
  </si>
  <si>
    <t>ﾊｵ ｼﾞｭｲﾝ</t>
  </si>
  <si>
    <t>ﾀﾝ ｼｭｴﾝ</t>
  </si>
  <si>
    <t>ﾘｴ ﾋﾞﾝ</t>
  </si>
  <si>
    <t>ｲｰﾝ ｼｭﾜｰﾝ</t>
  </si>
  <si>
    <t>ﾘｰﾝ ﾁｴﾝ</t>
  </si>
  <si>
    <t>ｽﾞｰ ｽｩ</t>
  </si>
  <si>
    <t>ﾁｬｰﾝ ｼｱｰﾝ</t>
  </si>
  <si>
    <t>ﾎｰﾝ ｽｩｵ</t>
  </si>
  <si>
    <t>ﾘｰﾝ ﾊﾝ</t>
  </si>
  <si>
    <t>ｳｴｲ ｼﾞｰ</t>
  </si>
  <si>
    <t>ﾀﾞｵ ﾋﾟﾝ</t>
  </si>
  <si>
    <t xml:space="preserve">ﾘｰ </t>
  </si>
  <si>
    <t xml:space="preserve">ﾜｰﾝ </t>
  </si>
  <si>
    <t xml:space="preserve">ｼﾞｬｰﾝ </t>
  </si>
  <si>
    <t xml:space="preserve">ﾘｳ </t>
  </si>
  <si>
    <t xml:space="preserve">ﾁｪﾝ </t>
  </si>
  <si>
    <t xml:space="preserve">ﾔｰﾝ </t>
  </si>
  <si>
    <t xml:space="preserve">ｼﾞｬｵ </t>
  </si>
  <si>
    <t xml:space="preserve">ﾎﾜｰﾝ </t>
  </si>
  <si>
    <t xml:space="preserve">ｼﾞｮｳ </t>
  </si>
  <si>
    <t xml:space="preserve">ｳｰ </t>
  </si>
  <si>
    <t xml:space="preserve">ｼｭｲ </t>
  </si>
  <si>
    <t xml:space="preserve">ｽｩﾝ </t>
  </si>
  <si>
    <t xml:space="preserve">ﾎｩ </t>
  </si>
  <si>
    <t xml:space="preserve">ｼﾞｭｳ </t>
  </si>
  <si>
    <t xml:space="preserve">ｶﾞｵ </t>
  </si>
  <si>
    <t xml:space="preserve">ﾘﾝ </t>
  </si>
  <si>
    <t xml:space="preserve">ﾎｰｧ </t>
  </si>
  <si>
    <t xml:space="preserve">ｸﾞｵ </t>
  </si>
  <si>
    <t xml:space="preserve">ﾏｰ </t>
  </si>
  <si>
    <t xml:space="preserve">ﾙｵ </t>
  </si>
  <si>
    <t xml:space="preserve">ﾘﾔｰﾝ </t>
  </si>
  <si>
    <t xml:space="preserve">ｿｰﾝ </t>
  </si>
  <si>
    <t xml:space="preserve">ｼﾞｭﾖﾝ </t>
  </si>
  <si>
    <t xml:space="preserve">ｼｴ </t>
  </si>
  <si>
    <t xml:space="preserve">ﾊﾝ </t>
  </si>
  <si>
    <t xml:space="preserve">ﾀｰﾝ </t>
  </si>
  <si>
    <t xml:space="preserve">ﾌｵﾝ </t>
  </si>
  <si>
    <t xml:space="preserve">ﾕｲ </t>
  </si>
  <si>
    <t xml:space="preserve">seisi </t>
  </si>
  <si>
    <t xml:space="preserve">Li </t>
  </si>
  <si>
    <t xml:space="preserve">Wang </t>
  </si>
  <si>
    <t xml:space="preserve">Zhang </t>
  </si>
  <si>
    <t xml:space="preserve">Liu </t>
  </si>
  <si>
    <t xml:space="preserve">Chen </t>
  </si>
  <si>
    <t xml:space="preserve">Yang </t>
  </si>
  <si>
    <t xml:space="preserve">Zhao </t>
  </si>
  <si>
    <t xml:space="preserve">Huang </t>
  </si>
  <si>
    <t xml:space="preserve">Zhou </t>
  </si>
  <si>
    <t xml:space="preserve">Wu </t>
  </si>
  <si>
    <t xml:space="preserve">Xu </t>
  </si>
  <si>
    <t xml:space="preserve">Sun </t>
  </si>
  <si>
    <t xml:space="preserve">Hu </t>
  </si>
  <si>
    <t xml:space="preserve">Zhu </t>
  </si>
  <si>
    <t xml:space="preserve">Gao </t>
  </si>
  <si>
    <t xml:space="preserve">Lin </t>
  </si>
  <si>
    <t xml:space="preserve">He </t>
  </si>
  <si>
    <t xml:space="preserve">Guo </t>
  </si>
  <si>
    <t xml:space="preserve">Ma </t>
  </si>
  <si>
    <t xml:space="preserve">Luo </t>
  </si>
  <si>
    <t xml:space="preserve">Liang </t>
  </si>
  <si>
    <t xml:space="preserve">Song </t>
  </si>
  <si>
    <t xml:space="preserve">Zheng </t>
  </si>
  <si>
    <t xml:space="preserve">Xie </t>
  </si>
  <si>
    <t xml:space="preserve">Han </t>
  </si>
  <si>
    <t xml:space="preserve">Tang </t>
  </si>
  <si>
    <t xml:space="preserve">Feng </t>
  </si>
  <si>
    <t xml:space="preserve">Yu </t>
  </si>
  <si>
    <t>-</t>
    <phoneticPr fontId="2"/>
  </si>
  <si>
    <t>随机年份</t>
    <phoneticPr fontId="2"/>
  </si>
  <si>
    <t>随机年份之后的年份</t>
    <phoneticPr fontId="2"/>
  </si>
  <si>
    <t>月份</t>
    <phoneticPr fontId="2"/>
  </si>
  <si>
    <t>日期</t>
    <phoneticPr fontId="2"/>
  </si>
  <si>
    <t>普通</t>
    <rPh sb="0" eb="2">
      <t>フツウ</t>
    </rPh>
    <phoneticPr fontId="2"/>
  </si>
  <si>
    <t>高級</t>
    <rPh sb="0" eb="2">
      <t>コウキュウ</t>
    </rPh>
    <phoneticPr fontId="2"/>
  </si>
  <si>
    <r>
      <t>kainMeiE</t>
    </r>
    <r>
      <rPr>
        <sz val="11"/>
        <color theme="1"/>
        <rFont val="Yu Gothic"/>
        <family val="2"/>
      </rPr>
      <t>n</t>
    </r>
    <phoneticPr fontId="2"/>
  </si>
  <si>
    <t>TD10397</t>
  </si>
  <si>
    <t>TD10398</t>
  </si>
  <si>
    <t>TD10399</t>
  </si>
  <si>
    <t>TD10400</t>
  </si>
  <si>
    <t>TD10401</t>
  </si>
  <si>
    <t>TD10402</t>
  </si>
  <si>
    <t>TD10403</t>
  </si>
  <si>
    <t>TD10404</t>
  </si>
  <si>
    <t>TD10405</t>
  </si>
  <si>
    <t>TD10406</t>
  </si>
  <si>
    <t>TD10407</t>
  </si>
  <si>
    <t>TD10408</t>
  </si>
  <si>
    <t>TD10409</t>
  </si>
  <si>
    <t>TD10410</t>
  </si>
  <si>
    <t>TD10411</t>
  </si>
  <si>
    <t>TD10412</t>
  </si>
  <si>
    <t>TD10413</t>
  </si>
  <si>
    <t>TD10414</t>
  </si>
  <si>
    <t>TD10415</t>
  </si>
  <si>
    <t>TD10416</t>
  </si>
  <si>
    <t>TD10417</t>
  </si>
  <si>
    <t>TD10418</t>
  </si>
  <si>
    <t>TD10419</t>
  </si>
  <si>
    <t>TD10420</t>
  </si>
  <si>
    <t>TD10421</t>
  </si>
  <si>
    <t>TD10422</t>
  </si>
  <si>
    <t>TD10423</t>
  </si>
  <si>
    <t>TD10424</t>
  </si>
  <si>
    <t>TD10425</t>
  </si>
  <si>
    <t>TD10426</t>
  </si>
  <si>
    <t>TD10427</t>
  </si>
  <si>
    <t>TD10428</t>
  </si>
  <si>
    <t>TD10429</t>
  </si>
  <si>
    <t>TD10430</t>
  </si>
  <si>
    <t>TD10431</t>
  </si>
  <si>
    <t>TD10432</t>
  </si>
  <si>
    <t>TD10433</t>
  </si>
  <si>
    <t>TD10434</t>
  </si>
  <si>
    <t>TD10435</t>
  </si>
  <si>
    <t>TD10436</t>
  </si>
  <si>
    <t>TD10437</t>
  </si>
  <si>
    <t>TD10438</t>
  </si>
  <si>
    <t>TD10439</t>
  </si>
  <si>
    <t>TD10440</t>
  </si>
  <si>
    <t>TD10441</t>
  </si>
  <si>
    <t>TD10442</t>
  </si>
  <si>
    <t>TD10443</t>
  </si>
  <si>
    <t>TD10444</t>
  </si>
  <si>
    <t>TD10445</t>
  </si>
  <si>
    <t>TD10446</t>
  </si>
  <si>
    <t>TD10447</t>
  </si>
  <si>
    <t>TD10448</t>
  </si>
  <si>
    <t>TD10449</t>
  </si>
  <si>
    <t>TD10450</t>
  </si>
  <si>
    <t>TD10451</t>
  </si>
  <si>
    <t>TD10452</t>
  </si>
  <si>
    <t>TD10453</t>
  </si>
  <si>
    <t>TD10454</t>
  </si>
  <si>
    <t>TD10455</t>
  </si>
  <si>
    <t>TD10456</t>
  </si>
  <si>
    <t>TD10457</t>
  </si>
  <si>
    <t>TD10458</t>
  </si>
  <si>
    <t>TD10459</t>
  </si>
  <si>
    <t>TD10460</t>
  </si>
  <si>
    <t>TD10461</t>
  </si>
  <si>
    <t>TD10462</t>
  </si>
  <si>
    <t>TD10463</t>
  </si>
  <si>
    <t>TD10464</t>
  </si>
  <si>
    <t>TD10465</t>
  </si>
  <si>
    <t>TD10466</t>
  </si>
  <si>
    <t>TD10467</t>
  </si>
  <si>
    <t>TD10468</t>
  </si>
  <si>
    <t>TD10469</t>
  </si>
  <si>
    <t>TD10470</t>
  </si>
  <si>
    <t>TD10471</t>
  </si>
  <si>
    <t>TD10472</t>
  </si>
  <si>
    <t>TD10473</t>
  </si>
  <si>
    <t>TD10474</t>
  </si>
  <si>
    <t>TD10475</t>
  </si>
  <si>
    <t>TD10476</t>
  </si>
  <si>
    <t>TD10477</t>
  </si>
  <si>
    <t>TD10478</t>
  </si>
  <si>
    <t>TD10479</t>
  </si>
  <si>
    <t>TD10480</t>
  </si>
  <si>
    <t>TD10481</t>
  </si>
  <si>
    <t>TD10482</t>
  </si>
  <si>
    <t>TD10483</t>
  </si>
  <si>
    <t>TD10484</t>
  </si>
  <si>
    <t>TD10485</t>
  </si>
  <si>
    <t>TD10486</t>
  </si>
  <si>
    <t>TD10487</t>
  </si>
  <si>
    <t>TD10488</t>
  </si>
  <si>
    <t>TD10489</t>
  </si>
  <si>
    <t>TD10490</t>
  </si>
  <si>
    <t>TD10491</t>
  </si>
  <si>
    <t>TD10492</t>
  </si>
  <si>
    <t>TD10493</t>
  </si>
  <si>
    <t>TD10494</t>
  </si>
  <si>
    <t>TD10495</t>
  </si>
  <si>
    <t>TD10496</t>
  </si>
  <si>
    <t>TD10497</t>
  </si>
  <si>
    <t>TD10498</t>
  </si>
  <si>
    <t>TD10499</t>
  </si>
  <si>
    <t>TD10500</t>
  </si>
  <si>
    <t>TD10501</t>
  </si>
  <si>
    <t>TD10502</t>
  </si>
  <si>
    <t>TD10503</t>
  </si>
  <si>
    <t>TD10504</t>
  </si>
  <si>
    <t>TD10505</t>
  </si>
  <si>
    <t>TD10506</t>
  </si>
  <si>
    <t>TD10507</t>
  </si>
  <si>
    <t>TD10508</t>
  </si>
  <si>
    <t>TD10509</t>
  </si>
  <si>
    <t>TD10510</t>
  </si>
  <si>
    <t>TD10511</t>
  </si>
  <si>
    <t>TD10512</t>
  </si>
  <si>
    <t>TD10513</t>
  </si>
  <si>
    <t>TD10514</t>
  </si>
  <si>
    <t>TD10515</t>
  </si>
  <si>
    <t>TD10516</t>
  </si>
  <si>
    <t>TD10517</t>
  </si>
  <si>
    <t>TD10518</t>
  </si>
  <si>
    <t>TD10519</t>
  </si>
  <si>
    <t>TD10520</t>
  </si>
  <si>
    <t>TD10521</t>
  </si>
  <si>
    <t>TD10522</t>
  </si>
  <si>
    <t>TD10523</t>
  </si>
  <si>
    <t>TD10524</t>
  </si>
  <si>
    <t>TD10525</t>
  </si>
  <si>
    <t>TD10526</t>
  </si>
  <si>
    <t>TD10527</t>
  </si>
  <si>
    <t>TD10528</t>
  </si>
  <si>
    <t>TD10529</t>
  </si>
  <si>
    <t>TD10530</t>
  </si>
  <si>
    <t>TD10531</t>
  </si>
  <si>
    <t>TD10532</t>
  </si>
  <si>
    <t>TD10533</t>
  </si>
  <si>
    <t>TD10534</t>
  </si>
  <si>
    <t>TD10535</t>
  </si>
  <si>
    <t>TD10536</t>
  </si>
  <si>
    <t>TD10537</t>
  </si>
  <si>
    <t>TD10538</t>
  </si>
  <si>
    <t>TD10539</t>
  </si>
  <si>
    <t>TD10540</t>
  </si>
  <si>
    <t>TD10541</t>
  </si>
  <si>
    <t>TD10542</t>
  </si>
  <si>
    <t>TD10543</t>
  </si>
  <si>
    <t>TD10544</t>
  </si>
  <si>
    <t>TD10545</t>
  </si>
  <si>
    <t>TD10546</t>
  </si>
  <si>
    <t>TD10547</t>
  </si>
  <si>
    <t>TD10548</t>
  </si>
  <si>
    <t>TD10549</t>
  </si>
  <si>
    <t>TD10550</t>
  </si>
  <si>
    <t>TD10551</t>
  </si>
  <si>
    <t>TD10552</t>
  </si>
  <si>
    <t>TD10553</t>
  </si>
  <si>
    <t>TD10554</t>
  </si>
  <si>
    <t>TD10555</t>
  </si>
  <si>
    <t>TD10556</t>
  </si>
  <si>
    <t>TD10557</t>
  </si>
  <si>
    <t>TD10558</t>
  </si>
  <si>
    <t>TD10559</t>
  </si>
  <si>
    <t>TD10560</t>
  </si>
  <si>
    <t>TD10561</t>
  </si>
  <si>
    <t>TD10562</t>
  </si>
  <si>
    <t>TD10563</t>
  </si>
  <si>
    <t>TD10564</t>
  </si>
  <si>
    <t>TD10565</t>
  </si>
  <si>
    <t>TD10566</t>
  </si>
  <si>
    <t>TD10567</t>
  </si>
  <si>
    <t>TD10568</t>
  </si>
  <si>
    <t>TD10569</t>
  </si>
  <si>
    <t>TD10570</t>
  </si>
  <si>
    <t>TD10571</t>
  </si>
  <si>
    <t>TD10572</t>
  </si>
  <si>
    <t>TD10573</t>
  </si>
  <si>
    <t>TD10574</t>
  </si>
  <si>
    <t>TD10575</t>
  </si>
  <si>
    <t>TD10576</t>
  </si>
  <si>
    <t>TD10577</t>
  </si>
  <si>
    <t>TD10578</t>
  </si>
  <si>
    <t>TD10579</t>
  </si>
  <si>
    <t>TD10580</t>
  </si>
  <si>
    <t>TD10581</t>
  </si>
  <si>
    <t>TD10582</t>
  </si>
  <si>
    <t>TD10583</t>
  </si>
  <si>
    <t>TD10584</t>
  </si>
  <si>
    <t>TD10585</t>
  </si>
  <si>
    <t>TD10586</t>
  </si>
  <si>
    <t>TD10587</t>
  </si>
  <si>
    <t>TD10588</t>
  </si>
  <si>
    <t>TD10589</t>
  </si>
  <si>
    <t>TD10590</t>
  </si>
  <si>
    <t>TD10591</t>
  </si>
  <si>
    <t>TD10592</t>
  </si>
  <si>
    <t>TD10593</t>
  </si>
  <si>
    <t>TD10594</t>
  </si>
  <si>
    <t>TD10595</t>
  </si>
  <si>
    <t>TD10596</t>
  </si>
  <si>
    <t>TD10597</t>
  </si>
  <si>
    <t>TD10598</t>
  </si>
  <si>
    <t>TD10599</t>
  </si>
  <si>
    <t>TD10600</t>
  </si>
  <si>
    <t>TD10601</t>
  </si>
  <si>
    <t>TD10602</t>
  </si>
  <si>
    <t>TD10603</t>
  </si>
  <si>
    <t>TD10604</t>
  </si>
  <si>
    <t>TD10605</t>
  </si>
  <si>
    <t>TD10606</t>
  </si>
  <si>
    <t>TD10607</t>
  </si>
  <si>
    <t>TD10608</t>
  </si>
  <si>
    <t>TD10609</t>
  </si>
  <si>
    <t>TD10610</t>
  </si>
  <si>
    <t>TD10611</t>
  </si>
  <si>
    <t>TD10612</t>
  </si>
  <si>
    <t>TD10613</t>
  </si>
  <si>
    <t>TD10614</t>
  </si>
  <si>
    <t>TD10615</t>
  </si>
  <si>
    <t>TD10616</t>
  </si>
  <si>
    <t>TD10617</t>
  </si>
  <si>
    <t>TD10618</t>
  </si>
  <si>
    <t>TD10619</t>
  </si>
  <si>
    <t>TD10620</t>
  </si>
  <si>
    <t>TD10621</t>
  </si>
  <si>
    <t>TD10622</t>
  </si>
  <si>
    <t>TD10623</t>
  </si>
  <si>
    <t>TD10624</t>
  </si>
  <si>
    <t>TD10625</t>
  </si>
  <si>
    <t>TD10626</t>
  </si>
  <si>
    <t>TD10627</t>
  </si>
  <si>
    <t>TD10628</t>
  </si>
  <si>
    <t>TD10629</t>
  </si>
  <si>
    <t>TD10630</t>
  </si>
  <si>
    <t>TD10631</t>
  </si>
  <si>
    <t>TD10632</t>
  </si>
  <si>
    <t>TD10633</t>
  </si>
  <si>
    <t>TD10634</t>
  </si>
  <si>
    <t>TD10635</t>
  </si>
  <si>
    <t>TD10636</t>
  </si>
  <si>
    <t>TD10637</t>
  </si>
  <si>
    <t>TD10638</t>
  </si>
  <si>
    <t>TD10639</t>
  </si>
  <si>
    <t>張</t>
  </si>
  <si>
    <t>陳</t>
  </si>
  <si>
    <t>劉</t>
  </si>
  <si>
    <t>楊</t>
  </si>
  <si>
    <t>趙</t>
  </si>
  <si>
    <t>黃</t>
  </si>
  <si>
    <t>吳</t>
  </si>
  <si>
    <t>孫</t>
  </si>
  <si>
    <t>馬</t>
  </si>
  <si>
    <t>羅</t>
  </si>
  <si>
    <t>鄭</t>
  </si>
  <si>
    <t>謝</t>
  </si>
  <si>
    <t>韓</t>
  </si>
  <si>
    <t>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</si>
</sst>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</font>
    <font>
      <sz val="6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Microsoft YaHei"/>
      <family val="2"/>
    </font>
    <font>
      <sz val="11"/>
      <color theme="1"/>
      <name val="Microsoft YaHei"/>
      <family val="2"/>
      <charset val="134"/>
    </font>
    <font>
      <sz val="11"/>
      <color theme="1"/>
      <name val="Yu Gothic"/>
      <family val="3"/>
      <charset val="134"/>
      <scheme val="minor"/>
    </font>
    <font>
      <sz val="11"/>
      <color theme="1"/>
      <name val="ＭＳ Ｐゴシック"/>
      <family val="2"/>
      <charset val="128"/>
    </font>
    <font>
      <sz val="11"/>
      <color theme="1"/>
      <name val="Yu Gothic"/>
      <family val="2"/>
    </font>
    <font>
      <sz val="11"/>
      <color theme="1"/>
      <name val="Yu Gothic"/>
      <family val="2"/>
      <charset val="134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/>
    <xf numFmtId="0" fontId="1" fillId="0" borderId="0" xfId="0" applyFont="1"/>
    <xf numFmtId="0" fontId="6" fillId="0" borderId="0" xfId="0" applyFont="1"/>
    <xf numFmtId="0" fontId="5" fillId="0" borderId="0" xfId="0" applyFont="1"/>
    <xf numFmtId="14" fontId="0" fillId="0" borderId="0" xfId="0" applyNumberFormat="1"/>
    <xf numFmtId="0" fontId="9" fillId="0" borderId="0" xfId="0" applyFont="1"/>
    <xf numFmtId="0" fontId="0" fillId="2" borderId="0" xfId="0" applyFill="1"/>
    <xf numFmtId="0" fontId="0" fillId="2" borderId="0" xfId="0" applyFont="1" applyFill="1"/>
    <xf numFmtId="0" fontId="3" fillId="2" borderId="0" xfId="0" applyFont="1" applyFill="1"/>
    <xf numFmtId="14" fontId="0" fillId="2" borderId="0" xfId="0" applyNumberFormat="1" applyFill="1"/>
    <xf numFmtId="0" fontId="5" fillId="2" borderId="0" xfId="0" applyFont="1" applyFill="1"/>
    <xf numFmtId="0" fontId="7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838200</xdr:colOff>
          <xdr:row>6</xdr:row>
          <xdr:rowOff>119063</xdr:rowOff>
        </xdr:from>
        <xdr:to>
          <xdr:col>5</xdr:col>
          <xdr:colOff>371475</xdr:colOff>
          <xdr:row>7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刷新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519113</xdr:colOff>
          <xdr:row>6</xdr:row>
          <xdr:rowOff>147638</xdr:rowOff>
        </xdr:from>
        <xdr:to>
          <xdr:col>8</xdr:col>
          <xdr:colOff>923925</xdr:colOff>
          <xdr:row>7</xdr:row>
          <xdr:rowOff>176213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输出文件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209550</xdr:colOff>
          <xdr:row>9</xdr:row>
          <xdr:rowOff>109538</xdr:rowOff>
        </xdr:from>
        <xdr:to>
          <xdr:col>17</xdr:col>
          <xdr:colOff>628650</xdr:colOff>
          <xdr:row>10</xdr:row>
          <xdr:rowOff>138113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刷新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"/>
  <sheetViews>
    <sheetView topLeftCell="D1" workbookViewId="0">
      <selection activeCell="H13" sqref="H13"/>
    </sheetView>
  </sheetViews>
  <sheetFormatPr defaultRowHeight="17.649999999999999"/>
  <cols>
    <col min="1" max="1" width="11.6875" bestFit="1" customWidth="1"/>
    <col min="2" max="3" width="13.9375" bestFit="1" customWidth="1"/>
    <col min="4" max="4" width="13.9375" customWidth="1"/>
    <col min="5" max="5" width="11.625" bestFit="1" customWidth="1"/>
    <col min="6" max="6" width="11.625" customWidth="1"/>
    <col min="7" max="7" width="9.4375" bestFit="1" customWidth="1"/>
    <col min="8" max="8" width="9.8125" bestFit="1" customWidth="1"/>
    <col min="9" max="9" width="13.125" bestFit="1" customWidth="1"/>
    <col min="10" max="10" width="13.9375" bestFit="1" customWidth="1"/>
    <col min="11" max="11" width="12.5" bestFit="1" customWidth="1"/>
    <col min="12" max="12" width="15.8125" bestFit="1" customWidth="1"/>
    <col min="14" max="14" width="19.625" bestFit="1" customWidth="1"/>
  </cols>
  <sheetData>
    <row r="1" spans="1:16" s="7" customFormat="1">
      <c r="A1" s="7" t="s">
        <v>130</v>
      </c>
      <c r="B1" s="7" t="s">
        <v>131</v>
      </c>
      <c r="C1" s="7" t="s">
        <v>132</v>
      </c>
      <c r="D1" s="8" t="s">
        <v>133</v>
      </c>
      <c r="E1" s="7" t="s">
        <v>134</v>
      </c>
      <c r="F1" s="7" t="s">
        <v>152</v>
      </c>
      <c r="G1" s="7" t="s">
        <v>141</v>
      </c>
      <c r="H1" s="7" t="s">
        <v>143</v>
      </c>
      <c r="I1" s="9" t="s">
        <v>126</v>
      </c>
      <c r="J1" s="9" t="s">
        <v>128</v>
      </c>
      <c r="K1" s="9" t="s">
        <v>139</v>
      </c>
      <c r="L1" s="9" t="s">
        <v>147</v>
      </c>
      <c r="M1" s="9" t="s">
        <v>146</v>
      </c>
      <c r="N1" s="7" t="s">
        <v>149</v>
      </c>
      <c r="O1" s="7" t="s">
        <v>154</v>
      </c>
      <c r="P1" s="7" t="s">
        <v>156</v>
      </c>
    </row>
    <row r="2" spans="1:16">
      <c r="A2" t="s">
        <v>129</v>
      </c>
      <c r="B2" t="s">
        <v>135</v>
      </c>
      <c r="C2" t="s">
        <v>136</v>
      </c>
      <c r="D2" t="s">
        <v>137</v>
      </c>
      <c r="E2" t="s">
        <v>0</v>
      </c>
      <c r="F2" t="s">
        <v>151</v>
      </c>
      <c r="G2" t="s">
        <v>140</v>
      </c>
      <c r="H2" t="s">
        <v>142</v>
      </c>
      <c r="I2" t="s">
        <v>125</v>
      </c>
      <c r="J2" t="s">
        <v>127</v>
      </c>
      <c r="K2" t="s">
        <v>138</v>
      </c>
      <c r="L2" t="s">
        <v>144</v>
      </c>
      <c r="M2" t="s">
        <v>145</v>
      </c>
      <c r="N2" t="s">
        <v>148</v>
      </c>
      <c r="O2" s="2" t="s">
        <v>153</v>
      </c>
      <c r="P2" s="2" t="s">
        <v>155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newData">
                <anchor moveWithCells="1">
                  <from>
                    <xdr:col>4</xdr:col>
                    <xdr:colOff>838200</xdr:colOff>
                    <xdr:row>6</xdr:row>
                    <xdr:rowOff>119063</xdr:rowOff>
                  </from>
                  <to>
                    <xdr:col>5</xdr:col>
                    <xdr:colOff>371475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outputFile">
                <anchor moveWithCells="1">
                  <from>
                    <xdr:col>6</xdr:col>
                    <xdr:colOff>519113</xdr:colOff>
                    <xdr:row>6</xdr:row>
                    <xdr:rowOff>147638</xdr:rowOff>
                  </from>
                  <to>
                    <xdr:col>8</xdr:col>
                    <xdr:colOff>923925</xdr:colOff>
                    <xdr:row>7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0D66B-FF77-4C3D-B5AF-1E618FD31B93}">
  <sheetPr codeName="Sheet2"/>
  <dimension ref="A1:W640"/>
  <sheetViews>
    <sheetView tabSelected="1" topLeftCell="D1" workbookViewId="0">
      <pane ySplit="1" topLeftCell="A2" activePane="bottomLeft" state="frozen"/>
      <selection pane="bottomLeft" sqref="A1:O21"/>
    </sheetView>
  </sheetViews>
  <sheetFormatPr defaultRowHeight="17.649999999999999"/>
  <cols>
    <col min="1" max="1" width="8.375" bestFit="1" customWidth="1"/>
    <col min="2" max="2" width="13.9375" bestFit="1" customWidth="1"/>
    <col min="3" max="3" width="15.4375" bestFit="1" customWidth="1"/>
    <col min="4" max="4" width="17.8125" bestFit="1" customWidth="1"/>
    <col min="5" max="5" width="4.625" bestFit="1" customWidth="1"/>
    <col min="6" max="8" width="10.8125" style="5" bestFit="1" customWidth="1"/>
    <col min="9" max="9" width="13.875" bestFit="1" customWidth="1"/>
    <col min="10" max="10" width="37.25" bestFit="1" customWidth="1"/>
    <col min="11" max="11" width="8.25" bestFit="1" customWidth="1"/>
    <col min="12" max="12" width="15.8125" bestFit="1" customWidth="1"/>
    <col min="13" max="13" width="6.4375" bestFit="1" customWidth="1"/>
    <col min="14" max="14" width="19.625" bestFit="1" customWidth="1"/>
    <col min="15" max="15" width="8.25" bestFit="1" customWidth="1"/>
    <col min="18" max="18" width="10.1875" bestFit="1" customWidth="1"/>
    <col min="21" max="21" width="17.875" bestFit="1" customWidth="1"/>
    <col min="22" max="22" width="4.75" bestFit="1" customWidth="1"/>
    <col min="23" max="23" width="20.8125" customWidth="1"/>
  </cols>
  <sheetData>
    <row r="1" spans="1:23" s="7" customFormat="1">
      <c r="A1" s="7" t="str">
        <f>KeySet!A2</f>
        <v>会員番号</v>
      </c>
      <c r="B1" s="7" t="str">
        <f>KeySet!B2</f>
        <v>会員名（漢字）</v>
      </c>
      <c r="C1" s="7" t="str">
        <f>KeySet!C2</f>
        <v>会員名（仮名）</v>
      </c>
      <c r="D1" s="7" t="str">
        <f>KeySet!D2</f>
        <v>会員名（英語）</v>
      </c>
      <c r="E1" s="7" t="str">
        <f>KeySet!E2</f>
        <v>性別</v>
      </c>
      <c r="F1" s="10" t="str">
        <f>KeySet!F2</f>
        <v>誕生日</v>
      </c>
      <c r="G1" s="10" t="str">
        <f>KeySet!G2</f>
        <v>入会日</v>
      </c>
      <c r="H1" s="10" t="str">
        <f>KeySet!H2</f>
        <v>会員期限</v>
      </c>
      <c r="I1" s="7" t="str">
        <f>KeySet!I2</f>
        <v>電話番号</v>
      </c>
      <c r="J1" s="7" t="str">
        <f>KeySet!J2</f>
        <v>メールアドレス</v>
      </c>
      <c r="K1" s="7" t="str">
        <f>KeySet!K2</f>
        <v>会員種別</v>
      </c>
      <c r="L1" s="7" t="str">
        <f>KeySet!L2</f>
        <v>会員権限（割引）</v>
      </c>
      <c r="M1" s="7" t="str">
        <f>KeySet!M2</f>
        <v>割引率</v>
      </c>
      <c r="N1" s="7" t="str">
        <f>KeySet!N2</f>
        <v>会員権限（ポイント）</v>
      </c>
      <c r="O1" s="7" t="str">
        <f>KeySet!O2</f>
        <v>ポイント</v>
      </c>
      <c r="P1" s="7" t="str">
        <f>KeySet!P2</f>
        <v>備考</v>
      </c>
      <c r="R1" s="11" t="s">
        <v>1126</v>
      </c>
      <c r="S1" s="11" t="s">
        <v>1127</v>
      </c>
      <c r="T1" s="11" t="s">
        <v>1511</v>
      </c>
      <c r="U1" s="11" t="s">
        <v>1512</v>
      </c>
      <c r="V1" s="11" t="s">
        <v>1513</v>
      </c>
      <c r="W1" s="11" t="s">
        <v>1514</v>
      </c>
    </row>
    <row r="2" spans="1:23">
      <c r="A2" t="s">
        <v>1</v>
      </c>
      <c r="B2" t="str">
        <f ca="1">_xlfn.CONCAT(INDIRECT(ADDRESS(R2,1,1,1,"valueBase")),INDIRECT(ADDRESS(S2,4,1,1,"valueBase")))</f>
        <v>胡狂帆</v>
      </c>
      <c r="C2" t="str">
        <f ca="1">_xlfn.CONCAT(INDIRECT(ADDRESS(R2,2,1,1,"valueBase")),INDIRECT(ADDRESS(S2,5,1,1,"valueBase")))</f>
        <v>ﾎｩ ｸﾜｰﾝ ﾌｧﾝ</v>
      </c>
      <c r="D2" t="str">
        <f ca="1">_xlfn.CONCAT(INDIRECT(ADDRESS(R2,3,1,1,"valueBase")),INDIRECT(ADDRESS(S2,6,1,1,"valueBase")))</f>
        <v>Hu Kuang Fan</v>
      </c>
      <c r="E2" t="str" cm="1">
        <f t="array" aca="1" ref="E2" ca="1">INDIRECT(ADDRESS(RANDBETWEEN(2,16),7,1,1,"valueBase"))</f>
        <v>男性</v>
      </c>
      <c r="F2" s="5">
        <f ca="1">RANDBETWEEN(21916,NOW() - 6574)</f>
        <v>35367</v>
      </c>
      <c r="G2" s="5">
        <f ca="1">RANDBETWEEN(F2 + 6574,NOW())</f>
        <v>43787</v>
      </c>
      <c r="H2" s="5">
        <f ca="1">G2 + RANDBETWEEN(1,3) * 365</f>
        <v>44152</v>
      </c>
      <c r="I2" t="str">
        <f ca="1">CONCATENATE("0",RANDBETWEEN(8,9),"0","-",RANDBETWEEN(0,9),RANDBETWEEN(0,9),RANDBETWEEN(0,9),RANDBETWEEN(0,9),"-",RANDBETWEEN(0,9),RANDBETWEEN(0,9),RANDBETWEEN(0,9),RANDBETWEEN(0,9))</f>
        <v>080-1036-2144</v>
      </c>
      <c r="J2" t="str">
        <f ca="1">CONCATENATE(SUBSTITUTE(D2," ","_"),"_",SUBSTITUTE(G2,"/","_"),"@outlook.jp.co")</f>
        <v>Hu_Kuang_Fan_43787@outlook.jp.co</v>
      </c>
      <c r="K2" t="str">
        <f ca="1">IF(RANDBETWEEN(1,10) &gt; 6,"高級","普通")</f>
        <v>高級</v>
      </c>
      <c r="L2" t="str">
        <f t="shared" ref="L2:L66" ca="1" si="0">IF(RANDBETWEEN(1,10) &gt; 8,"-","有り")</f>
        <v>有り</v>
      </c>
      <c r="M2" t="str">
        <f ca="1">IF(L2 = "有り",IF(K2 = "高級","10%","5%"),"-")</f>
        <v>10%</v>
      </c>
      <c r="N2" t="str">
        <f ca="1">IF(RANDBETWEEN(1,10) &gt; 8,"-","有り")</f>
        <v>有り</v>
      </c>
      <c r="O2">
        <f ca="1">IF(N2 = "有り",RANDBETWEEN(0,1000),"-")</f>
        <v>787</v>
      </c>
      <c r="R2">
        <f ca="1">RANDBETWEEN(2,29)</f>
        <v>14</v>
      </c>
      <c r="S2">
        <f ca="1">RANDBETWEEN(2,331)</f>
        <v>103</v>
      </c>
      <c r="T2">
        <f ca="1">RANDBETWEEN(1970,2010)</f>
        <v>1973</v>
      </c>
      <c r="U2">
        <f ca="1">T2 + RANDBETWEEN(1,12)</f>
        <v>1983</v>
      </c>
      <c r="V2">
        <f ca="1">RANDBETWEEN(1,12)</f>
        <v>8</v>
      </c>
      <c r="W2">
        <f ca="1">IF(V2=2,RANDBETWEEN(1,28),IF(V2=4,RANDBETWEEN(1,30),IF(V2=6,RANDBETWEEN(1,30),IF(V2=9,RANDBETWEEN(1,30),IF(V2=11,RANDBETWEEN(1,30),RANDBETWEEN(1,31))))))</f>
        <v>30</v>
      </c>
    </row>
    <row r="3" spans="1:23">
      <c r="A3" t="s">
        <v>2</v>
      </c>
      <c r="B3" t="str">
        <f t="shared" ref="B3:B66" ca="1" si="1">_xlfn.CONCAT(INDIRECT(ADDRESS(R3,1,1,1,"valueBase")),INDIRECT(ADDRESS(S3,4,1,1,"valueBase")))</f>
        <v>高藍尚</v>
      </c>
      <c r="C3" t="str">
        <f t="shared" ref="C3:C66" ca="1" si="2">_xlfn.CONCAT(INDIRECT(ADDRESS(R3,2,1,1,"valueBase")),INDIRECT(ADDRESS(S3,5,1,1,"valueBase")))</f>
        <v>ｶﾞｵ ﾗﾝ ｼｬｰﾝ</v>
      </c>
      <c r="D3" t="str">
        <f t="shared" ref="D3:D66" ca="1" si="3">_xlfn.CONCAT(INDIRECT(ADDRESS(R3,3,1,1,"valueBase")),INDIRECT(ADDRESS(S3,6,1,1,"valueBase")))</f>
        <v>Gao Lan Shang</v>
      </c>
      <c r="E3" t="str" cm="1">
        <f t="array" aca="1" ref="E3" ca="1">INDIRECT(ADDRESS(RANDBETWEEN(2,16),7,1,1,"valueBase"))</f>
        <v>女性</v>
      </c>
      <c r="F3" s="5">
        <f t="shared" ref="F3:F66" ca="1" si="4">RANDBETWEEN(21916,NOW() - 6574)</f>
        <v>22663</v>
      </c>
      <c r="G3" s="5">
        <f t="shared" ref="G3:G66" ca="1" si="5">RANDBETWEEN(F3 + 6574,NOW())</f>
        <v>44777</v>
      </c>
      <c r="H3" s="5">
        <f t="shared" ref="H3:H66" ca="1" si="6">G3 + RANDBETWEEN(1,3) * 365</f>
        <v>45872</v>
      </c>
      <c r="I3" t="str">
        <f t="shared" ref="I3:I66" ca="1" si="7">CONCATENATE("0",RANDBETWEEN(8,9),"0","-",RANDBETWEEN(0,9),RANDBETWEEN(0,9),RANDBETWEEN(0,9),RANDBETWEEN(0,9),"-",RANDBETWEEN(0,9),RANDBETWEEN(0,9),RANDBETWEEN(0,9),RANDBETWEEN(0,9))</f>
        <v>080-1705-7741</v>
      </c>
      <c r="J3" t="str">
        <f t="shared" ref="J3:J66" ca="1" si="8">CONCATENATE(SUBSTITUTE(D3," ","_"),"_",SUBSTITUTE(G3,"/","_"),"@outlook.jp.co")</f>
        <v>Gao_Lan_Shang_44777@outlook.jp.co</v>
      </c>
      <c r="K3" t="str">
        <f t="shared" ref="K3:K66" ca="1" si="9">IF(RANDBETWEEN(1,10) &gt; 6,"高級","普通")</f>
        <v>普通</v>
      </c>
      <c r="L3" t="str">
        <f ca="1">IF(RANDBETWEEN(1,10) &gt; 8,"-","有り")</f>
        <v>有り</v>
      </c>
      <c r="M3" t="str">
        <f t="shared" ref="M3:M66" ca="1" si="10">IF(L3 = "有り",IF(K3 = "高級","10%","5%"),"-")</f>
        <v>5%</v>
      </c>
      <c r="N3" t="str">
        <f t="shared" ref="N3:N66" ca="1" si="11">IF(RANDBETWEEN(1,10) &gt; 8,"-","有り")</f>
        <v>有り</v>
      </c>
      <c r="O3">
        <f t="shared" ref="O3:O66" ca="1" si="12">IF(N3 = "有り",RANDBETWEEN(0,1000),"-")</f>
        <v>727</v>
      </c>
      <c r="R3">
        <f t="shared" ref="R3:R66" ca="1" si="13">RANDBETWEEN(2,29)</f>
        <v>16</v>
      </c>
      <c r="S3">
        <f t="shared" ref="S3:S66" ca="1" si="14">RANDBETWEEN(2,331)</f>
        <v>295</v>
      </c>
      <c r="T3">
        <f t="shared" ref="T3:T66" ca="1" si="15">RANDBETWEEN(1970,2010)</f>
        <v>1982</v>
      </c>
      <c r="U3">
        <f t="shared" ref="U3:U66" ca="1" si="16">T3 + RANDBETWEEN(1,12)</f>
        <v>1989</v>
      </c>
      <c r="V3">
        <f t="shared" ref="V3:V66" ca="1" si="17">RANDBETWEEN(1,12)</f>
        <v>9</v>
      </c>
      <c r="W3">
        <f t="shared" ref="W3:W66" ca="1" si="18">IF(V3=2,RANDBETWEEN(1,28),IF(V3=4,RANDBETWEEN(1,30),IF(V3=6,RANDBETWEEN(1,30),IF(V3=9,RANDBETWEEN(1,30),IF(V3=11,RANDBETWEEN(1,30),RANDBETWEEN(1,31))))))</f>
        <v>1</v>
      </c>
    </row>
    <row r="4" spans="1:23">
      <c r="A4" t="s">
        <v>3</v>
      </c>
      <c r="B4" t="str">
        <f t="shared" ca="1" si="1"/>
        <v>張衷閒</v>
      </c>
      <c r="C4" t="str">
        <f t="shared" ca="1" si="2"/>
        <v>ｼﾞｬｰﾝ ｼﾞｮｰﾝ ｼｴﾝ</v>
      </c>
      <c r="D4" t="str">
        <f t="shared" ca="1" si="3"/>
        <v>Zhang Zhong Xian</v>
      </c>
      <c r="E4" t="str" cm="1">
        <f t="array" aca="1" ref="E4" ca="1">INDIRECT(ADDRESS(RANDBETWEEN(2,16),7,1,1,"valueBase"))</f>
        <v>女性</v>
      </c>
      <c r="F4" s="5">
        <f t="shared" ca="1" si="4"/>
        <v>25570</v>
      </c>
      <c r="G4" s="5">
        <f t="shared" ca="1" si="5"/>
        <v>40148</v>
      </c>
      <c r="H4" s="5">
        <f t="shared" ca="1" si="6"/>
        <v>41243</v>
      </c>
      <c r="I4" t="str">
        <f t="shared" ca="1" si="7"/>
        <v>090-5030-9658</v>
      </c>
      <c r="J4" t="str">
        <f t="shared" ca="1" si="8"/>
        <v>Zhang_Zhong_Xian_40148@outlook.jp.co</v>
      </c>
      <c r="K4" t="str">
        <f t="shared" ca="1" si="9"/>
        <v>普通</v>
      </c>
      <c r="L4" t="str">
        <f t="shared" ca="1" si="0"/>
        <v>-</v>
      </c>
      <c r="M4" t="str">
        <f t="shared" ca="1" si="10"/>
        <v>-</v>
      </c>
      <c r="N4" t="str">
        <f t="shared" ca="1" si="11"/>
        <v>有り</v>
      </c>
      <c r="O4">
        <f t="shared" ca="1" si="12"/>
        <v>732</v>
      </c>
      <c r="R4">
        <f t="shared" ca="1" si="13"/>
        <v>4</v>
      </c>
      <c r="S4">
        <f t="shared" ca="1" si="14"/>
        <v>305</v>
      </c>
      <c r="T4">
        <f t="shared" ca="1" si="15"/>
        <v>1997</v>
      </c>
      <c r="U4">
        <f t="shared" ca="1" si="16"/>
        <v>2000</v>
      </c>
      <c r="V4">
        <f t="shared" ca="1" si="17"/>
        <v>5</v>
      </c>
      <c r="W4">
        <f t="shared" ca="1" si="18"/>
        <v>12</v>
      </c>
    </row>
    <row r="5" spans="1:23">
      <c r="A5" t="s">
        <v>4</v>
      </c>
      <c r="B5" t="str">
        <f t="shared" ca="1" si="1"/>
        <v>王濤松</v>
      </c>
      <c r="C5" t="str">
        <f t="shared" ca="1" si="2"/>
        <v>ﾜｰﾝ ﾀｵ ｿｰﾝ</v>
      </c>
      <c r="D5" t="str">
        <f t="shared" ca="1" si="3"/>
        <v>Wang Tao Song</v>
      </c>
      <c r="E5" t="str" cm="1">
        <f t="array" aca="1" ref="E5" ca="1">INDIRECT(ADDRESS(RANDBETWEEN(2,16),7,1,1,"valueBase"))</f>
        <v>女性</v>
      </c>
      <c r="F5" s="5">
        <f t="shared" ca="1" si="4"/>
        <v>24086</v>
      </c>
      <c r="G5" s="5">
        <f t="shared" ca="1" si="5"/>
        <v>42201</v>
      </c>
      <c r="H5" s="5">
        <f t="shared" ca="1" si="6"/>
        <v>43296</v>
      </c>
      <c r="I5" t="str">
        <f t="shared" ca="1" si="7"/>
        <v>080-2393-0087</v>
      </c>
      <c r="J5" t="str">
        <f t="shared" ca="1" si="8"/>
        <v>Wang_Tao_Song_42201@outlook.jp.co</v>
      </c>
      <c r="K5" t="str">
        <f t="shared" ca="1" si="9"/>
        <v>高級</v>
      </c>
      <c r="L5" t="str">
        <f t="shared" ca="1" si="0"/>
        <v>有り</v>
      </c>
      <c r="M5" t="str">
        <f t="shared" ca="1" si="10"/>
        <v>10%</v>
      </c>
      <c r="N5" t="str">
        <f t="shared" ca="1" si="11"/>
        <v>-</v>
      </c>
      <c r="O5" t="str">
        <f t="shared" ca="1" si="12"/>
        <v>-</v>
      </c>
      <c r="R5">
        <f t="shared" ca="1" si="13"/>
        <v>3</v>
      </c>
      <c r="S5">
        <f t="shared" ca="1" si="14"/>
        <v>260</v>
      </c>
      <c r="T5">
        <f t="shared" ca="1" si="15"/>
        <v>1987</v>
      </c>
      <c r="U5">
        <f t="shared" ca="1" si="16"/>
        <v>1993</v>
      </c>
      <c r="V5">
        <f t="shared" ca="1" si="17"/>
        <v>10</v>
      </c>
      <c r="W5">
        <f t="shared" ca="1" si="18"/>
        <v>2</v>
      </c>
    </row>
    <row r="6" spans="1:23">
      <c r="A6" t="s">
        <v>5</v>
      </c>
      <c r="B6" t="str">
        <f t="shared" ca="1" si="1"/>
        <v>謝碧漢</v>
      </c>
      <c r="C6" t="str">
        <f t="shared" ca="1" si="2"/>
        <v>ｼｴ ﾋﾞｰ ﾊﾝ</v>
      </c>
      <c r="D6" t="str">
        <f t="shared" ca="1" si="3"/>
        <v>Xie Bi Han</v>
      </c>
      <c r="E6" t="str" cm="1">
        <f t="array" aca="1" ref="E6" ca="1">INDIRECT(ADDRESS(RANDBETWEEN(2,16),7,1,1,"valueBase"))</f>
        <v>男性</v>
      </c>
      <c r="F6" s="5">
        <f t="shared" ca="1" si="4"/>
        <v>23704</v>
      </c>
      <c r="G6" s="5">
        <f t="shared" ca="1" si="5"/>
        <v>31266</v>
      </c>
      <c r="H6" s="5">
        <f t="shared" ca="1" si="6"/>
        <v>31996</v>
      </c>
      <c r="I6" t="str">
        <f t="shared" ca="1" si="7"/>
        <v>090-7753-4275</v>
      </c>
      <c r="J6" t="str">
        <f t="shared" ca="1" si="8"/>
        <v>Xie_Bi_Han_31266@outlook.jp.co</v>
      </c>
      <c r="K6" t="str">
        <f t="shared" ca="1" si="9"/>
        <v>普通</v>
      </c>
      <c r="L6" t="str">
        <f t="shared" ca="1" si="0"/>
        <v>-</v>
      </c>
      <c r="M6" t="str">
        <f t="shared" ca="1" si="10"/>
        <v>-</v>
      </c>
      <c r="N6" t="str">
        <f t="shared" ca="1" si="11"/>
        <v>有り</v>
      </c>
      <c r="O6">
        <f t="shared" ca="1" si="12"/>
        <v>442</v>
      </c>
      <c r="R6">
        <f t="shared" ca="1" si="13"/>
        <v>25</v>
      </c>
      <c r="S6">
        <f t="shared" ca="1" si="14"/>
        <v>294</v>
      </c>
      <c r="T6">
        <f t="shared" ca="1" si="15"/>
        <v>2010</v>
      </c>
      <c r="U6">
        <f t="shared" ca="1" si="16"/>
        <v>2013</v>
      </c>
      <c r="V6">
        <f t="shared" ca="1" si="17"/>
        <v>1</v>
      </c>
      <c r="W6">
        <f t="shared" ca="1" si="18"/>
        <v>7</v>
      </c>
    </row>
    <row r="7" spans="1:23">
      <c r="A7" t="s">
        <v>6</v>
      </c>
      <c r="B7" t="str">
        <f t="shared" ca="1" si="1"/>
        <v>周聰碩</v>
      </c>
      <c r="C7" t="str">
        <f t="shared" ca="1" si="2"/>
        <v>ｼﾞｮｳ ｯｵｰﾝ ｼｭｵ</v>
      </c>
      <c r="D7" t="str">
        <f t="shared" ca="1" si="3"/>
        <v>Zhou Cong Shuo</v>
      </c>
      <c r="E7" t="str" cm="1">
        <f t="array" aca="1" ref="E7" ca="1">INDIRECT(ADDRESS(RANDBETWEEN(2,16),7,1,1,"valueBase"))</f>
        <v>女性</v>
      </c>
      <c r="F7" s="5">
        <f t="shared" ca="1" si="4"/>
        <v>24302</v>
      </c>
      <c r="G7" s="5">
        <f t="shared" ca="1" si="5"/>
        <v>36961</v>
      </c>
      <c r="H7" s="5">
        <f t="shared" ca="1" si="6"/>
        <v>37691</v>
      </c>
      <c r="I7" t="str">
        <f t="shared" ca="1" si="7"/>
        <v>090-3767-9553</v>
      </c>
      <c r="J7" t="str">
        <f t="shared" ca="1" si="8"/>
        <v>Zhou_Cong_Shuo_36961@outlook.jp.co</v>
      </c>
      <c r="K7" t="str">
        <f t="shared" ca="1" si="9"/>
        <v>普通</v>
      </c>
      <c r="L7" t="str">
        <f t="shared" ca="1" si="0"/>
        <v>-</v>
      </c>
      <c r="M7" t="str">
        <f t="shared" ca="1" si="10"/>
        <v>-</v>
      </c>
      <c r="N7" t="str">
        <f t="shared" ca="1" si="11"/>
        <v>有り</v>
      </c>
      <c r="O7">
        <f t="shared" ca="1" si="12"/>
        <v>276</v>
      </c>
      <c r="R7">
        <f t="shared" ca="1" si="13"/>
        <v>10</v>
      </c>
      <c r="S7">
        <f t="shared" ca="1" si="14"/>
        <v>40</v>
      </c>
      <c r="T7">
        <f t="shared" ca="1" si="15"/>
        <v>2004</v>
      </c>
      <c r="U7">
        <f t="shared" ca="1" si="16"/>
        <v>2007</v>
      </c>
      <c r="V7">
        <f t="shared" ca="1" si="17"/>
        <v>8</v>
      </c>
      <c r="W7">
        <f t="shared" ca="1" si="18"/>
        <v>5</v>
      </c>
    </row>
    <row r="8" spans="1:23">
      <c r="A8" t="s">
        <v>7</v>
      </c>
      <c r="B8" t="str">
        <f t="shared" ca="1" si="1"/>
        <v>陳珍麥</v>
      </c>
      <c r="C8" t="str">
        <f t="shared" ca="1" si="2"/>
        <v>ﾁｪﾝ ｼﾞｪﾝ ﾏｲ</v>
      </c>
      <c r="D8" t="str">
        <f t="shared" ca="1" si="3"/>
        <v>Chen Zhen Mai</v>
      </c>
      <c r="E8" t="str" cm="1">
        <f t="array" aca="1" ref="E8" ca="1">INDIRECT(ADDRESS(RANDBETWEEN(2,16),7,1,1,"valueBase"))</f>
        <v>男性</v>
      </c>
      <c r="F8" s="5">
        <f t="shared" ca="1" si="4"/>
        <v>38025</v>
      </c>
      <c r="G8" s="5">
        <f t="shared" ca="1" si="5"/>
        <v>45278</v>
      </c>
      <c r="H8" s="5">
        <f t="shared" ca="1" si="6"/>
        <v>46008</v>
      </c>
      <c r="I8" t="str">
        <f t="shared" ca="1" si="7"/>
        <v>090-3974-0823</v>
      </c>
      <c r="J8" t="str">
        <f t="shared" ca="1" si="8"/>
        <v>Chen_Zhen_Mai_45278@outlook.jp.co</v>
      </c>
      <c r="K8" t="str">
        <f t="shared" ca="1" si="9"/>
        <v>普通</v>
      </c>
      <c r="L8" t="str">
        <f t="shared" ca="1" si="0"/>
        <v>有り</v>
      </c>
      <c r="M8" t="str">
        <f t="shared" ca="1" si="10"/>
        <v>5%</v>
      </c>
      <c r="N8" t="str">
        <f t="shared" ca="1" si="11"/>
        <v>有り</v>
      </c>
      <c r="O8">
        <f t="shared" ca="1" si="12"/>
        <v>88</v>
      </c>
      <c r="R8">
        <f t="shared" ca="1" si="13"/>
        <v>6</v>
      </c>
      <c r="S8">
        <f t="shared" ca="1" si="14"/>
        <v>71</v>
      </c>
      <c r="T8">
        <f t="shared" ca="1" si="15"/>
        <v>2007</v>
      </c>
      <c r="U8">
        <f t="shared" ca="1" si="16"/>
        <v>2016</v>
      </c>
      <c r="V8">
        <f t="shared" ca="1" si="17"/>
        <v>5</v>
      </c>
      <c r="W8">
        <f t="shared" ca="1" si="18"/>
        <v>30</v>
      </c>
    </row>
    <row r="9" spans="1:23">
      <c r="A9" t="s">
        <v>8</v>
      </c>
      <c r="B9" t="str">
        <f t="shared" ca="1" si="1"/>
        <v>李藍尚</v>
      </c>
      <c r="C9" t="str">
        <f t="shared" ca="1" si="2"/>
        <v>ﾘｰ ﾗﾝ ｼｬｰﾝ</v>
      </c>
      <c r="D9" t="str">
        <f t="shared" ca="1" si="3"/>
        <v>Li Lan Shang</v>
      </c>
      <c r="E9" t="str" cm="1">
        <f t="array" aca="1" ref="E9" ca="1">INDIRECT(ADDRESS(RANDBETWEEN(2,16),7,1,1,"valueBase"))</f>
        <v>女性</v>
      </c>
      <c r="F9" s="5">
        <f t="shared" ca="1" si="4"/>
        <v>35083</v>
      </c>
      <c r="G9" s="5">
        <f t="shared" ca="1" si="5"/>
        <v>45414</v>
      </c>
      <c r="H9" s="5">
        <f t="shared" ca="1" si="6"/>
        <v>46144</v>
      </c>
      <c r="I9" t="str">
        <f t="shared" ca="1" si="7"/>
        <v>090-7108-4724</v>
      </c>
      <c r="J9" t="str">
        <f t="shared" ca="1" si="8"/>
        <v>Li_Lan_Shang_45414@outlook.jp.co</v>
      </c>
      <c r="K9" t="str">
        <f t="shared" ca="1" si="9"/>
        <v>高級</v>
      </c>
      <c r="L9" t="str">
        <f t="shared" ca="1" si="0"/>
        <v>有り</v>
      </c>
      <c r="M9" t="str">
        <f t="shared" ca="1" si="10"/>
        <v>10%</v>
      </c>
      <c r="N9" t="str">
        <f t="shared" ca="1" si="11"/>
        <v>有り</v>
      </c>
      <c r="O9">
        <f t="shared" ca="1" si="12"/>
        <v>422</v>
      </c>
      <c r="R9">
        <f t="shared" ca="1" si="13"/>
        <v>2</v>
      </c>
      <c r="S9">
        <f t="shared" ca="1" si="14"/>
        <v>295</v>
      </c>
      <c r="T9">
        <f t="shared" ca="1" si="15"/>
        <v>1979</v>
      </c>
      <c r="U9">
        <f t="shared" ca="1" si="16"/>
        <v>1987</v>
      </c>
      <c r="V9">
        <f t="shared" ca="1" si="17"/>
        <v>4</v>
      </c>
      <c r="W9">
        <f t="shared" ca="1" si="18"/>
        <v>2</v>
      </c>
    </row>
    <row r="10" spans="1:23">
      <c r="A10" t="s">
        <v>9</v>
      </c>
      <c r="B10" t="str">
        <f t="shared" ca="1" si="1"/>
        <v>趙彤存</v>
      </c>
      <c r="C10" t="str">
        <f t="shared" ca="1" si="2"/>
        <v>ｼﾞｬｵ ﾄｰﾝ ﾂｩﾝ</v>
      </c>
      <c r="D10" t="str">
        <f t="shared" ca="1" si="3"/>
        <v>Zhao Tong Cun</v>
      </c>
      <c r="E10" t="str" cm="1">
        <f t="array" aca="1" ref="E10" ca="1">INDIRECT(ADDRESS(RANDBETWEEN(2,16),7,1,1,"valueBase"))</f>
        <v>男性</v>
      </c>
      <c r="F10" s="5">
        <f t="shared" ca="1" si="4"/>
        <v>32551</v>
      </c>
      <c r="G10" s="5">
        <f t="shared" ca="1" si="5"/>
        <v>41774</v>
      </c>
      <c r="H10" s="5">
        <f t="shared" ca="1" si="6"/>
        <v>42504</v>
      </c>
      <c r="I10" t="str">
        <f t="shared" ca="1" si="7"/>
        <v>090-5842-0237</v>
      </c>
      <c r="J10" t="str">
        <f t="shared" ca="1" si="8"/>
        <v>Zhao_Tong_Cun_41774@outlook.jp.co</v>
      </c>
      <c r="K10" t="str">
        <f t="shared" ca="1" si="9"/>
        <v>普通</v>
      </c>
      <c r="L10" t="str">
        <f t="shared" ca="1" si="0"/>
        <v>有り</v>
      </c>
      <c r="M10" t="str">
        <f t="shared" ca="1" si="10"/>
        <v>5%</v>
      </c>
      <c r="N10" t="str">
        <f t="shared" ca="1" si="11"/>
        <v>-</v>
      </c>
      <c r="O10" t="str">
        <f t="shared" ca="1" si="12"/>
        <v>-</v>
      </c>
      <c r="R10">
        <f t="shared" ca="1" si="13"/>
        <v>8</v>
      </c>
      <c r="S10">
        <f t="shared" ca="1" si="14"/>
        <v>187</v>
      </c>
      <c r="T10">
        <f t="shared" ca="1" si="15"/>
        <v>1971</v>
      </c>
      <c r="U10">
        <f t="shared" ca="1" si="16"/>
        <v>1978</v>
      </c>
      <c r="V10">
        <f t="shared" ca="1" si="17"/>
        <v>3</v>
      </c>
      <c r="W10">
        <f t="shared" ca="1" si="18"/>
        <v>21</v>
      </c>
    </row>
    <row r="11" spans="1:23">
      <c r="A11" t="s">
        <v>10</v>
      </c>
      <c r="B11" t="str">
        <f t="shared" ca="1" si="1"/>
        <v>朱都耿</v>
      </c>
      <c r="C11" t="str">
        <f t="shared" ca="1" si="2"/>
        <v>ｼﾞｭｳ ﾄﾞｳ ｸﾞｵﾝ</v>
      </c>
      <c r="D11" t="str">
        <f t="shared" ca="1" si="3"/>
        <v>Zhu Dou Geng</v>
      </c>
      <c r="E11" t="str" cm="1">
        <f t="array" aca="1" ref="E11" ca="1">INDIRECT(ADDRESS(RANDBETWEEN(2,16),7,1,1,"valueBase"))</f>
        <v>男性</v>
      </c>
      <c r="F11" s="5">
        <f t="shared" ca="1" si="4"/>
        <v>34771</v>
      </c>
      <c r="G11" s="5">
        <f t="shared" ca="1" si="5"/>
        <v>41473</v>
      </c>
      <c r="H11" s="5">
        <f t="shared" ca="1" si="6"/>
        <v>42203</v>
      </c>
      <c r="I11" t="str">
        <f t="shared" ca="1" si="7"/>
        <v>080-8767-3369</v>
      </c>
      <c r="J11" t="str">
        <f t="shared" ca="1" si="8"/>
        <v>Zhu_Dou Geng_41473@outlook.jp.co</v>
      </c>
      <c r="K11" t="str">
        <f t="shared" ca="1" si="9"/>
        <v>高級</v>
      </c>
      <c r="L11" t="str">
        <f t="shared" ca="1" si="0"/>
        <v>-</v>
      </c>
      <c r="M11" t="str">
        <f t="shared" ca="1" si="10"/>
        <v>-</v>
      </c>
      <c r="N11" t="str">
        <f t="shared" ca="1" si="11"/>
        <v>有り</v>
      </c>
      <c r="O11">
        <f t="shared" ca="1" si="12"/>
        <v>851</v>
      </c>
      <c r="R11">
        <f t="shared" ca="1" si="13"/>
        <v>15</v>
      </c>
      <c r="S11">
        <f t="shared" ca="1" si="14"/>
        <v>82</v>
      </c>
      <c r="T11">
        <f t="shared" ca="1" si="15"/>
        <v>1976</v>
      </c>
      <c r="U11">
        <f t="shared" ca="1" si="16"/>
        <v>1982</v>
      </c>
      <c r="V11">
        <f t="shared" ca="1" si="17"/>
        <v>8</v>
      </c>
      <c r="W11">
        <f t="shared" ca="1" si="18"/>
        <v>11</v>
      </c>
    </row>
    <row r="12" spans="1:23">
      <c r="A12" t="s">
        <v>11</v>
      </c>
      <c r="B12" t="str">
        <f t="shared" ca="1" si="1"/>
        <v>張謙毅</v>
      </c>
      <c r="C12" t="str">
        <f t="shared" ca="1" si="2"/>
        <v>ｼﾞｬｰﾝ ﾁｴﾝ ｲｰ</v>
      </c>
      <c r="D12" t="str">
        <f t="shared" ca="1" si="3"/>
        <v>Zhang Qian Yi</v>
      </c>
      <c r="E12" t="str" cm="1">
        <f t="array" aca="1" ref="E12" ca="1">INDIRECT(ADDRESS(RANDBETWEEN(2,16),7,1,1,"valueBase"))</f>
        <v>男性</v>
      </c>
      <c r="F12" s="5">
        <f t="shared" ca="1" si="4"/>
        <v>27407</v>
      </c>
      <c r="G12" s="5">
        <f t="shared" ca="1" si="5"/>
        <v>37441</v>
      </c>
      <c r="H12" s="5">
        <f t="shared" ca="1" si="6"/>
        <v>38171</v>
      </c>
      <c r="I12" t="str">
        <f t="shared" ca="1" si="7"/>
        <v>080-7448-7090</v>
      </c>
      <c r="J12" t="str">
        <f t="shared" ca="1" si="8"/>
        <v>Zhang_Qian_Yi_37441@outlook.jp.co</v>
      </c>
      <c r="K12" t="str">
        <f t="shared" ca="1" si="9"/>
        <v>高級</v>
      </c>
      <c r="L12" t="str">
        <f t="shared" ca="1" si="0"/>
        <v>有り</v>
      </c>
      <c r="M12" t="str">
        <f t="shared" ca="1" si="10"/>
        <v>10%</v>
      </c>
      <c r="N12" t="str">
        <f t="shared" ca="1" si="11"/>
        <v>有り</v>
      </c>
      <c r="O12">
        <f t="shared" ca="1" si="12"/>
        <v>756</v>
      </c>
      <c r="R12">
        <f t="shared" ca="1" si="13"/>
        <v>4</v>
      </c>
      <c r="S12">
        <f t="shared" ca="1" si="14"/>
        <v>99</v>
      </c>
      <c r="T12">
        <f t="shared" ca="1" si="15"/>
        <v>2003</v>
      </c>
      <c r="U12">
        <f t="shared" ca="1" si="16"/>
        <v>2004</v>
      </c>
      <c r="V12">
        <f t="shared" ca="1" si="17"/>
        <v>4</v>
      </c>
      <c r="W12">
        <f t="shared" ca="1" si="18"/>
        <v>10</v>
      </c>
    </row>
    <row r="13" spans="1:23">
      <c r="A13" t="s">
        <v>12</v>
      </c>
      <c r="B13" t="str">
        <f t="shared" ca="1" si="1"/>
        <v>朱物頃</v>
      </c>
      <c r="C13" t="str">
        <f t="shared" ca="1" si="2"/>
        <v>ｼﾞｭｳ ｳｰ ﾁｰﾝ</v>
      </c>
      <c r="D13" t="str">
        <f t="shared" ca="1" si="3"/>
        <v>Zhu Wu Qing</v>
      </c>
      <c r="E13" t="str" cm="1">
        <f t="array" aca="1" ref="E13" ca="1">INDIRECT(ADDRESS(RANDBETWEEN(2,16),7,1,1,"valueBase"))</f>
        <v>男性</v>
      </c>
      <c r="F13" s="5">
        <f t="shared" ca="1" si="4"/>
        <v>37877</v>
      </c>
      <c r="G13" s="5">
        <f t="shared" ca="1" si="5"/>
        <v>45393</v>
      </c>
      <c r="H13" s="5">
        <f t="shared" ca="1" si="6"/>
        <v>45758</v>
      </c>
      <c r="I13" t="str">
        <f t="shared" ca="1" si="7"/>
        <v>090-7874-7018</v>
      </c>
      <c r="J13" t="str">
        <f t="shared" ca="1" si="8"/>
        <v>Zhu_Wu_Qing_45393@outlook.jp.co</v>
      </c>
      <c r="K13" t="str">
        <f t="shared" ca="1" si="9"/>
        <v>普通</v>
      </c>
      <c r="L13" t="str">
        <f t="shared" ca="1" si="0"/>
        <v>有り</v>
      </c>
      <c r="M13" t="str">
        <f t="shared" ca="1" si="10"/>
        <v>5%</v>
      </c>
      <c r="N13" t="str">
        <f t="shared" ca="1" si="11"/>
        <v>有り</v>
      </c>
      <c r="O13">
        <f t="shared" ca="1" si="12"/>
        <v>518</v>
      </c>
      <c r="R13">
        <f t="shared" ca="1" si="13"/>
        <v>15</v>
      </c>
      <c r="S13">
        <f t="shared" ca="1" si="14"/>
        <v>230</v>
      </c>
      <c r="T13">
        <f t="shared" ca="1" si="15"/>
        <v>2004</v>
      </c>
      <c r="U13">
        <f t="shared" ca="1" si="16"/>
        <v>2016</v>
      </c>
      <c r="V13">
        <f t="shared" ca="1" si="17"/>
        <v>4</v>
      </c>
      <c r="W13">
        <f t="shared" ca="1" si="18"/>
        <v>4</v>
      </c>
    </row>
    <row r="14" spans="1:23">
      <c r="A14" t="s">
        <v>13</v>
      </c>
      <c r="B14" t="str">
        <f t="shared" ca="1" si="1"/>
        <v>謝永繼</v>
      </c>
      <c r="C14" t="str">
        <f t="shared" ca="1" si="2"/>
        <v>ｼｴ ﾖｰﾝ ｼﾞｰ</v>
      </c>
      <c r="D14" t="str">
        <f t="shared" ca="1" si="3"/>
        <v>Xie Yong Ji</v>
      </c>
      <c r="E14" t="str" cm="1">
        <f t="array" aca="1" ref="E14" ca="1">INDIRECT(ADDRESS(RANDBETWEEN(2,16),7,1,1,"valueBase"))</f>
        <v>男性</v>
      </c>
      <c r="F14" s="5">
        <f t="shared" ca="1" si="4"/>
        <v>31350</v>
      </c>
      <c r="G14" s="5">
        <f t="shared" ca="1" si="5"/>
        <v>43965</v>
      </c>
      <c r="H14" s="5">
        <f t="shared" ca="1" si="6"/>
        <v>45060</v>
      </c>
      <c r="I14" t="str">
        <f t="shared" ca="1" si="7"/>
        <v>090-4657-7338</v>
      </c>
      <c r="J14" t="str">
        <f t="shared" ca="1" si="8"/>
        <v>Xie_Yong_Ji_43965@outlook.jp.co</v>
      </c>
      <c r="K14" t="str">
        <f t="shared" ca="1" si="9"/>
        <v>高級</v>
      </c>
      <c r="L14" t="str">
        <f t="shared" ca="1" si="0"/>
        <v>有り</v>
      </c>
      <c r="M14" t="str">
        <f t="shared" ca="1" si="10"/>
        <v>10%</v>
      </c>
      <c r="N14" t="str">
        <f t="shared" ca="1" si="11"/>
        <v>有り</v>
      </c>
      <c r="O14">
        <f t="shared" ca="1" si="12"/>
        <v>708</v>
      </c>
      <c r="R14">
        <f t="shared" ca="1" si="13"/>
        <v>25</v>
      </c>
      <c r="S14">
        <f t="shared" ca="1" si="14"/>
        <v>104</v>
      </c>
      <c r="T14">
        <f t="shared" ca="1" si="15"/>
        <v>1993</v>
      </c>
      <c r="U14">
        <f t="shared" ca="1" si="16"/>
        <v>1999</v>
      </c>
      <c r="V14">
        <f t="shared" ca="1" si="17"/>
        <v>7</v>
      </c>
      <c r="W14">
        <f t="shared" ca="1" si="18"/>
        <v>15</v>
      </c>
    </row>
    <row r="15" spans="1:23">
      <c r="A15" t="s">
        <v>14</v>
      </c>
      <c r="B15" t="str">
        <f t="shared" ca="1" si="1"/>
        <v>王冠生</v>
      </c>
      <c r="C15" t="str">
        <f t="shared" ca="1" si="2"/>
        <v>ﾜｰﾝ ｸﾞﾜﾝ ｼｭﾖﾝ</v>
      </c>
      <c r="D15" t="str">
        <f t="shared" ca="1" si="3"/>
        <v>Wang Guan Sheng</v>
      </c>
      <c r="E15" t="str" cm="1">
        <f t="array" aca="1" ref="E15" ca="1">INDIRECT(ADDRESS(RANDBETWEEN(2,16),7,1,1,"valueBase"))</f>
        <v>男性</v>
      </c>
      <c r="F15" s="5">
        <f t="shared" ca="1" si="4"/>
        <v>23048</v>
      </c>
      <c r="G15" s="5">
        <f t="shared" ca="1" si="5"/>
        <v>39707</v>
      </c>
      <c r="H15" s="5">
        <f t="shared" ca="1" si="6"/>
        <v>40437</v>
      </c>
      <c r="I15" t="str">
        <f t="shared" ca="1" si="7"/>
        <v>080-6359-9990</v>
      </c>
      <c r="J15" t="str">
        <f t="shared" ca="1" si="8"/>
        <v>Wang_Guan_Sheng_39707@outlook.jp.co</v>
      </c>
      <c r="K15" t="str">
        <f t="shared" ca="1" si="9"/>
        <v>高級</v>
      </c>
      <c r="L15" t="str">
        <f t="shared" ca="1" si="0"/>
        <v>-</v>
      </c>
      <c r="M15" t="str">
        <f t="shared" ca="1" si="10"/>
        <v>-</v>
      </c>
      <c r="N15" t="str">
        <f t="shared" ca="1" si="11"/>
        <v>有り</v>
      </c>
      <c r="O15">
        <f t="shared" ca="1" si="12"/>
        <v>150</v>
      </c>
      <c r="R15">
        <f t="shared" ca="1" si="13"/>
        <v>3</v>
      </c>
      <c r="S15">
        <f t="shared" ca="1" si="14"/>
        <v>115</v>
      </c>
      <c r="T15">
        <f t="shared" ca="1" si="15"/>
        <v>1998</v>
      </c>
      <c r="U15">
        <f t="shared" ca="1" si="16"/>
        <v>2007</v>
      </c>
      <c r="V15">
        <f t="shared" ca="1" si="17"/>
        <v>10</v>
      </c>
      <c r="W15">
        <f t="shared" ca="1" si="18"/>
        <v>22</v>
      </c>
    </row>
    <row r="16" spans="1:23">
      <c r="A16" t="s">
        <v>15</v>
      </c>
      <c r="B16" t="str">
        <f t="shared" ca="1" si="1"/>
        <v>張霖瑋</v>
      </c>
      <c r="C16" t="str">
        <f t="shared" ca="1" si="2"/>
        <v>ｼﾞｬｰﾝ ﾘﾝ ｳｴｲ</v>
      </c>
      <c r="D16" t="str">
        <f t="shared" ca="1" si="3"/>
        <v>Zhang Lin Wei</v>
      </c>
      <c r="E16" t="str" cm="1">
        <f t="array" aca="1" ref="E16" ca="1">INDIRECT(ADDRESS(RANDBETWEEN(2,16),7,1,1,"valueBase"))</f>
        <v>-</v>
      </c>
      <c r="F16" s="5">
        <f t="shared" ca="1" si="4"/>
        <v>33066</v>
      </c>
      <c r="G16" s="5">
        <f t="shared" ca="1" si="5"/>
        <v>41365</v>
      </c>
      <c r="H16" s="5">
        <f t="shared" ca="1" si="6"/>
        <v>42460</v>
      </c>
      <c r="I16" t="str">
        <f t="shared" ca="1" si="7"/>
        <v>090-3723-6810</v>
      </c>
      <c r="J16" t="str">
        <f t="shared" ca="1" si="8"/>
        <v>Zhang_Lin_Wei_41365@outlook.jp.co</v>
      </c>
      <c r="K16" t="str">
        <f t="shared" ca="1" si="9"/>
        <v>普通</v>
      </c>
      <c r="L16" t="str">
        <f t="shared" ca="1" si="0"/>
        <v>有り</v>
      </c>
      <c r="M16" t="str">
        <f t="shared" ca="1" si="10"/>
        <v>5%</v>
      </c>
      <c r="N16" t="str">
        <f t="shared" ca="1" si="11"/>
        <v>有り</v>
      </c>
      <c r="O16">
        <f t="shared" ca="1" si="12"/>
        <v>541</v>
      </c>
      <c r="R16">
        <f t="shared" ca="1" si="13"/>
        <v>4</v>
      </c>
      <c r="S16">
        <f t="shared" ca="1" si="14"/>
        <v>128</v>
      </c>
      <c r="T16">
        <f t="shared" ca="1" si="15"/>
        <v>1983</v>
      </c>
      <c r="U16">
        <f t="shared" ca="1" si="16"/>
        <v>1990</v>
      </c>
      <c r="V16">
        <f t="shared" ca="1" si="17"/>
        <v>6</v>
      </c>
      <c r="W16">
        <f t="shared" ca="1" si="18"/>
        <v>19</v>
      </c>
    </row>
    <row r="17" spans="1:23">
      <c r="A17" t="s">
        <v>16</v>
      </c>
      <c r="B17" t="str">
        <f t="shared" ca="1" si="1"/>
        <v>胡憶捷</v>
      </c>
      <c r="C17" t="str">
        <f t="shared" ca="1" si="2"/>
        <v>ﾎｩ ｲｰ ｼﾞｴ</v>
      </c>
      <c r="D17" t="str">
        <f t="shared" ca="1" si="3"/>
        <v>Hu Yi Jie</v>
      </c>
      <c r="E17" t="str" cm="1">
        <f t="array" aca="1" ref="E17" ca="1">INDIRECT(ADDRESS(RANDBETWEEN(2,16),7,1,1,"valueBase"))</f>
        <v>女性</v>
      </c>
      <c r="F17" s="5">
        <f t="shared" ca="1" si="4"/>
        <v>32716</v>
      </c>
      <c r="G17" s="5">
        <f t="shared" ca="1" si="5"/>
        <v>39623</v>
      </c>
      <c r="H17" s="5">
        <f t="shared" ca="1" si="6"/>
        <v>40353</v>
      </c>
      <c r="I17" t="str">
        <f t="shared" ca="1" si="7"/>
        <v>080-0888-7755</v>
      </c>
      <c r="J17" t="str">
        <f t="shared" ca="1" si="8"/>
        <v>Hu_Yi_Jie_39623@outlook.jp.co</v>
      </c>
      <c r="K17" t="str">
        <f t="shared" ca="1" si="9"/>
        <v>高級</v>
      </c>
      <c r="L17" t="str">
        <f t="shared" ca="1" si="0"/>
        <v>-</v>
      </c>
      <c r="M17" t="str">
        <f t="shared" ca="1" si="10"/>
        <v>-</v>
      </c>
      <c r="N17" t="str">
        <f t="shared" ca="1" si="11"/>
        <v>有り</v>
      </c>
      <c r="O17">
        <f t="shared" ca="1" si="12"/>
        <v>556</v>
      </c>
      <c r="R17">
        <f t="shared" ca="1" si="13"/>
        <v>14</v>
      </c>
      <c r="S17">
        <f t="shared" ca="1" si="14"/>
        <v>98</v>
      </c>
      <c r="T17">
        <f t="shared" ca="1" si="15"/>
        <v>1975</v>
      </c>
      <c r="U17">
        <f t="shared" ca="1" si="16"/>
        <v>1985</v>
      </c>
      <c r="V17">
        <f t="shared" ca="1" si="17"/>
        <v>4</v>
      </c>
      <c r="W17">
        <f t="shared" ca="1" si="18"/>
        <v>3</v>
      </c>
    </row>
    <row r="18" spans="1:23">
      <c r="A18" t="s">
        <v>17</v>
      </c>
      <c r="B18" t="str">
        <f t="shared" ca="1" si="1"/>
        <v>陳台亭</v>
      </c>
      <c r="C18" t="str">
        <f t="shared" ca="1" si="2"/>
        <v>ﾁｪﾝ ﾀｲ ﾃｨｰﾝ</v>
      </c>
      <c r="D18" t="str">
        <f t="shared" ca="1" si="3"/>
        <v>Chen Tai Ting</v>
      </c>
      <c r="E18" t="str" cm="1">
        <f t="array" aca="1" ref="E18" ca="1">INDIRECT(ADDRESS(RANDBETWEEN(2,16),7,1,1,"valueBase"))</f>
        <v>男性</v>
      </c>
      <c r="F18" s="5">
        <f t="shared" ca="1" si="4"/>
        <v>23180</v>
      </c>
      <c r="G18" s="5">
        <f t="shared" ca="1" si="5"/>
        <v>43555</v>
      </c>
      <c r="H18" s="5">
        <f t="shared" ca="1" si="6"/>
        <v>44650</v>
      </c>
      <c r="I18" t="str">
        <f t="shared" ca="1" si="7"/>
        <v>080-7650-6825</v>
      </c>
      <c r="J18" t="str">
        <f t="shared" ca="1" si="8"/>
        <v>Chen_Tai_Ting_43555@outlook.jp.co</v>
      </c>
      <c r="K18" t="str">
        <f t="shared" ca="1" si="9"/>
        <v>普通</v>
      </c>
      <c r="L18" t="str">
        <f t="shared" ca="1" si="0"/>
        <v>有り</v>
      </c>
      <c r="M18" t="str">
        <f t="shared" ca="1" si="10"/>
        <v>5%</v>
      </c>
      <c r="N18" t="str">
        <f t="shared" ca="1" si="11"/>
        <v>有り</v>
      </c>
      <c r="O18">
        <f t="shared" ca="1" si="12"/>
        <v>277</v>
      </c>
      <c r="R18">
        <f t="shared" ca="1" si="13"/>
        <v>6</v>
      </c>
      <c r="S18">
        <f t="shared" ca="1" si="14"/>
        <v>283</v>
      </c>
      <c r="T18">
        <f t="shared" ca="1" si="15"/>
        <v>2000</v>
      </c>
      <c r="U18">
        <f t="shared" ca="1" si="16"/>
        <v>2006</v>
      </c>
      <c r="V18">
        <f t="shared" ca="1" si="17"/>
        <v>8</v>
      </c>
      <c r="W18">
        <f t="shared" ca="1" si="18"/>
        <v>9</v>
      </c>
    </row>
    <row r="19" spans="1:23">
      <c r="A19" t="s">
        <v>18</v>
      </c>
      <c r="B19" t="str">
        <f t="shared" ca="1" si="1"/>
        <v>吳冠俊</v>
      </c>
      <c r="C19" t="str">
        <f t="shared" ca="1" si="2"/>
        <v>ｳｰ ｸﾞﾜﾝ ｼﾞｭｲﾝ</v>
      </c>
      <c r="D19" t="str">
        <f t="shared" ca="1" si="3"/>
        <v>Wu Guan Jun</v>
      </c>
      <c r="E19" t="str" cm="1">
        <f t="array" aca="1" ref="E19" ca="1">INDIRECT(ADDRESS(RANDBETWEEN(2,16),7,1,1,"valueBase"))</f>
        <v>女性</v>
      </c>
      <c r="F19" s="5">
        <f t="shared" ca="1" si="4"/>
        <v>36588</v>
      </c>
      <c r="G19" s="5">
        <f t="shared" ca="1" si="5"/>
        <v>43816</v>
      </c>
      <c r="H19" s="5">
        <f t="shared" ca="1" si="6"/>
        <v>44181</v>
      </c>
      <c r="I19" t="str">
        <f t="shared" ca="1" si="7"/>
        <v>080-5598-9168</v>
      </c>
      <c r="J19" t="str">
        <f t="shared" ca="1" si="8"/>
        <v>Wu_Guan_Jun_43816@outlook.jp.co</v>
      </c>
      <c r="K19" t="str">
        <f t="shared" ca="1" si="9"/>
        <v>普通</v>
      </c>
      <c r="L19" t="str">
        <f t="shared" ca="1" si="0"/>
        <v>有り</v>
      </c>
      <c r="M19" t="str">
        <f t="shared" ca="1" si="10"/>
        <v>5%</v>
      </c>
      <c r="N19" t="str">
        <f t="shared" ca="1" si="11"/>
        <v>-</v>
      </c>
      <c r="O19" t="str">
        <f t="shared" ca="1" si="12"/>
        <v>-</v>
      </c>
      <c r="R19">
        <f t="shared" ca="1" si="13"/>
        <v>11</v>
      </c>
      <c r="S19">
        <f t="shared" ca="1" si="14"/>
        <v>291</v>
      </c>
      <c r="T19">
        <f t="shared" ca="1" si="15"/>
        <v>1970</v>
      </c>
      <c r="U19">
        <f t="shared" ca="1" si="16"/>
        <v>1980</v>
      </c>
      <c r="V19">
        <f t="shared" ca="1" si="17"/>
        <v>7</v>
      </c>
      <c r="W19">
        <f t="shared" ca="1" si="18"/>
        <v>2</v>
      </c>
    </row>
    <row r="20" spans="1:23">
      <c r="A20" t="s">
        <v>19</v>
      </c>
      <c r="B20" t="str">
        <f t="shared" ca="1" si="1"/>
        <v>陳領含</v>
      </c>
      <c r="C20" t="str">
        <f t="shared" ca="1" si="2"/>
        <v>ﾁｪﾝ ﾘｰﾝ ﾊﾝ</v>
      </c>
      <c r="D20" t="str">
        <f t="shared" ca="1" si="3"/>
        <v>Chen Ling Han</v>
      </c>
      <c r="E20" t="str" cm="1">
        <f t="array" aca="1" ref="E20" ca="1">INDIRECT(ADDRESS(RANDBETWEEN(2,16),7,1,1,"valueBase"))</f>
        <v>女性</v>
      </c>
      <c r="F20" s="5">
        <f t="shared" ca="1" si="4"/>
        <v>37465</v>
      </c>
      <c r="G20" s="5">
        <f t="shared" ca="1" si="5"/>
        <v>44280</v>
      </c>
      <c r="H20" s="5">
        <f t="shared" ca="1" si="6"/>
        <v>45010</v>
      </c>
      <c r="I20" t="str">
        <f t="shared" ca="1" si="7"/>
        <v>080-8787-3580</v>
      </c>
      <c r="J20" t="str">
        <f t="shared" ca="1" si="8"/>
        <v>Chen_Ling_Han_44280@outlook.jp.co</v>
      </c>
      <c r="K20" t="str">
        <f t="shared" ca="1" si="9"/>
        <v>普通</v>
      </c>
      <c r="L20" t="str">
        <f t="shared" ca="1" si="0"/>
        <v>有り</v>
      </c>
      <c r="M20" t="str">
        <f t="shared" ca="1" si="10"/>
        <v>5%</v>
      </c>
      <c r="N20" t="str">
        <f t="shared" ca="1" si="11"/>
        <v>有り</v>
      </c>
      <c r="O20">
        <f t="shared" ca="1" si="12"/>
        <v>286</v>
      </c>
      <c r="R20">
        <f t="shared" ca="1" si="13"/>
        <v>6</v>
      </c>
      <c r="S20">
        <f t="shared" ca="1" si="14"/>
        <v>329</v>
      </c>
      <c r="T20">
        <f t="shared" ca="1" si="15"/>
        <v>1992</v>
      </c>
      <c r="U20">
        <f t="shared" ca="1" si="16"/>
        <v>1999</v>
      </c>
      <c r="V20">
        <f t="shared" ca="1" si="17"/>
        <v>1</v>
      </c>
      <c r="W20">
        <f t="shared" ca="1" si="18"/>
        <v>19</v>
      </c>
    </row>
    <row r="21" spans="1:23">
      <c r="A21" t="s">
        <v>20</v>
      </c>
      <c r="B21" t="str">
        <f t="shared" ca="1" si="1"/>
        <v>王晟創</v>
      </c>
      <c r="C21" t="str">
        <f t="shared" ca="1" si="2"/>
        <v>ﾜｰﾝ ｼｭﾖﾝ ﾁｭﾜｰﾝ</v>
      </c>
      <c r="D21" t="str">
        <f t="shared" ca="1" si="3"/>
        <v>Wang Sheng Chuang</v>
      </c>
      <c r="E21" t="str" cm="1">
        <f t="array" aca="1" ref="E21" ca="1">INDIRECT(ADDRESS(RANDBETWEEN(2,16),7,1,1,"valueBase"))</f>
        <v>女性</v>
      </c>
      <c r="F21" s="5">
        <f t="shared" ca="1" si="4"/>
        <v>23864</v>
      </c>
      <c r="G21" s="5">
        <f t="shared" ca="1" si="5"/>
        <v>38140</v>
      </c>
      <c r="H21" s="5">
        <f t="shared" ca="1" si="6"/>
        <v>39235</v>
      </c>
      <c r="I21" t="str">
        <f t="shared" ca="1" si="7"/>
        <v>090-0887-5283</v>
      </c>
      <c r="J21" t="str">
        <f t="shared" ca="1" si="8"/>
        <v>Wang_Sheng_Chuang_38140@outlook.jp.co</v>
      </c>
      <c r="K21" t="str">
        <f t="shared" ca="1" si="9"/>
        <v>高級</v>
      </c>
      <c r="L21" t="str">
        <f t="shared" ca="1" si="0"/>
        <v>有り</v>
      </c>
      <c r="M21" t="str">
        <f t="shared" ca="1" si="10"/>
        <v>10%</v>
      </c>
      <c r="N21" t="str">
        <f t="shared" ca="1" si="11"/>
        <v>-</v>
      </c>
      <c r="O21" t="str">
        <f t="shared" ca="1" si="12"/>
        <v>-</v>
      </c>
      <c r="R21">
        <f t="shared" ca="1" si="13"/>
        <v>3</v>
      </c>
      <c r="S21">
        <f t="shared" ca="1" si="14"/>
        <v>163</v>
      </c>
      <c r="T21">
        <f t="shared" ca="1" si="15"/>
        <v>2006</v>
      </c>
      <c r="U21">
        <f t="shared" ca="1" si="16"/>
        <v>2016</v>
      </c>
      <c r="V21">
        <f t="shared" ca="1" si="17"/>
        <v>4</v>
      </c>
      <c r="W21">
        <f t="shared" ca="1" si="18"/>
        <v>25</v>
      </c>
    </row>
    <row r="22" spans="1:23">
      <c r="A22" t="s">
        <v>21</v>
      </c>
      <c r="B22" t="str">
        <f t="shared" ca="1" si="1"/>
        <v>胡飛湖</v>
      </c>
      <c r="C22" t="str">
        <f t="shared" ca="1" si="2"/>
        <v>ﾎｩ ﾌｪｲ ﾎｩ</v>
      </c>
      <c r="D22" t="str">
        <f t="shared" ca="1" si="3"/>
        <v>Hu Fei Hu</v>
      </c>
      <c r="E22" t="str" cm="1">
        <f t="array" aca="1" ref="E22" ca="1">INDIRECT(ADDRESS(RANDBETWEEN(2,16),7,1,1,"valueBase"))</f>
        <v>-</v>
      </c>
      <c r="F22" s="5">
        <f t="shared" ca="1" si="4"/>
        <v>33531</v>
      </c>
      <c r="G22" s="5">
        <f t="shared" ca="1" si="5"/>
        <v>42216</v>
      </c>
      <c r="H22" s="5">
        <f t="shared" ca="1" si="6"/>
        <v>42581</v>
      </c>
      <c r="I22" t="str">
        <f t="shared" ca="1" si="7"/>
        <v>080-8073-6828</v>
      </c>
      <c r="J22" t="str">
        <f t="shared" ca="1" si="8"/>
        <v>Hu_Fei_Hu_42216@outlook.jp.co</v>
      </c>
      <c r="K22" t="str">
        <f t="shared" ca="1" si="9"/>
        <v>普通</v>
      </c>
      <c r="L22" t="str">
        <f t="shared" ca="1" si="0"/>
        <v>有り</v>
      </c>
      <c r="M22" t="str">
        <f t="shared" ca="1" si="10"/>
        <v>5%</v>
      </c>
      <c r="N22" t="str">
        <f t="shared" ca="1" si="11"/>
        <v>有り</v>
      </c>
      <c r="O22">
        <f t="shared" ca="1" si="12"/>
        <v>418</v>
      </c>
      <c r="R22">
        <f t="shared" ca="1" si="13"/>
        <v>14</v>
      </c>
      <c r="S22">
        <f t="shared" ca="1" si="14"/>
        <v>231</v>
      </c>
      <c r="T22">
        <f t="shared" ca="1" si="15"/>
        <v>1972</v>
      </c>
      <c r="U22">
        <f t="shared" ca="1" si="16"/>
        <v>1977</v>
      </c>
      <c r="V22">
        <f t="shared" ca="1" si="17"/>
        <v>4</v>
      </c>
      <c r="W22">
        <f t="shared" ca="1" si="18"/>
        <v>17</v>
      </c>
    </row>
    <row r="23" spans="1:23">
      <c r="A23" t="s">
        <v>22</v>
      </c>
      <c r="B23" t="str">
        <f t="shared" ca="1" si="1"/>
        <v>劉祖彥</v>
      </c>
      <c r="C23" t="str">
        <f t="shared" ca="1" si="2"/>
        <v>ﾘｳ ｽﾞｩ ｲｴﾝ</v>
      </c>
      <c r="D23" t="str">
        <f t="shared" ca="1" si="3"/>
        <v>Liu Zu Yan</v>
      </c>
      <c r="E23" t="str" cm="1">
        <f t="array" aca="1" ref="E23" ca="1">INDIRECT(ADDRESS(RANDBETWEEN(2,16),7,1,1,"valueBase"))</f>
        <v>女性</v>
      </c>
      <c r="F23" s="5">
        <f t="shared" ca="1" si="4"/>
        <v>27965</v>
      </c>
      <c r="G23" s="5">
        <f t="shared" ca="1" si="5"/>
        <v>41310</v>
      </c>
      <c r="H23" s="5">
        <f t="shared" ca="1" si="6"/>
        <v>41675</v>
      </c>
      <c r="I23" t="str">
        <f t="shared" ca="1" si="7"/>
        <v>090-7997-8024</v>
      </c>
      <c r="J23" t="str">
        <f t="shared" ca="1" si="8"/>
        <v>Liu_Zu_Yan_41310@outlook.jp.co</v>
      </c>
      <c r="K23" t="str">
        <f t="shared" ca="1" si="9"/>
        <v>普通</v>
      </c>
      <c r="L23" t="str">
        <f t="shared" ca="1" si="0"/>
        <v>有り</v>
      </c>
      <c r="M23" t="str">
        <f t="shared" ca="1" si="10"/>
        <v>5%</v>
      </c>
      <c r="N23" t="str">
        <f t="shared" ca="1" si="11"/>
        <v>有り</v>
      </c>
      <c r="O23">
        <f t="shared" ca="1" si="12"/>
        <v>93</v>
      </c>
      <c r="R23">
        <f t="shared" ca="1" si="13"/>
        <v>5</v>
      </c>
      <c r="S23">
        <f t="shared" ca="1" si="14"/>
        <v>224</v>
      </c>
      <c r="T23">
        <f t="shared" ca="1" si="15"/>
        <v>1994</v>
      </c>
      <c r="U23">
        <f t="shared" ca="1" si="16"/>
        <v>1997</v>
      </c>
      <c r="V23">
        <f t="shared" ca="1" si="17"/>
        <v>5</v>
      </c>
      <c r="W23">
        <f t="shared" ca="1" si="18"/>
        <v>20</v>
      </c>
    </row>
    <row r="24" spans="1:23">
      <c r="A24" t="s">
        <v>23</v>
      </c>
      <c r="B24" t="str">
        <f t="shared" ca="1" si="1"/>
        <v>馬事彩</v>
      </c>
      <c r="C24" t="str">
        <f t="shared" ca="1" si="2"/>
        <v>ﾏｰ ｼｰ ﾂｧｲ</v>
      </c>
      <c r="D24" t="str">
        <f t="shared" ca="1" si="3"/>
        <v>Ma Shi Cai</v>
      </c>
      <c r="E24" t="str" cm="1">
        <f t="array" aca="1" ref="E24" ca="1">INDIRECT(ADDRESS(RANDBETWEEN(2,16),7,1,1,"valueBase"))</f>
        <v>女性</v>
      </c>
      <c r="F24" s="5">
        <f t="shared" ca="1" si="4"/>
        <v>37697</v>
      </c>
      <c r="G24" s="5">
        <f t="shared" ca="1" si="5"/>
        <v>45360</v>
      </c>
      <c r="H24" s="5">
        <f t="shared" ca="1" si="6"/>
        <v>45725</v>
      </c>
      <c r="I24" t="str">
        <f t="shared" ca="1" si="7"/>
        <v>080-7503-9595</v>
      </c>
      <c r="J24" t="str">
        <f t="shared" ca="1" si="8"/>
        <v>Ma_Shi_Cai_45360@outlook.jp.co</v>
      </c>
      <c r="K24" t="str">
        <f t="shared" ca="1" si="9"/>
        <v>普通</v>
      </c>
      <c r="L24" t="str">
        <f t="shared" ca="1" si="0"/>
        <v>有り</v>
      </c>
      <c r="M24" t="str">
        <f t="shared" ca="1" si="10"/>
        <v>5%</v>
      </c>
      <c r="N24" t="str">
        <f t="shared" ca="1" si="11"/>
        <v>-</v>
      </c>
      <c r="O24" t="str">
        <f t="shared" ca="1" si="12"/>
        <v>-</v>
      </c>
      <c r="R24">
        <f t="shared" ca="1" si="13"/>
        <v>20</v>
      </c>
      <c r="S24">
        <f t="shared" ca="1" si="14"/>
        <v>36</v>
      </c>
      <c r="T24">
        <f t="shared" ca="1" si="15"/>
        <v>1982</v>
      </c>
      <c r="U24">
        <f t="shared" ca="1" si="16"/>
        <v>1986</v>
      </c>
      <c r="V24">
        <f t="shared" ca="1" si="17"/>
        <v>1</v>
      </c>
      <c r="W24">
        <f t="shared" ca="1" si="18"/>
        <v>18</v>
      </c>
    </row>
    <row r="25" spans="1:23">
      <c r="A25" t="s">
        <v>24</v>
      </c>
      <c r="B25" t="str">
        <f t="shared" ca="1" si="1"/>
        <v>張泰聚</v>
      </c>
      <c r="C25" t="str">
        <f t="shared" ca="1" si="2"/>
        <v>ｼﾞｬｰﾝ ﾀｲ ｼﾞｭｲ</v>
      </c>
      <c r="D25" t="str">
        <f t="shared" ca="1" si="3"/>
        <v>Zhang Tai Ju</v>
      </c>
      <c r="E25" t="str" cm="1">
        <f t="array" aca="1" ref="E25" ca="1">INDIRECT(ADDRESS(RANDBETWEEN(2,16),7,1,1,"valueBase"))</f>
        <v>女性</v>
      </c>
      <c r="F25" s="5">
        <f t="shared" ca="1" si="4"/>
        <v>25425</v>
      </c>
      <c r="G25" s="5">
        <f t="shared" ca="1" si="5"/>
        <v>40173</v>
      </c>
      <c r="H25" s="5">
        <f t="shared" ca="1" si="6"/>
        <v>40903</v>
      </c>
      <c r="I25" t="str">
        <f t="shared" ca="1" si="7"/>
        <v>080-5632-4490</v>
      </c>
      <c r="J25" t="str">
        <f t="shared" ca="1" si="8"/>
        <v>Zhang_Tai_Ju_40173@outlook.jp.co</v>
      </c>
      <c r="K25" t="str">
        <f t="shared" ca="1" si="9"/>
        <v>普通</v>
      </c>
      <c r="L25" t="str">
        <f t="shared" ca="1" si="0"/>
        <v>有り</v>
      </c>
      <c r="M25" t="str">
        <f t="shared" ca="1" si="10"/>
        <v>5%</v>
      </c>
      <c r="N25" t="str">
        <f t="shared" ca="1" si="11"/>
        <v>-</v>
      </c>
      <c r="O25" t="str">
        <f t="shared" ca="1" si="12"/>
        <v>-</v>
      </c>
      <c r="R25">
        <f t="shared" ca="1" si="13"/>
        <v>4</v>
      </c>
      <c r="S25">
        <f t="shared" ca="1" si="14"/>
        <v>235</v>
      </c>
      <c r="T25">
        <f t="shared" ca="1" si="15"/>
        <v>1980</v>
      </c>
      <c r="U25">
        <f t="shared" ca="1" si="16"/>
        <v>1992</v>
      </c>
      <c r="V25">
        <f t="shared" ca="1" si="17"/>
        <v>10</v>
      </c>
      <c r="W25">
        <f t="shared" ca="1" si="18"/>
        <v>22</v>
      </c>
    </row>
    <row r="26" spans="1:23">
      <c r="R26">
        <f t="shared" ca="1" si="13"/>
        <v>24</v>
      </c>
      <c r="S26">
        <f t="shared" ca="1" si="14"/>
        <v>101</v>
      </c>
      <c r="T26">
        <f t="shared" ca="1" si="15"/>
        <v>1973</v>
      </c>
      <c r="U26">
        <f t="shared" ca="1" si="16"/>
        <v>1976</v>
      </c>
      <c r="V26">
        <f t="shared" ca="1" si="17"/>
        <v>10</v>
      </c>
      <c r="W26">
        <f t="shared" ca="1" si="18"/>
        <v>20</v>
      </c>
    </row>
    <row r="27" spans="1:23">
      <c r="A27" t="s">
        <v>25</v>
      </c>
      <c r="B27" t="str">
        <f t="shared" ca="1" si="1"/>
        <v>吳茂韋</v>
      </c>
      <c r="C27" t="str">
        <f t="shared" ca="1" si="2"/>
        <v>ｳｰ ﾏｵ ｳｴｲ</v>
      </c>
      <c r="D27" t="str">
        <f t="shared" ca="1" si="3"/>
        <v>Wu Mao Wei</v>
      </c>
      <c r="E27" t="str" cm="1">
        <f t="array" aca="1" ref="E27" ca="1">INDIRECT(ADDRESS(RANDBETWEEN(2,16),7,1,1,"valueBase"))</f>
        <v>男性</v>
      </c>
      <c r="F27" s="5">
        <f t="shared" ca="1" si="4"/>
        <v>33763</v>
      </c>
      <c r="G27" s="5">
        <f t="shared" ca="1" si="5"/>
        <v>44207</v>
      </c>
      <c r="H27" s="5">
        <f t="shared" ca="1" si="6"/>
        <v>45302</v>
      </c>
      <c r="I27" t="str">
        <f t="shared" ca="1" si="7"/>
        <v>090-1915-2955</v>
      </c>
      <c r="J27" t="str">
        <f t="shared" ca="1" si="8"/>
        <v>Wu_Mao_Wei_44207@outlook.jp.co</v>
      </c>
      <c r="K27" t="str">
        <f t="shared" ca="1" si="9"/>
        <v>高級</v>
      </c>
      <c r="L27" t="str">
        <f t="shared" ca="1" si="0"/>
        <v>有り</v>
      </c>
      <c r="M27" t="str">
        <f t="shared" ca="1" si="10"/>
        <v>10%</v>
      </c>
      <c r="N27" t="str">
        <f t="shared" ca="1" si="11"/>
        <v>有り</v>
      </c>
      <c r="O27">
        <f t="shared" ca="1" si="12"/>
        <v>293</v>
      </c>
      <c r="R27">
        <f t="shared" ca="1" si="13"/>
        <v>11</v>
      </c>
      <c r="S27">
        <f t="shared" ca="1" si="14"/>
        <v>152</v>
      </c>
      <c r="T27">
        <f t="shared" ca="1" si="15"/>
        <v>2005</v>
      </c>
      <c r="U27">
        <f t="shared" ca="1" si="16"/>
        <v>2013</v>
      </c>
      <c r="V27">
        <f t="shared" ca="1" si="17"/>
        <v>4</v>
      </c>
      <c r="W27">
        <f t="shared" ca="1" si="18"/>
        <v>25</v>
      </c>
    </row>
    <row r="28" spans="1:23">
      <c r="A28" t="s">
        <v>26</v>
      </c>
      <c r="B28" t="str">
        <f t="shared" ca="1" si="1"/>
        <v>王孝宏</v>
      </c>
      <c r="C28" t="str">
        <f t="shared" ca="1" si="2"/>
        <v>ﾜｰﾝ ｼﾔｵ ﾎｰﾝ</v>
      </c>
      <c r="D28" t="str">
        <f t="shared" ca="1" si="3"/>
        <v>Wang Xiao Hong</v>
      </c>
      <c r="E28" t="str" cm="1">
        <f t="array" aca="1" ref="E28" ca="1">INDIRECT(ADDRESS(RANDBETWEEN(2,16),7,1,1,"valueBase"))</f>
        <v>女性</v>
      </c>
      <c r="F28" s="5">
        <f t="shared" ca="1" si="4"/>
        <v>35368</v>
      </c>
      <c r="G28" s="5">
        <f t="shared" ca="1" si="5"/>
        <v>44425</v>
      </c>
      <c r="H28" s="5">
        <f t="shared" ca="1" si="6"/>
        <v>44790</v>
      </c>
      <c r="I28" t="str">
        <f t="shared" ca="1" si="7"/>
        <v>090-8176-0728</v>
      </c>
      <c r="J28" t="str">
        <f t="shared" ca="1" si="8"/>
        <v>Wang_Xiao_Hong_44425@outlook.jp.co</v>
      </c>
      <c r="K28" t="str">
        <f t="shared" ca="1" si="9"/>
        <v>普通</v>
      </c>
      <c r="L28" t="str">
        <f t="shared" ca="1" si="0"/>
        <v>-</v>
      </c>
      <c r="M28" t="str">
        <f t="shared" ca="1" si="10"/>
        <v>-</v>
      </c>
      <c r="N28" t="str">
        <f t="shared" ca="1" si="11"/>
        <v>有り</v>
      </c>
      <c r="O28">
        <f t="shared" ca="1" si="12"/>
        <v>180</v>
      </c>
      <c r="R28">
        <f t="shared" ca="1" si="13"/>
        <v>3</v>
      </c>
      <c r="S28">
        <f t="shared" ca="1" si="14"/>
        <v>120</v>
      </c>
      <c r="T28">
        <f t="shared" ca="1" si="15"/>
        <v>2008</v>
      </c>
      <c r="U28">
        <f t="shared" ca="1" si="16"/>
        <v>2009</v>
      </c>
      <c r="V28">
        <f t="shared" ca="1" si="17"/>
        <v>6</v>
      </c>
      <c r="W28">
        <f t="shared" ca="1" si="18"/>
        <v>14</v>
      </c>
    </row>
    <row r="29" spans="1:23">
      <c r="A29" t="s">
        <v>27</v>
      </c>
      <c r="B29" t="str">
        <f t="shared" ca="1" si="1"/>
        <v>朱泓索</v>
      </c>
      <c r="C29" t="str">
        <f t="shared" ca="1" si="2"/>
        <v>ｼﾞｭｳ ﾎｰﾝ ｽｩｵ</v>
      </c>
      <c r="D29" t="str">
        <f t="shared" ca="1" si="3"/>
        <v>Zhu Hong Suo</v>
      </c>
      <c r="E29" t="str" cm="1">
        <f t="array" aca="1" ref="E29" ca="1">INDIRECT(ADDRESS(RANDBETWEEN(2,16),7,1,1,"valueBase"))</f>
        <v>男性</v>
      </c>
      <c r="F29" s="5">
        <f t="shared" ca="1" si="4"/>
        <v>24185</v>
      </c>
      <c r="G29" s="5">
        <f t="shared" ca="1" si="5"/>
        <v>41589</v>
      </c>
      <c r="H29" s="5">
        <f t="shared" ca="1" si="6"/>
        <v>41954</v>
      </c>
      <c r="I29" t="str">
        <f t="shared" ca="1" si="7"/>
        <v>080-3993-3878</v>
      </c>
      <c r="J29" t="str">
        <f t="shared" ca="1" si="8"/>
        <v>Zhu_Hong_Suo_41589@outlook.jp.co</v>
      </c>
      <c r="K29" t="str">
        <f t="shared" ca="1" si="9"/>
        <v>高級</v>
      </c>
      <c r="L29" t="str">
        <f t="shared" ca="1" si="0"/>
        <v>-</v>
      </c>
      <c r="M29" t="str">
        <f t="shared" ca="1" si="10"/>
        <v>-</v>
      </c>
      <c r="N29" t="str">
        <f t="shared" ca="1" si="11"/>
        <v>有り</v>
      </c>
      <c r="O29">
        <f t="shared" ca="1" si="12"/>
        <v>622</v>
      </c>
      <c r="R29">
        <f t="shared" ca="1" si="13"/>
        <v>15</v>
      </c>
      <c r="S29">
        <f t="shared" ca="1" si="14"/>
        <v>328</v>
      </c>
      <c r="T29">
        <f t="shared" ca="1" si="15"/>
        <v>1980</v>
      </c>
      <c r="U29">
        <f t="shared" ca="1" si="16"/>
        <v>1986</v>
      </c>
      <c r="V29">
        <f t="shared" ca="1" si="17"/>
        <v>11</v>
      </c>
      <c r="W29">
        <f t="shared" ca="1" si="18"/>
        <v>18</v>
      </c>
    </row>
    <row r="30" spans="1:23">
      <c r="A30" t="s">
        <v>28</v>
      </c>
      <c r="B30" t="str">
        <f t="shared" ca="1" si="1"/>
        <v>周木納</v>
      </c>
      <c r="C30" t="str">
        <f t="shared" ca="1" si="2"/>
        <v>ｼﾞｮｳ ﾑｩ ﾅｰ</v>
      </c>
      <c r="D30" t="str">
        <f t="shared" ca="1" si="3"/>
        <v>Zhou Mu Na</v>
      </c>
      <c r="E30" t="str" cm="1">
        <f t="array" aca="1" ref="E30" ca="1">INDIRECT(ADDRESS(RANDBETWEEN(2,16),7,1,1,"valueBase"))</f>
        <v>男性</v>
      </c>
      <c r="F30" s="5">
        <f t="shared" ca="1" si="4"/>
        <v>36256</v>
      </c>
      <c r="G30" s="5">
        <f t="shared" ca="1" si="5"/>
        <v>44596</v>
      </c>
      <c r="H30" s="5">
        <f t="shared" ca="1" si="6"/>
        <v>45691</v>
      </c>
      <c r="I30" t="str">
        <f t="shared" ca="1" si="7"/>
        <v>080-6456-3257</v>
      </c>
      <c r="J30" t="str">
        <f t="shared" ca="1" si="8"/>
        <v>Zhou_Mu_Na_44596@outlook.jp.co</v>
      </c>
      <c r="K30" t="str">
        <f t="shared" ca="1" si="9"/>
        <v>高級</v>
      </c>
      <c r="L30" t="str">
        <f t="shared" ca="1" si="0"/>
        <v>有り</v>
      </c>
      <c r="M30" t="str">
        <f t="shared" ca="1" si="10"/>
        <v>10%</v>
      </c>
      <c r="N30" t="str">
        <f t="shared" ca="1" si="11"/>
        <v>-</v>
      </c>
      <c r="O30" t="str">
        <f t="shared" ca="1" si="12"/>
        <v>-</v>
      </c>
      <c r="R30">
        <f t="shared" ca="1" si="13"/>
        <v>10</v>
      </c>
      <c r="S30">
        <f t="shared" ca="1" si="14"/>
        <v>200</v>
      </c>
      <c r="T30">
        <f t="shared" ca="1" si="15"/>
        <v>2006</v>
      </c>
      <c r="U30">
        <f t="shared" ca="1" si="16"/>
        <v>2018</v>
      </c>
      <c r="V30">
        <f t="shared" ca="1" si="17"/>
        <v>1</v>
      </c>
      <c r="W30">
        <f t="shared" ca="1" si="18"/>
        <v>3</v>
      </c>
    </row>
    <row r="31" spans="1:23">
      <c r="A31" t="s">
        <v>29</v>
      </c>
      <c r="B31" t="str">
        <f t="shared" ca="1" si="1"/>
        <v>周曲佳</v>
      </c>
      <c r="C31" t="str">
        <f t="shared" ca="1" si="2"/>
        <v>ｼﾞｮｳ ﾁｭｲ ｼﾞｱ</v>
      </c>
      <c r="D31" t="str">
        <f t="shared" ca="1" si="3"/>
        <v>Zhou Qu Jia</v>
      </c>
      <c r="E31" t="str" cm="1">
        <f t="array" aca="1" ref="E31" ca="1">INDIRECT(ADDRESS(RANDBETWEEN(2,16),7,1,1,"valueBase"))</f>
        <v>女性</v>
      </c>
      <c r="F31" s="5">
        <f t="shared" ca="1" si="4"/>
        <v>31211</v>
      </c>
      <c r="G31" s="5">
        <f t="shared" ca="1" si="5"/>
        <v>38798</v>
      </c>
      <c r="H31" s="5">
        <f t="shared" ca="1" si="6"/>
        <v>39163</v>
      </c>
      <c r="I31" t="str">
        <f t="shared" ca="1" si="7"/>
        <v>080-8190-0097</v>
      </c>
      <c r="J31" t="str">
        <f t="shared" ca="1" si="8"/>
        <v>Zhou_Qu_Jia_38798@outlook.jp.co</v>
      </c>
      <c r="K31" t="str">
        <f t="shared" ca="1" si="9"/>
        <v>普通</v>
      </c>
      <c r="L31" t="str">
        <f t="shared" ca="1" si="0"/>
        <v>有り</v>
      </c>
      <c r="M31" t="str">
        <f t="shared" ca="1" si="10"/>
        <v>5%</v>
      </c>
      <c r="N31" t="str">
        <f t="shared" ca="1" si="11"/>
        <v>-</v>
      </c>
      <c r="O31" t="str">
        <f t="shared" ca="1" si="12"/>
        <v>-</v>
      </c>
      <c r="R31">
        <f t="shared" ca="1" si="13"/>
        <v>10</v>
      </c>
      <c r="S31">
        <f t="shared" ca="1" si="14"/>
        <v>116</v>
      </c>
      <c r="T31">
        <f t="shared" ca="1" si="15"/>
        <v>2004</v>
      </c>
      <c r="U31">
        <f t="shared" ca="1" si="16"/>
        <v>2007</v>
      </c>
      <c r="V31">
        <f t="shared" ca="1" si="17"/>
        <v>2</v>
      </c>
      <c r="W31">
        <f t="shared" ca="1" si="18"/>
        <v>18</v>
      </c>
    </row>
    <row r="32" spans="1:23">
      <c r="A32" t="s">
        <v>30</v>
      </c>
      <c r="B32" t="str">
        <f t="shared" ca="1" si="1"/>
        <v>謝菡晨</v>
      </c>
      <c r="C32" t="str">
        <f t="shared" ca="1" si="2"/>
        <v>ｼｴ ﾊﾝ ﾁｪﾝ</v>
      </c>
      <c r="D32" t="str">
        <f t="shared" ca="1" si="3"/>
        <v>Xie Han Chen</v>
      </c>
      <c r="E32" t="str" cm="1">
        <f t="array" aca="1" ref="E32" ca="1">INDIRECT(ADDRESS(RANDBETWEEN(2,16),7,1,1,"valueBase"))</f>
        <v>男性</v>
      </c>
      <c r="F32" s="5">
        <f t="shared" ca="1" si="4"/>
        <v>27181</v>
      </c>
      <c r="G32" s="5">
        <f t="shared" ca="1" si="5"/>
        <v>44342</v>
      </c>
      <c r="H32" s="5">
        <f t="shared" ca="1" si="6"/>
        <v>45437</v>
      </c>
      <c r="I32" t="str">
        <f t="shared" ca="1" si="7"/>
        <v>080-9428-6742</v>
      </c>
      <c r="J32" t="str">
        <f t="shared" ca="1" si="8"/>
        <v>Xie_Han_Chen_44342@outlook.jp.co</v>
      </c>
      <c r="K32" t="str">
        <f t="shared" ca="1" si="9"/>
        <v>普通</v>
      </c>
      <c r="L32" t="str">
        <f t="shared" ca="1" si="0"/>
        <v>有り</v>
      </c>
      <c r="M32" t="str">
        <f t="shared" ca="1" si="10"/>
        <v>5%</v>
      </c>
      <c r="N32" t="str">
        <f t="shared" ca="1" si="11"/>
        <v>有り</v>
      </c>
      <c r="O32">
        <f t="shared" ca="1" si="12"/>
        <v>795</v>
      </c>
      <c r="R32">
        <f t="shared" ca="1" si="13"/>
        <v>25</v>
      </c>
      <c r="S32">
        <f t="shared" ca="1" si="14"/>
        <v>85</v>
      </c>
      <c r="T32">
        <f t="shared" ca="1" si="15"/>
        <v>1971</v>
      </c>
      <c r="U32">
        <f t="shared" ca="1" si="16"/>
        <v>1972</v>
      </c>
      <c r="V32">
        <f t="shared" ca="1" si="17"/>
        <v>1</v>
      </c>
      <c r="W32">
        <f t="shared" ca="1" si="18"/>
        <v>11</v>
      </c>
    </row>
    <row r="33" spans="1:23">
      <c r="A33" t="s">
        <v>31</v>
      </c>
      <c r="B33" t="str">
        <f t="shared" ca="1" si="1"/>
        <v>楊銀營</v>
      </c>
      <c r="C33" t="str">
        <f t="shared" ca="1" si="2"/>
        <v>ﾔｰﾝ ｲﾝ ｲｰﾝ</v>
      </c>
      <c r="D33" t="str">
        <f t="shared" ca="1" si="3"/>
        <v>Yang Yin Ying</v>
      </c>
      <c r="E33" t="str" cm="1">
        <f t="array" aca="1" ref="E33" ca="1">INDIRECT(ADDRESS(RANDBETWEEN(2,16),7,1,1,"valueBase"))</f>
        <v>女性</v>
      </c>
      <c r="F33" s="5">
        <f t="shared" ca="1" si="4"/>
        <v>32698</v>
      </c>
      <c r="G33" s="5">
        <f t="shared" ca="1" si="5"/>
        <v>41025</v>
      </c>
      <c r="H33" s="5">
        <f t="shared" ca="1" si="6"/>
        <v>42120</v>
      </c>
      <c r="I33" t="str">
        <f t="shared" ca="1" si="7"/>
        <v>090-0624-0665</v>
      </c>
      <c r="J33" t="str">
        <f t="shared" ca="1" si="8"/>
        <v>Yang_Yin_Ying_41025@outlook.jp.co</v>
      </c>
      <c r="K33" t="str">
        <f t="shared" ca="1" si="9"/>
        <v>普通</v>
      </c>
      <c r="L33" t="str">
        <f t="shared" ca="1" si="0"/>
        <v>有り</v>
      </c>
      <c r="M33" t="str">
        <f t="shared" ca="1" si="10"/>
        <v>5%</v>
      </c>
      <c r="N33" t="str">
        <f t="shared" ca="1" si="11"/>
        <v>有り</v>
      </c>
      <c r="O33">
        <f t="shared" ca="1" si="12"/>
        <v>521</v>
      </c>
      <c r="R33">
        <f t="shared" ca="1" si="13"/>
        <v>7</v>
      </c>
      <c r="S33">
        <f t="shared" ca="1" si="14"/>
        <v>257</v>
      </c>
      <c r="T33">
        <f t="shared" ca="1" si="15"/>
        <v>1979</v>
      </c>
      <c r="U33">
        <f t="shared" ca="1" si="16"/>
        <v>1987</v>
      </c>
      <c r="V33">
        <f t="shared" ca="1" si="17"/>
        <v>2</v>
      </c>
      <c r="W33">
        <f t="shared" ca="1" si="18"/>
        <v>26</v>
      </c>
    </row>
    <row r="34" spans="1:23">
      <c r="A34" t="s">
        <v>32</v>
      </c>
      <c r="B34" t="str">
        <f t="shared" ca="1" si="1"/>
        <v>朱浦盟</v>
      </c>
      <c r="C34" t="str">
        <f t="shared" ca="1" si="2"/>
        <v>ｼﾞｭｳ ﾌﾟｩ ﾑｵﾝ</v>
      </c>
      <c r="D34" t="str">
        <f t="shared" ca="1" si="3"/>
        <v>Zhu Pu Meng</v>
      </c>
      <c r="E34" t="str" cm="1">
        <f t="array" aca="1" ref="E34" ca="1">INDIRECT(ADDRESS(RANDBETWEEN(2,16),7,1,1,"valueBase"))</f>
        <v>男性</v>
      </c>
      <c r="F34" s="5">
        <f t="shared" ca="1" si="4"/>
        <v>32523</v>
      </c>
      <c r="G34" s="5">
        <f t="shared" ca="1" si="5"/>
        <v>42770</v>
      </c>
      <c r="H34" s="5">
        <f t="shared" ca="1" si="6"/>
        <v>43500</v>
      </c>
      <c r="I34" t="str">
        <f t="shared" ca="1" si="7"/>
        <v>090-6302-8153</v>
      </c>
      <c r="J34" t="str">
        <f t="shared" ca="1" si="8"/>
        <v>Zhu_Pu_Meng_42770@outlook.jp.co</v>
      </c>
      <c r="K34" t="str">
        <f t="shared" ca="1" si="9"/>
        <v>高級</v>
      </c>
      <c r="L34" t="str">
        <f t="shared" ca="1" si="0"/>
        <v>有り</v>
      </c>
      <c r="M34" t="str">
        <f t="shared" ca="1" si="10"/>
        <v>10%</v>
      </c>
      <c r="N34" t="str">
        <f t="shared" ca="1" si="11"/>
        <v>有り</v>
      </c>
      <c r="O34">
        <f t="shared" ca="1" si="12"/>
        <v>122</v>
      </c>
      <c r="R34">
        <f t="shared" ca="1" si="13"/>
        <v>15</v>
      </c>
      <c r="S34">
        <f t="shared" ca="1" si="14"/>
        <v>46</v>
      </c>
      <c r="T34">
        <f t="shared" ca="1" si="15"/>
        <v>1994</v>
      </c>
      <c r="U34">
        <f t="shared" ca="1" si="16"/>
        <v>2005</v>
      </c>
      <c r="V34">
        <f t="shared" ca="1" si="17"/>
        <v>9</v>
      </c>
      <c r="W34">
        <f t="shared" ca="1" si="18"/>
        <v>14</v>
      </c>
    </row>
    <row r="35" spans="1:23">
      <c r="A35" t="s">
        <v>33</v>
      </c>
      <c r="B35" t="str">
        <f t="shared" ca="1" si="1"/>
        <v>李祖萱</v>
      </c>
      <c r="C35" t="str">
        <f t="shared" ca="1" si="2"/>
        <v>ﾘｰ ｽﾞｩ ｼｭｴﾝ</v>
      </c>
      <c r="D35" t="str">
        <f t="shared" ca="1" si="3"/>
        <v>Li Zu Xuan</v>
      </c>
      <c r="E35" t="str" cm="1">
        <f t="array" aca="1" ref="E35" ca="1">INDIRECT(ADDRESS(RANDBETWEEN(2,16),7,1,1,"valueBase"))</f>
        <v>男性</v>
      </c>
      <c r="F35" s="5">
        <f t="shared" ca="1" si="4"/>
        <v>28049</v>
      </c>
      <c r="G35" s="5">
        <f t="shared" ca="1" si="5"/>
        <v>41877</v>
      </c>
      <c r="H35" s="5">
        <f t="shared" ca="1" si="6"/>
        <v>42972</v>
      </c>
      <c r="I35" t="str">
        <f t="shared" ca="1" si="7"/>
        <v>090-7869-7487</v>
      </c>
      <c r="J35" t="str">
        <f t="shared" ca="1" si="8"/>
        <v>Li_Zu_Xuan_41877@outlook.jp.co</v>
      </c>
      <c r="K35" t="str">
        <f t="shared" ca="1" si="9"/>
        <v>普通</v>
      </c>
      <c r="L35" t="str">
        <f t="shared" ca="1" si="0"/>
        <v>有り</v>
      </c>
      <c r="M35" t="str">
        <f t="shared" ca="1" si="10"/>
        <v>5%</v>
      </c>
      <c r="N35" t="str">
        <f t="shared" ca="1" si="11"/>
        <v>有り</v>
      </c>
      <c r="O35">
        <f t="shared" ca="1" si="12"/>
        <v>176</v>
      </c>
      <c r="R35">
        <f t="shared" ca="1" si="13"/>
        <v>2</v>
      </c>
      <c r="S35">
        <f t="shared" ca="1" si="14"/>
        <v>158</v>
      </c>
      <c r="T35">
        <f t="shared" ca="1" si="15"/>
        <v>1982</v>
      </c>
      <c r="U35">
        <f t="shared" ca="1" si="16"/>
        <v>1988</v>
      </c>
      <c r="V35">
        <f t="shared" ca="1" si="17"/>
        <v>11</v>
      </c>
      <c r="W35">
        <f t="shared" ca="1" si="18"/>
        <v>13</v>
      </c>
    </row>
    <row r="36" spans="1:23">
      <c r="A36" t="s">
        <v>34</v>
      </c>
      <c r="B36" t="str">
        <f t="shared" ca="1" si="1"/>
        <v>宋碼紀</v>
      </c>
      <c r="C36" t="str">
        <f t="shared" ca="1" si="2"/>
        <v>ｿｰﾝ ﾏｰ ｼﾞｰ</v>
      </c>
      <c r="D36" t="str">
        <f t="shared" ca="1" si="3"/>
        <v>Song Ma Ji</v>
      </c>
      <c r="E36" t="str" cm="1">
        <f t="array" aca="1" ref="E36" ca="1">INDIRECT(ADDRESS(RANDBETWEEN(2,16),7,1,1,"valueBase"))</f>
        <v>-</v>
      </c>
      <c r="F36" s="5">
        <f t="shared" ca="1" si="4"/>
        <v>38412</v>
      </c>
      <c r="G36" s="5">
        <f t="shared" ca="1" si="5"/>
        <v>45441</v>
      </c>
      <c r="H36" s="5">
        <f t="shared" ca="1" si="6"/>
        <v>46536</v>
      </c>
      <c r="I36" t="str">
        <f t="shared" ca="1" si="7"/>
        <v>080-5506-7463</v>
      </c>
      <c r="J36" t="str">
        <f t="shared" ca="1" si="8"/>
        <v>Song_Ma_Ji_45441@outlook.jp.co</v>
      </c>
      <c r="K36" t="str">
        <f t="shared" ca="1" si="9"/>
        <v>普通</v>
      </c>
      <c r="L36" t="str">
        <f t="shared" ca="1" si="0"/>
        <v>有り</v>
      </c>
      <c r="M36" t="str">
        <f t="shared" ca="1" si="10"/>
        <v>5%</v>
      </c>
      <c r="N36" t="str">
        <f t="shared" ca="1" si="11"/>
        <v>-</v>
      </c>
      <c r="O36" t="str">
        <f t="shared" ca="1" si="12"/>
        <v>-</v>
      </c>
      <c r="R36">
        <f t="shared" ca="1" si="13"/>
        <v>23</v>
      </c>
      <c r="S36">
        <f t="shared" ca="1" si="14"/>
        <v>287</v>
      </c>
      <c r="T36">
        <f t="shared" ca="1" si="15"/>
        <v>1985</v>
      </c>
      <c r="U36">
        <f t="shared" ca="1" si="16"/>
        <v>1995</v>
      </c>
      <c r="V36">
        <f t="shared" ca="1" si="17"/>
        <v>8</v>
      </c>
      <c r="W36">
        <f t="shared" ca="1" si="18"/>
        <v>22</v>
      </c>
    </row>
    <row r="37" spans="1:23">
      <c r="A37" t="s">
        <v>35</v>
      </c>
      <c r="B37" t="str">
        <f t="shared" ca="1" si="1"/>
        <v>黃台亭</v>
      </c>
      <c r="C37" t="str">
        <f t="shared" ca="1" si="2"/>
        <v>ﾎﾜｰﾝ ﾀｲ ﾃｨｰﾝ</v>
      </c>
      <c r="D37" t="str">
        <f t="shared" ca="1" si="3"/>
        <v>Huang Tai Ting</v>
      </c>
      <c r="E37" t="str" cm="1">
        <f t="array" aca="1" ref="E37" ca="1">INDIRECT(ADDRESS(RANDBETWEEN(2,16),7,1,1,"valueBase"))</f>
        <v>女性</v>
      </c>
      <c r="F37" s="5">
        <f t="shared" ca="1" si="4"/>
        <v>30683</v>
      </c>
      <c r="G37" s="5">
        <f t="shared" ca="1" si="5"/>
        <v>42338</v>
      </c>
      <c r="H37" s="5">
        <f t="shared" ca="1" si="6"/>
        <v>43068</v>
      </c>
      <c r="I37" t="str">
        <f t="shared" ca="1" si="7"/>
        <v>090-7934-0861</v>
      </c>
      <c r="J37" t="str">
        <f t="shared" ca="1" si="8"/>
        <v>Huang_Tai_Ting_42338@outlook.jp.co</v>
      </c>
      <c r="K37" t="str">
        <f t="shared" ca="1" si="9"/>
        <v>高級</v>
      </c>
      <c r="L37" t="str">
        <f t="shared" ca="1" si="0"/>
        <v>有り</v>
      </c>
      <c r="M37" t="str">
        <f t="shared" ca="1" si="10"/>
        <v>10%</v>
      </c>
      <c r="N37" t="str">
        <f t="shared" ca="1" si="11"/>
        <v>有り</v>
      </c>
      <c r="O37">
        <f t="shared" ca="1" si="12"/>
        <v>996</v>
      </c>
      <c r="R37">
        <f t="shared" ca="1" si="13"/>
        <v>9</v>
      </c>
      <c r="S37">
        <f t="shared" ca="1" si="14"/>
        <v>283</v>
      </c>
      <c r="T37">
        <f t="shared" ca="1" si="15"/>
        <v>1970</v>
      </c>
      <c r="U37">
        <f t="shared" ca="1" si="16"/>
        <v>1982</v>
      </c>
      <c r="V37">
        <f t="shared" ca="1" si="17"/>
        <v>12</v>
      </c>
      <c r="W37">
        <f t="shared" ca="1" si="18"/>
        <v>23</v>
      </c>
    </row>
    <row r="38" spans="1:23">
      <c r="A38" t="s">
        <v>36</v>
      </c>
      <c r="B38" t="str">
        <f t="shared" ca="1" si="1"/>
        <v>郭科航</v>
      </c>
      <c r="C38" t="str">
        <f t="shared" ca="1" si="2"/>
        <v>ｸﾞｵ ｺｰｧ ﾊｰﾝ</v>
      </c>
      <c r="D38" t="str">
        <f t="shared" ca="1" si="3"/>
        <v>Guo Ke Hang</v>
      </c>
      <c r="E38" t="str" cm="1">
        <f t="array" aca="1" ref="E38" ca="1">INDIRECT(ADDRESS(RANDBETWEEN(2,16),7,1,1,"valueBase"))</f>
        <v>女性</v>
      </c>
      <c r="F38" s="5">
        <f t="shared" ca="1" si="4"/>
        <v>34310</v>
      </c>
      <c r="G38" s="5">
        <f t="shared" ca="1" si="5"/>
        <v>42936</v>
      </c>
      <c r="H38" s="5">
        <f t="shared" ca="1" si="6"/>
        <v>43666</v>
      </c>
      <c r="I38" t="str">
        <f t="shared" ca="1" si="7"/>
        <v>090-3103-6677</v>
      </c>
      <c r="J38" t="str">
        <f t="shared" ca="1" si="8"/>
        <v>Guo_Ke_Hang_42936@outlook.jp.co</v>
      </c>
      <c r="K38" t="str">
        <f t="shared" ca="1" si="9"/>
        <v>高級</v>
      </c>
      <c r="L38" t="str">
        <f t="shared" ca="1" si="0"/>
        <v>有り</v>
      </c>
      <c r="M38" t="str">
        <f t="shared" ca="1" si="10"/>
        <v>10%</v>
      </c>
      <c r="N38" t="str">
        <f t="shared" ca="1" si="11"/>
        <v>有り</v>
      </c>
      <c r="O38">
        <f t="shared" ca="1" si="12"/>
        <v>806</v>
      </c>
      <c r="R38">
        <f t="shared" ca="1" si="13"/>
        <v>19</v>
      </c>
      <c r="S38">
        <f t="shared" ca="1" si="14"/>
        <v>194</v>
      </c>
      <c r="T38">
        <f t="shared" ca="1" si="15"/>
        <v>1992</v>
      </c>
      <c r="U38">
        <f t="shared" ca="1" si="16"/>
        <v>2004</v>
      </c>
      <c r="V38">
        <f t="shared" ca="1" si="17"/>
        <v>11</v>
      </c>
      <c r="W38">
        <f t="shared" ca="1" si="18"/>
        <v>6</v>
      </c>
    </row>
    <row r="39" spans="1:23">
      <c r="A39" t="s">
        <v>37</v>
      </c>
      <c r="B39" t="str">
        <f t="shared" ca="1" si="1"/>
        <v>劉慶睿</v>
      </c>
      <c r="C39" t="str">
        <f t="shared" ca="1" si="2"/>
        <v>ﾘｳ ﾁｰﾝ ｩﾙｲ</v>
      </c>
      <c r="D39" t="str">
        <f t="shared" ca="1" si="3"/>
        <v>Liu Qing Rui</v>
      </c>
      <c r="E39" t="str" cm="1">
        <f t="array" aca="1" ref="E39" ca="1">INDIRECT(ADDRESS(RANDBETWEEN(2,16),7,1,1,"valueBase"))</f>
        <v>女性</v>
      </c>
      <c r="F39" s="5">
        <f t="shared" ca="1" si="4"/>
        <v>32457</v>
      </c>
      <c r="G39" s="5">
        <f t="shared" ca="1" si="5"/>
        <v>41683</v>
      </c>
      <c r="H39" s="5">
        <f t="shared" ca="1" si="6"/>
        <v>42413</v>
      </c>
      <c r="I39" t="str">
        <f t="shared" ca="1" si="7"/>
        <v>080-3525-7025</v>
      </c>
      <c r="J39" t="str">
        <f t="shared" ca="1" si="8"/>
        <v>Liu_Qing_Rui_41683@outlook.jp.co</v>
      </c>
      <c r="K39" t="str">
        <f t="shared" ca="1" si="9"/>
        <v>普通</v>
      </c>
      <c r="L39" t="str">
        <f t="shared" ca="1" si="0"/>
        <v>有り</v>
      </c>
      <c r="M39" t="str">
        <f t="shared" ca="1" si="10"/>
        <v>5%</v>
      </c>
      <c r="N39" t="str">
        <f t="shared" ca="1" si="11"/>
        <v>有り</v>
      </c>
      <c r="O39">
        <f t="shared" ca="1" si="12"/>
        <v>25</v>
      </c>
      <c r="R39">
        <f t="shared" ca="1" si="13"/>
        <v>5</v>
      </c>
      <c r="S39">
        <f t="shared" ca="1" si="14"/>
        <v>221</v>
      </c>
      <c r="T39">
        <f t="shared" ca="1" si="15"/>
        <v>1998</v>
      </c>
      <c r="U39">
        <f t="shared" ca="1" si="16"/>
        <v>2009</v>
      </c>
      <c r="V39">
        <f t="shared" ca="1" si="17"/>
        <v>5</v>
      </c>
      <c r="W39">
        <f t="shared" ca="1" si="18"/>
        <v>6</v>
      </c>
    </row>
    <row r="40" spans="1:23">
      <c r="A40" t="s">
        <v>38</v>
      </c>
      <c r="B40" t="str">
        <f t="shared" ca="1" si="1"/>
        <v>梁彥達</v>
      </c>
      <c r="C40" t="str">
        <f t="shared" ca="1" si="2"/>
        <v>ﾘﾔｰﾝ ｲｴﾝ ﾀﾞｰ</v>
      </c>
      <c r="D40" t="str">
        <f t="shared" ca="1" si="3"/>
        <v>Liang Yan Da</v>
      </c>
      <c r="E40" t="str" cm="1">
        <f t="array" aca="1" ref="E40" ca="1">INDIRECT(ADDRESS(RANDBETWEEN(2,16),7,1,1,"valueBase"))</f>
        <v>男性</v>
      </c>
      <c r="F40" s="5">
        <f t="shared" ca="1" si="4"/>
        <v>27133</v>
      </c>
      <c r="G40" s="5">
        <f t="shared" ca="1" si="5"/>
        <v>44707</v>
      </c>
      <c r="H40" s="5">
        <f t="shared" ca="1" si="6"/>
        <v>45802</v>
      </c>
      <c r="I40" t="str">
        <f t="shared" ca="1" si="7"/>
        <v>080-3502-4395</v>
      </c>
      <c r="J40" t="str">
        <f t="shared" ca="1" si="8"/>
        <v>Liang_Yan_Da_44707@outlook.jp.co</v>
      </c>
      <c r="K40" t="str">
        <f t="shared" ca="1" si="9"/>
        <v>高級</v>
      </c>
      <c r="L40" t="str">
        <f t="shared" ca="1" si="0"/>
        <v>有り</v>
      </c>
      <c r="M40" t="str">
        <f t="shared" ca="1" si="10"/>
        <v>10%</v>
      </c>
      <c r="N40" t="str">
        <f t="shared" ca="1" si="11"/>
        <v>有り</v>
      </c>
      <c r="O40">
        <f t="shared" ca="1" si="12"/>
        <v>530</v>
      </c>
      <c r="R40">
        <f t="shared" ca="1" si="13"/>
        <v>22</v>
      </c>
      <c r="S40">
        <f t="shared" ca="1" si="14"/>
        <v>312</v>
      </c>
      <c r="T40">
        <f t="shared" ca="1" si="15"/>
        <v>1981</v>
      </c>
      <c r="U40">
        <f t="shared" ca="1" si="16"/>
        <v>1991</v>
      </c>
      <c r="V40">
        <f t="shared" ca="1" si="17"/>
        <v>11</v>
      </c>
      <c r="W40">
        <f t="shared" ca="1" si="18"/>
        <v>6</v>
      </c>
    </row>
    <row r="41" spans="1:23">
      <c r="A41" t="s">
        <v>39</v>
      </c>
      <c r="B41" t="str">
        <f t="shared" ca="1" si="1"/>
        <v>孫西博</v>
      </c>
      <c r="C41" t="str">
        <f t="shared" ca="1" si="2"/>
        <v>ｽｩﾝ ｼｲ ﾎﾞｰ</v>
      </c>
      <c r="D41" t="str">
        <f t="shared" ca="1" si="3"/>
        <v>Sun Xi Bo</v>
      </c>
      <c r="E41" t="str" cm="1">
        <f t="array" aca="1" ref="E41" ca="1">INDIRECT(ADDRESS(RANDBETWEEN(2,16),7,1,1,"valueBase"))</f>
        <v>女性</v>
      </c>
      <c r="F41" s="5">
        <f t="shared" ca="1" si="4"/>
        <v>23808</v>
      </c>
      <c r="G41" s="5">
        <f t="shared" ca="1" si="5"/>
        <v>34190</v>
      </c>
      <c r="H41" s="5">
        <f t="shared" ca="1" si="6"/>
        <v>34555</v>
      </c>
      <c r="I41" t="str">
        <f t="shared" ca="1" si="7"/>
        <v>090-5084-4446</v>
      </c>
      <c r="J41" t="str">
        <f t="shared" ca="1" si="8"/>
        <v>Sun_Xi_Bo_34190@outlook.jp.co</v>
      </c>
      <c r="K41" t="str">
        <f t="shared" ca="1" si="9"/>
        <v>高級</v>
      </c>
      <c r="L41" t="str">
        <f t="shared" ca="1" si="0"/>
        <v>有り</v>
      </c>
      <c r="M41" t="str">
        <f t="shared" ca="1" si="10"/>
        <v>10%</v>
      </c>
      <c r="N41" t="str">
        <f t="shared" ca="1" si="11"/>
        <v>有り</v>
      </c>
      <c r="O41">
        <f t="shared" ca="1" si="12"/>
        <v>632</v>
      </c>
      <c r="R41">
        <f t="shared" ca="1" si="13"/>
        <v>13</v>
      </c>
      <c r="S41">
        <f t="shared" ca="1" si="14"/>
        <v>204</v>
      </c>
      <c r="T41">
        <f t="shared" ca="1" si="15"/>
        <v>1982</v>
      </c>
      <c r="U41">
        <f t="shared" ca="1" si="16"/>
        <v>1983</v>
      </c>
      <c r="V41">
        <f t="shared" ca="1" si="17"/>
        <v>10</v>
      </c>
      <c r="W41">
        <f t="shared" ca="1" si="18"/>
        <v>1</v>
      </c>
    </row>
    <row r="42" spans="1:23">
      <c r="A42" t="s">
        <v>40</v>
      </c>
      <c r="B42" t="str">
        <f t="shared" ca="1" si="1"/>
        <v>張壯臻</v>
      </c>
      <c r="C42" t="str">
        <f t="shared" ca="1" si="2"/>
        <v>ｼﾞｬｰﾝ ｼﾞｭﾜｰﾝ ｼﾞｪﾝ</v>
      </c>
      <c r="D42" t="str">
        <f t="shared" ca="1" si="3"/>
        <v>Zhang Zhuang Zhen</v>
      </c>
      <c r="E42" t="str" cm="1">
        <f t="array" aca="1" ref="E42" ca="1">INDIRECT(ADDRESS(RANDBETWEEN(2,16),7,1,1,"valueBase"))</f>
        <v>男性</v>
      </c>
      <c r="F42" s="5">
        <f t="shared" ca="1" si="4"/>
        <v>28641</v>
      </c>
      <c r="G42" s="5">
        <f t="shared" ca="1" si="5"/>
        <v>41427</v>
      </c>
      <c r="H42" s="5">
        <f t="shared" ca="1" si="6"/>
        <v>42157</v>
      </c>
      <c r="I42" t="str">
        <f t="shared" ca="1" si="7"/>
        <v>080-6432-1018</v>
      </c>
      <c r="J42" t="str">
        <f t="shared" ca="1" si="8"/>
        <v>Zhang_Zhuang_Zhen_41427@outlook.jp.co</v>
      </c>
      <c r="K42" t="str">
        <f t="shared" ca="1" si="9"/>
        <v>普通</v>
      </c>
      <c r="L42" t="str">
        <f t="shared" ca="1" si="0"/>
        <v>有り</v>
      </c>
      <c r="M42" t="str">
        <f t="shared" ca="1" si="10"/>
        <v>5%</v>
      </c>
      <c r="N42" t="str">
        <f t="shared" ca="1" si="11"/>
        <v>有り</v>
      </c>
      <c r="O42">
        <f t="shared" ca="1" si="12"/>
        <v>287</v>
      </c>
      <c r="R42">
        <f t="shared" ca="1" si="13"/>
        <v>4</v>
      </c>
      <c r="S42">
        <f t="shared" ca="1" si="14"/>
        <v>145</v>
      </c>
      <c r="T42">
        <f t="shared" ca="1" si="15"/>
        <v>1993</v>
      </c>
      <c r="U42">
        <f t="shared" ca="1" si="16"/>
        <v>2000</v>
      </c>
      <c r="V42">
        <f t="shared" ca="1" si="17"/>
        <v>6</v>
      </c>
      <c r="W42">
        <f t="shared" ca="1" si="18"/>
        <v>24</v>
      </c>
    </row>
    <row r="43" spans="1:23">
      <c r="A43" t="s">
        <v>41</v>
      </c>
      <c r="B43" t="str">
        <f t="shared" ca="1" si="1"/>
        <v>孫貴渲</v>
      </c>
      <c r="C43" t="str">
        <f t="shared" ca="1" si="2"/>
        <v>ｽｩﾝ ｸﾞｲ ｼｭｴﾝ</v>
      </c>
      <c r="D43" t="str">
        <f t="shared" ca="1" si="3"/>
        <v>Sun Gui Xuan</v>
      </c>
      <c r="E43" t="str" cm="1">
        <f t="array" aca="1" ref="E43" ca="1">INDIRECT(ADDRESS(RANDBETWEEN(2,16),7,1,1,"valueBase"))</f>
        <v>男性</v>
      </c>
      <c r="F43" s="5">
        <f t="shared" ca="1" si="4"/>
        <v>25346</v>
      </c>
      <c r="G43" s="5">
        <f t="shared" ca="1" si="5"/>
        <v>39735</v>
      </c>
      <c r="H43" s="5">
        <f t="shared" ca="1" si="6"/>
        <v>40465</v>
      </c>
      <c r="I43" t="str">
        <f t="shared" ca="1" si="7"/>
        <v>080-5825-8033</v>
      </c>
      <c r="J43" t="str">
        <f t="shared" ca="1" si="8"/>
        <v>Sun_Gui_Xuan_39735@outlook.jp.co</v>
      </c>
      <c r="K43" t="str">
        <f t="shared" ca="1" si="9"/>
        <v>普通</v>
      </c>
      <c r="L43" t="str">
        <f t="shared" ca="1" si="0"/>
        <v>有り</v>
      </c>
      <c r="M43" t="str">
        <f t="shared" ca="1" si="10"/>
        <v>5%</v>
      </c>
      <c r="N43" t="str">
        <f t="shared" ca="1" si="11"/>
        <v>有り</v>
      </c>
      <c r="O43">
        <f t="shared" ca="1" si="12"/>
        <v>524</v>
      </c>
      <c r="R43">
        <f t="shared" ca="1" si="13"/>
        <v>13</v>
      </c>
      <c r="S43">
        <f t="shared" ca="1" si="14"/>
        <v>7</v>
      </c>
      <c r="T43">
        <f t="shared" ca="1" si="15"/>
        <v>2007</v>
      </c>
      <c r="U43">
        <f t="shared" ca="1" si="16"/>
        <v>2009</v>
      </c>
      <c r="V43">
        <f t="shared" ca="1" si="17"/>
        <v>10</v>
      </c>
      <c r="W43">
        <f t="shared" ca="1" si="18"/>
        <v>2</v>
      </c>
    </row>
    <row r="44" spans="1:23">
      <c r="A44" t="s">
        <v>42</v>
      </c>
      <c r="B44" t="str">
        <f t="shared" ca="1" si="1"/>
        <v>何樂萊</v>
      </c>
      <c r="C44" t="str">
        <f t="shared" ca="1" si="2"/>
        <v>ﾎｰｧ ﾛｰｧ ﾗｲ</v>
      </c>
      <c r="D44" t="str">
        <f t="shared" ca="1" si="3"/>
        <v>He Le Lai</v>
      </c>
      <c r="E44" t="str" cm="1">
        <f t="array" aca="1" ref="E44" ca="1">INDIRECT(ADDRESS(RANDBETWEEN(2,16),7,1,1,"valueBase"))</f>
        <v>男性</v>
      </c>
      <c r="F44" s="5">
        <f t="shared" ca="1" si="4"/>
        <v>22723</v>
      </c>
      <c r="G44" s="5">
        <f t="shared" ca="1" si="5"/>
        <v>37171</v>
      </c>
      <c r="H44" s="5">
        <f t="shared" ca="1" si="6"/>
        <v>37901</v>
      </c>
      <c r="I44" t="str">
        <f t="shared" ca="1" si="7"/>
        <v>080-3548-0086</v>
      </c>
      <c r="J44" t="str">
        <f t="shared" ca="1" si="8"/>
        <v>He_Le Lai_37171@outlook.jp.co</v>
      </c>
      <c r="K44" t="str">
        <f t="shared" ca="1" si="9"/>
        <v>普通</v>
      </c>
      <c r="L44" t="str">
        <f t="shared" ca="1" si="0"/>
        <v>有り</v>
      </c>
      <c r="M44" t="str">
        <f t="shared" ca="1" si="10"/>
        <v>5%</v>
      </c>
      <c r="N44" t="str">
        <f t="shared" ca="1" si="11"/>
        <v>有り</v>
      </c>
      <c r="O44">
        <f t="shared" ca="1" si="12"/>
        <v>386</v>
      </c>
      <c r="R44">
        <f t="shared" ca="1" si="13"/>
        <v>18</v>
      </c>
      <c r="S44">
        <f t="shared" ca="1" si="14"/>
        <v>159</v>
      </c>
      <c r="T44">
        <f t="shared" ca="1" si="15"/>
        <v>2005</v>
      </c>
      <c r="U44">
        <f t="shared" ca="1" si="16"/>
        <v>2012</v>
      </c>
      <c r="V44">
        <f t="shared" ca="1" si="17"/>
        <v>1</v>
      </c>
      <c r="W44">
        <f t="shared" ca="1" si="18"/>
        <v>3</v>
      </c>
    </row>
    <row r="45" spans="1:23">
      <c r="A45" t="s">
        <v>43</v>
      </c>
      <c r="B45" t="str">
        <f t="shared" ca="1" si="1"/>
        <v>梁逸傲</v>
      </c>
      <c r="C45" t="str">
        <f t="shared" ca="1" si="2"/>
        <v>ﾘﾔｰﾝ ｲｰ ｱｵ</v>
      </c>
      <c r="D45" t="str">
        <f t="shared" ca="1" si="3"/>
        <v>Liang Yi Ao</v>
      </c>
      <c r="E45" t="str" cm="1">
        <f t="array" aca="1" ref="E45" ca="1">INDIRECT(ADDRESS(RANDBETWEEN(2,16),7,1,1,"valueBase"))</f>
        <v>男性</v>
      </c>
      <c r="F45" s="5">
        <f t="shared" ca="1" si="4"/>
        <v>27207</v>
      </c>
      <c r="G45" s="5">
        <f t="shared" ca="1" si="5"/>
        <v>41269</v>
      </c>
      <c r="H45" s="5">
        <f t="shared" ca="1" si="6"/>
        <v>41999</v>
      </c>
      <c r="I45" t="str">
        <f t="shared" ca="1" si="7"/>
        <v>080-1020-4729</v>
      </c>
      <c r="J45" t="str">
        <f t="shared" ca="1" si="8"/>
        <v>Liang_Yi_Ao_41269@outlook.jp.co</v>
      </c>
      <c r="K45" t="str">
        <f t="shared" ca="1" si="9"/>
        <v>普通</v>
      </c>
      <c r="L45" t="str">
        <f t="shared" ca="1" si="0"/>
        <v>有り</v>
      </c>
      <c r="M45" t="str">
        <f t="shared" ca="1" si="10"/>
        <v>5%</v>
      </c>
      <c r="N45" t="str">
        <f t="shared" ca="1" si="11"/>
        <v>-</v>
      </c>
      <c r="O45" t="str">
        <f t="shared" ca="1" si="12"/>
        <v>-</v>
      </c>
      <c r="R45">
        <f t="shared" ca="1" si="13"/>
        <v>22</v>
      </c>
      <c r="S45">
        <f t="shared" ca="1" si="14"/>
        <v>183</v>
      </c>
      <c r="T45">
        <f t="shared" ca="1" si="15"/>
        <v>2001</v>
      </c>
      <c r="U45">
        <f t="shared" ca="1" si="16"/>
        <v>2009</v>
      </c>
      <c r="V45">
        <f t="shared" ca="1" si="17"/>
        <v>1</v>
      </c>
      <c r="W45">
        <f t="shared" ca="1" si="18"/>
        <v>9</v>
      </c>
    </row>
    <row r="46" spans="1:23">
      <c r="A46" t="s">
        <v>44</v>
      </c>
      <c r="B46" t="str">
        <f t="shared" ca="1" si="1"/>
        <v>吳冠聆</v>
      </c>
      <c r="C46" t="str">
        <f t="shared" ca="1" si="2"/>
        <v>ｳｰ ｸﾞﾜﾝ ﾘｰﾝ</v>
      </c>
      <c r="D46" t="str">
        <f t="shared" ca="1" si="3"/>
        <v>Wu Guan Ling</v>
      </c>
      <c r="E46" t="str" cm="1">
        <f t="array" aca="1" ref="E46" ca="1">INDIRECT(ADDRESS(RANDBETWEEN(2,16),7,1,1,"valueBase"))</f>
        <v>男性</v>
      </c>
      <c r="F46" s="5">
        <f t="shared" ca="1" si="4"/>
        <v>29597</v>
      </c>
      <c r="G46" s="5">
        <f t="shared" ca="1" si="5"/>
        <v>45013</v>
      </c>
      <c r="H46" s="5">
        <f t="shared" ca="1" si="6"/>
        <v>45378</v>
      </c>
      <c r="I46" t="str">
        <f t="shared" ca="1" si="7"/>
        <v>090-0984-4024</v>
      </c>
      <c r="J46" t="str">
        <f t="shared" ca="1" si="8"/>
        <v>Wu_Guan_Ling_45013@outlook.jp.co</v>
      </c>
      <c r="K46" t="str">
        <f t="shared" ca="1" si="9"/>
        <v>普通</v>
      </c>
      <c r="L46" t="str">
        <f t="shared" ca="1" si="0"/>
        <v>有り</v>
      </c>
      <c r="M46" t="str">
        <f t="shared" ca="1" si="10"/>
        <v>5%</v>
      </c>
      <c r="N46" t="str">
        <f t="shared" ca="1" si="11"/>
        <v>有り</v>
      </c>
      <c r="O46">
        <f t="shared" ca="1" si="12"/>
        <v>629</v>
      </c>
      <c r="R46">
        <f t="shared" ca="1" si="13"/>
        <v>11</v>
      </c>
      <c r="S46">
        <f t="shared" ca="1" si="14"/>
        <v>156</v>
      </c>
      <c r="T46">
        <f t="shared" ca="1" si="15"/>
        <v>1983</v>
      </c>
      <c r="U46">
        <f t="shared" ca="1" si="16"/>
        <v>1990</v>
      </c>
      <c r="V46">
        <f t="shared" ca="1" si="17"/>
        <v>4</v>
      </c>
      <c r="W46">
        <f t="shared" ca="1" si="18"/>
        <v>22</v>
      </c>
    </row>
    <row r="47" spans="1:23">
      <c r="A47" t="s">
        <v>45</v>
      </c>
      <c r="B47" t="str">
        <f t="shared" ca="1" si="1"/>
        <v>韓芬勁</v>
      </c>
      <c r="C47" t="str">
        <f t="shared" ca="1" si="2"/>
        <v>ﾊﾝ ﾌｪﾝ ｼﾞﾝ</v>
      </c>
      <c r="D47" t="str">
        <f t="shared" ca="1" si="3"/>
        <v>Han Fen Jin</v>
      </c>
      <c r="E47" t="str" cm="1">
        <f t="array" aca="1" ref="E47" ca="1">INDIRECT(ADDRESS(RANDBETWEEN(2,16),7,1,1,"valueBase"))</f>
        <v>男性</v>
      </c>
      <c r="F47" s="5">
        <f t="shared" ca="1" si="4"/>
        <v>35546</v>
      </c>
      <c r="G47" s="5">
        <f t="shared" ca="1" si="5"/>
        <v>43326</v>
      </c>
      <c r="H47" s="5">
        <f t="shared" ca="1" si="6"/>
        <v>43691</v>
      </c>
      <c r="I47" t="str">
        <f t="shared" ca="1" si="7"/>
        <v>090-9093-0526</v>
      </c>
      <c r="J47" t="str">
        <f t="shared" ca="1" si="8"/>
        <v>Han_Fen Jin_43326@outlook.jp.co</v>
      </c>
      <c r="K47" t="str">
        <f t="shared" ca="1" si="9"/>
        <v>普通</v>
      </c>
      <c r="L47" t="str">
        <f t="shared" ca="1" si="0"/>
        <v>有り</v>
      </c>
      <c r="M47" t="str">
        <f t="shared" ca="1" si="10"/>
        <v>5%</v>
      </c>
      <c r="N47" t="str">
        <f t="shared" ca="1" si="11"/>
        <v>有り</v>
      </c>
      <c r="O47">
        <f t="shared" ca="1" si="12"/>
        <v>117</v>
      </c>
      <c r="R47">
        <f t="shared" ca="1" si="13"/>
        <v>26</v>
      </c>
      <c r="S47">
        <f t="shared" ca="1" si="14"/>
        <v>10</v>
      </c>
      <c r="T47">
        <f t="shared" ca="1" si="15"/>
        <v>1985</v>
      </c>
      <c r="U47">
        <f t="shared" ca="1" si="16"/>
        <v>1986</v>
      </c>
      <c r="V47">
        <f t="shared" ca="1" si="17"/>
        <v>10</v>
      </c>
      <c r="W47">
        <f t="shared" ca="1" si="18"/>
        <v>26</v>
      </c>
    </row>
    <row r="48" spans="1:23">
      <c r="A48" t="s">
        <v>46</v>
      </c>
      <c r="B48" t="str">
        <f t="shared" ca="1" si="1"/>
        <v>朱譽昌</v>
      </c>
      <c r="C48" t="str">
        <f t="shared" ca="1" si="2"/>
        <v>ｼﾞｭｳ ﾕｲ ﾁｬｰﾝ</v>
      </c>
      <c r="D48" t="str">
        <f t="shared" ca="1" si="3"/>
        <v>Zhu Yu Chang</v>
      </c>
      <c r="E48" t="str" cm="1">
        <f t="array" aca="1" ref="E48" ca="1">INDIRECT(ADDRESS(RANDBETWEEN(2,16),7,1,1,"valueBase"))</f>
        <v>女性</v>
      </c>
      <c r="F48" s="5">
        <f t="shared" ca="1" si="4"/>
        <v>37113</v>
      </c>
      <c r="G48" s="5">
        <f t="shared" ca="1" si="5"/>
        <v>44717</v>
      </c>
      <c r="H48" s="5">
        <f t="shared" ca="1" si="6"/>
        <v>45812</v>
      </c>
      <c r="I48" t="str">
        <f t="shared" ca="1" si="7"/>
        <v>090-2785-2326</v>
      </c>
      <c r="J48" t="str">
        <f t="shared" ca="1" si="8"/>
        <v>Zhu_Yu_Chang_44717@outlook.jp.co</v>
      </c>
      <c r="K48" t="str">
        <f t="shared" ca="1" si="9"/>
        <v>高級</v>
      </c>
      <c r="L48" t="str">
        <f t="shared" ca="1" si="0"/>
        <v>有り</v>
      </c>
      <c r="M48" t="str">
        <f t="shared" ca="1" si="10"/>
        <v>10%</v>
      </c>
      <c r="N48" t="str">
        <f t="shared" ca="1" si="11"/>
        <v>有り</v>
      </c>
      <c r="O48">
        <f t="shared" ca="1" si="12"/>
        <v>750</v>
      </c>
      <c r="R48">
        <f t="shared" ca="1" si="13"/>
        <v>15</v>
      </c>
      <c r="S48">
        <f t="shared" ca="1" si="14"/>
        <v>317</v>
      </c>
      <c r="T48">
        <f t="shared" ca="1" si="15"/>
        <v>1992</v>
      </c>
      <c r="U48">
        <f t="shared" ca="1" si="16"/>
        <v>1994</v>
      </c>
      <c r="V48">
        <f t="shared" ca="1" si="17"/>
        <v>2</v>
      </c>
      <c r="W48">
        <f t="shared" ca="1" si="18"/>
        <v>25</v>
      </c>
    </row>
    <row r="49" spans="1:23">
      <c r="A49" t="s">
        <v>47</v>
      </c>
      <c r="B49" t="str">
        <f t="shared" ca="1" si="1"/>
        <v>林厚道</v>
      </c>
      <c r="C49" t="str">
        <f t="shared" ca="1" si="2"/>
        <v>ﾘﾝ ﾎｳ ﾀﾞｵ</v>
      </c>
      <c r="D49" t="str">
        <f t="shared" ca="1" si="3"/>
        <v>Lin Hou Dao</v>
      </c>
      <c r="E49" t="str" cm="1">
        <f t="array" aca="1" ref="E49" ca="1">INDIRECT(ADDRESS(RANDBETWEEN(2,16),7,1,1,"valueBase"))</f>
        <v>男性</v>
      </c>
      <c r="F49" s="5">
        <f t="shared" ca="1" si="4"/>
        <v>37205</v>
      </c>
      <c r="G49" s="5">
        <f t="shared" ca="1" si="5"/>
        <v>44108</v>
      </c>
      <c r="H49" s="5">
        <f t="shared" ca="1" si="6"/>
        <v>45203</v>
      </c>
      <c r="I49" t="str">
        <f t="shared" ca="1" si="7"/>
        <v>090-3883-9166</v>
      </c>
      <c r="J49" t="str">
        <f t="shared" ca="1" si="8"/>
        <v>Lin_Hou_Dao_44108@outlook.jp.co</v>
      </c>
      <c r="K49" t="str">
        <f t="shared" ca="1" si="9"/>
        <v>高級</v>
      </c>
      <c r="L49" t="str">
        <f t="shared" ca="1" si="0"/>
        <v>有り</v>
      </c>
      <c r="M49" t="str">
        <f t="shared" ca="1" si="10"/>
        <v>10%</v>
      </c>
      <c r="N49" t="str">
        <f t="shared" ca="1" si="11"/>
        <v>-</v>
      </c>
      <c r="O49" t="str">
        <f t="shared" ca="1" si="12"/>
        <v>-</v>
      </c>
      <c r="R49">
        <f t="shared" ca="1" si="13"/>
        <v>17</v>
      </c>
      <c r="S49">
        <f t="shared" ca="1" si="14"/>
        <v>302</v>
      </c>
      <c r="T49">
        <f t="shared" ca="1" si="15"/>
        <v>1977</v>
      </c>
      <c r="U49">
        <f t="shared" ca="1" si="16"/>
        <v>1979</v>
      </c>
      <c r="V49">
        <f t="shared" ca="1" si="17"/>
        <v>12</v>
      </c>
      <c r="W49">
        <f t="shared" ca="1" si="18"/>
        <v>30</v>
      </c>
    </row>
    <row r="50" spans="1:23">
      <c r="A50" t="s">
        <v>48</v>
      </c>
      <c r="B50" t="str">
        <f t="shared" ca="1" si="1"/>
        <v>胡冰夢</v>
      </c>
      <c r="C50" t="str">
        <f t="shared" ca="1" si="2"/>
        <v>ﾎｩ ﾋﾞｰﾝ ﾑｵﾝ</v>
      </c>
      <c r="D50" t="str">
        <f t="shared" ca="1" si="3"/>
        <v>Hu Bing Meng</v>
      </c>
      <c r="E50" t="str" cm="1">
        <f t="array" aca="1" ref="E50" ca="1">INDIRECT(ADDRESS(RANDBETWEEN(2,16),7,1,1,"valueBase"))</f>
        <v>男性</v>
      </c>
      <c r="F50" s="5">
        <f t="shared" ca="1" si="4"/>
        <v>25090</v>
      </c>
      <c r="G50" s="5">
        <f t="shared" ca="1" si="5"/>
        <v>33864</v>
      </c>
      <c r="H50" s="5">
        <f t="shared" ca="1" si="6"/>
        <v>34594</v>
      </c>
      <c r="I50" t="str">
        <f t="shared" ca="1" si="7"/>
        <v>080-9114-6364</v>
      </c>
      <c r="J50" t="str">
        <f t="shared" ca="1" si="8"/>
        <v>Hu_Bing_Meng_33864@outlook.jp.co</v>
      </c>
      <c r="K50" t="str">
        <f t="shared" ca="1" si="9"/>
        <v>高級</v>
      </c>
      <c r="L50" t="str">
        <f t="shared" ca="1" si="0"/>
        <v>有り</v>
      </c>
      <c r="M50" t="str">
        <f t="shared" ca="1" si="10"/>
        <v>10%</v>
      </c>
      <c r="N50" t="str">
        <f t="shared" ca="1" si="11"/>
        <v>有り</v>
      </c>
      <c r="O50">
        <f t="shared" ca="1" si="12"/>
        <v>45</v>
      </c>
      <c r="R50">
        <f t="shared" ca="1" si="13"/>
        <v>14</v>
      </c>
      <c r="S50">
        <f t="shared" ca="1" si="14"/>
        <v>136</v>
      </c>
      <c r="T50">
        <f t="shared" ca="1" si="15"/>
        <v>1988</v>
      </c>
      <c r="U50">
        <f t="shared" ca="1" si="16"/>
        <v>1993</v>
      </c>
      <c r="V50">
        <f t="shared" ca="1" si="17"/>
        <v>6</v>
      </c>
      <c r="W50">
        <f t="shared" ca="1" si="18"/>
        <v>22</v>
      </c>
    </row>
    <row r="51" spans="1:23">
      <c r="A51" t="s">
        <v>49</v>
      </c>
      <c r="B51" t="str">
        <f t="shared" ca="1" si="1"/>
        <v>孫協曉</v>
      </c>
      <c r="C51" t="str">
        <f t="shared" ca="1" si="2"/>
        <v>ｽｩﾝ ｼｴ ｼﾔｵ</v>
      </c>
      <c r="D51" t="str">
        <f t="shared" ca="1" si="3"/>
        <v>Sun Xie Xiao</v>
      </c>
      <c r="E51" t="str" cm="1">
        <f t="array" aca="1" ref="E51" ca="1">INDIRECT(ADDRESS(RANDBETWEEN(2,16),7,1,1,"valueBase"))</f>
        <v>男性</v>
      </c>
      <c r="F51" s="5">
        <f t="shared" ca="1" si="4"/>
        <v>30697</v>
      </c>
      <c r="G51" s="5">
        <f t="shared" ca="1" si="5"/>
        <v>40058</v>
      </c>
      <c r="H51" s="5">
        <f t="shared" ca="1" si="6"/>
        <v>41153</v>
      </c>
      <c r="I51" t="str">
        <f t="shared" ca="1" si="7"/>
        <v>080-3662-4105</v>
      </c>
      <c r="J51" t="str">
        <f t="shared" ca="1" si="8"/>
        <v>Sun_Xie_Xiao_40058@outlook.jp.co</v>
      </c>
      <c r="K51" t="str">
        <f t="shared" ca="1" si="9"/>
        <v>普通</v>
      </c>
      <c r="L51" t="str">
        <f t="shared" ca="1" si="0"/>
        <v>有り</v>
      </c>
      <c r="M51" t="str">
        <f t="shared" ca="1" si="10"/>
        <v>5%</v>
      </c>
      <c r="N51" t="str">
        <f t="shared" ca="1" si="11"/>
        <v>有り</v>
      </c>
      <c r="O51">
        <f t="shared" ca="1" si="12"/>
        <v>573</v>
      </c>
      <c r="R51">
        <f t="shared" ca="1" si="13"/>
        <v>13</v>
      </c>
      <c r="S51">
        <f t="shared" ca="1" si="14"/>
        <v>111</v>
      </c>
      <c r="T51">
        <f t="shared" ca="1" si="15"/>
        <v>2010</v>
      </c>
      <c r="U51">
        <f t="shared" ca="1" si="16"/>
        <v>2022</v>
      </c>
      <c r="V51">
        <f t="shared" ca="1" si="17"/>
        <v>12</v>
      </c>
      <c r="W51">
        <f t="shared" ca="1" si="18"/>
        <v>19</v>
      </c>
    </row>
    <row r="52" spans="1:23">
      <c r="A52" t="s">
        <v>50</v>
      </c>
      <c r="B52" t="str">
        <f t="shared" ca="1" si="1"/>
        <v>王州紹</v>
      </c>
      <c r="C52" t="str">
        <f t="shared" ca="1" si="2"/>
        <v>ﾜｰﾝ ｼﾞｮｳ ｼｬｵ</v>
      </c>
      <c r="D52" t="str">
        <f t="shared" ca="1" si="3"/>
        <v>Wang Zhou Shao</v>
      </c>
      <c r="E52" t="str" cm="1">
        <f t="array" aca="1" ref="E52" ca="1">INDIRECT(ADDRESS(RANDBETWEEN(2,16),7,1,1,"valueBase"))</f>
        <v>男性</v>
      </c>
      <c r="F52" s="5">
        <f t="shared" ca="1" si="4"/>
        <v>37406</v>
      </c>
      <c r="G52" s="5">
        <f t="shared" ca="1" si="5"/>
        <v>45345</v>
      </c>
      <c r="H52" s="5">
        <f t="shared" ca="1" si="6"/>
        <v>45710</v>
      </c>
      <c r="I52" t="str">
        <f t="shared" ca="1" si="7"/>
        <v>090-4399-0179</v>
      </c>
      <c r="J52" t="str">
        <f t="shared" ca="1" si="8"/>
        <v>Wang_Zhou_Shao_45345@outlook.jp.co</v>
      </c>
      <c r="K52" t="str">
        <f t="shared" ca="1" si="9"/>
        <v>高級</v>
      </c>
      <c r="L52" t="str">
        <f t="shared" ca="1" si="0"/>
        <v>有り</v>
      </c>
      <c r="M52" t="str">
        <f t="shared" ca="1" si="10"/>
        <v>10%</v>
      </c>
      <c r="N52" t="str">
        <f t="shared" ca="1" si="11"/>
        <v>有り</v>
      </c>
      <c r="O52">
        <f t="shared" ca="1" si="12"/>
        <v>605</v>
      </c>
      <c r="R52">
        <f t="shared" ca="1" si="13"/>
        <v>3</v>
      </c>
      <c r="S52">
        <f t="shared" ca="1" si="14"/>
        <v>233</v>
      </c>
      <c r="T52">
        <f t="shared" ca="1" si="15"/>
        <v>1975</v>
      </c>
      <c r="U52">
        <f t="shared" ca="1" si="16"/>
        <v>1983</v>
      </c>
      <c r="V52">
        <f t="shared" ca="1" si="17"/>
        <v>9</v>
      </c>
      <c r="W52">
        <f t="shared" ca="1" si="18"/>
        <v>24</v>
      </c>
    </row>
    <row r="53" spans="1:23">
      <c r="A53" t="s">
        <v>51</v>
      </c>
      <c r="B53" t="str">
        <f t="shared" ca="1" si="1"/>
        <v>陳群圓</v>
      </c>
      <c r="C53" t="str">
        <f t="shared" ca="1" si="2"/>
        <v>ﾁｪﾝ ﾁｭｲﾝ ﾕｴﾝ</v>
      </c>
      <c r="D53" t="str">
        <f t="shared" ca="1" si="3"/>
        <v>Chen Qun Yuan</v>
      </c>
      <c r="E53" t="str" cm="1">
        <f t="array" aca="1" ref="E53" ca="1">INDIRECT(ADDRESS(RANDBETWEEN(2,16),7,1,1,"valueBase"))</f>
        <v>男性</v>
      </c>
      <c r="F53" s="5">
        <f t="shared" ca="1" si="4"/>
        <v>25628</v>
      </c>
      <c r="G53" s="5">
        <f t="shared" ca="1" si="5"/>
        <v>42955</v>
      </c>
      <c r="H53" s="5">
        <f t="shared" ca="1" si="6"/>
        <v>44050</v>
      </c>
      <c r="I53" t="str">
        <f t="shared" ca="1" si="7"/>
        <v>090-5794-8643</v>
      </c>
      <c r="J53" t="str">
        <f t="shared" ca="1" si="8"/>
        <v>Chen_Qun_Yuan_42955@outlook.jp.co</v>
      </c>
      <c r="K53" t="str">
        <f t="shared" ca="1" si="9"/>
        <v>普通</v>
      </c>
      <c r="L53" t="str">
        <f t="shared" ca="1" si="0"/>
        <v>有り</v>
      </c>
      <c r="M53" t="str">
        <f t="shared" ca="1" si="10"/>
        <v>5%</v>
      </c>
      <c r="N53" t="str">
        <f t="shared" ca="1" si="11"/>
        <v>-</v>
      </c>
      <c r="O53" t="str">
        <f t="shared" ca="1" si="12"/>
        <v>-</v>
      </c>
      <c r="R53">
        <f t="shared" ca="1" si="13"/>
        <v>6</v>
      </c>
      <c r="S53">
        <f t="shared" ca="1" si="14"/>
        <v>293</v>
      </c>
      <c r="T53">
        <f t="shared" ca="1" si="15"/>
        <v>2002</v>
      </c>
      <c r="U53">
        <f t="shared" ca="1" si="16"/>
        <v>2004</v>
      </c>
      <c r="V53">
        <f t="shared" ca="1" si="17"/>
        <v>4</v>
      </c>
      <c r="W53">
        <f t="shared" ca="1" si="18"/>
        <v>29</v>
      </c>
    </row>
    <row r="54" spans="1:23">
      <c r="A54" t="s">
        <v>52</v>
      </c>
      <c r="B54" t="str">
        <f t="shared" ca="1" si="1"/>
        <v>朱倫惠</v>
      </c>
      <c r="C54" t="str">
        <f t="shared" ca="1" si="2"/>
        <v>ｼﾞｭｳ ﾙﾝ ﾎｩｲ</v>
      </c>
      <c r="D54" t="str">
        <f t="shared" ca="1" si="3"/>
        <v>Zhu Lun Hui</v>
      </c>
      <c r="E54" t="str" cm="1">
        <f t="array" aca="1" ref="E54" ca="1">INDIRECT(ADDRESS(RANDBETWEEN(2,16),7,1,1,"valueBase"))</f>
        <v>女性</v>
      </c>
      <c r="F54" s="5">
        <f t="shared" ca="1" si="4"/>
        <v>31592</v>
      </c>
      <c r="G54" s="5">
        <f t="shared" ca="1" si="5"/>
        <v>38645</v>
      </c>
      <c r="H54" s="5">
        <f t="shared" ca="1" si="6"/>
        <v>39375</v>
      </c>
      <c r="I54" t="str">
        <f t="shared" ca="1" si="7"/>
        <v>080-7881-9544</v>
      </c>
      <c r="J54" t="str">
        <f t="shared" ca="1" si="8"/>
        <v>Zhu_Lun_Hui_38645@outlook.jp.co</v>
      </c>
      <c r="K54" t="str">
        <f t="shared" ca="1" si="9"/>
        <v>普通</v>
      </c>
      <c r="L54" t="str">
        <f t="shared" ca="1" si="0"/>
        <v>-</v>
      </c>
      <c r="M54" t="str">
        <f t="shared" ca="1" si="10"/>
        <v>-</v>
      </c>
      <c r="N54" t="str">
        <f t="shared" ca="1" si="11"/>
        <v>有り</v>
      </c>
      <c r="O54">
        <f t="shared" ca="1" si="12"/>
        <v>774</v>
      </c>
      <c r="R54">
        <f t="shared" ca="1" si="13"/>
        <v>15</v>
      </c>
      <c r="S54">
        <f t="shared" ca="1" si="14"/>
        <v>131</v>
      </c>
      <c r="T54">
        <f t="shared" ca="1" si="15"/>
        <v>1984</v>
      </c>
      <c r="U54">
        <f t="shared" ca="1" si="16"/>
        <v>1988</v>
      </c>
      <c r="V54">
        <f t="shared" ca="1" si="17"/>
        <v>5</v>
      </c>
      <c r="W54">
        <f t="shared" ca="1" si="18"/>
        <v>29</v>
      </c>
    </row>
    <row r="55" spans="1:23">
      <c r="A55" t="s">
        <v>53</v>
      </c>
      <c r="B55" t="str">
        <f t="shared" ca="1" si="1"/>
        <v>楊虎傑</v>
      </c>
      <c r="C55" t="str">
        <f t="shared" ca="1" si="2"/>
        <v>ﾔｰﾝ ﾎｩ ｼﾞｴ</v>
      </c>
      <c r="D55" t="str">
        <f t="shared" ca="1" si="3"/>
        <v>Yang Hu Jie</v>
      </c>
      <c r="E55" t="str" cm="1">
        <f t="array" aca="1" ref="E55" ca="1">INDIRECT(ADDRESS(RANDBETWEEN(2,16),7,1,1,"valueBase"))</f>
        <v>女性</v>
      </c>
      <c r="F55" s="5">
        <f t="shared" ca="1" si="4"/>
        <v>33424</v>
      </c>
      <c r="G55" s="5">
        <f t="shared" ca="1" si="5"/>
        <v>41494</v>
      </c>
      <c r="H55" s="5">
        <f t="shared" ca="1" si="6"/>
        <v>42224</v>
      </c>
      <c r="I55" t="str">
        <f t="shared" ca="1" si="7"/>
        <v>090-3625-2732</v>
      </c>
      <c r="J55" t="str">
        <f t="shared" ca="1" si="8"/>
        <v>Yang_Hu_Jie_41494@outlook.jp.co</v>
      </c>
      <c r="K55" t="str">
        <f t="shared" ca="1" si="9"/>
        <v>普通</v>
      </c>
      <c r="L55" t="str">
        <f t="shared" ca="1" si="0"/>
        <v>有り</v>
      </c>
      <c r="M55" t="str">
        <f t="shared" ca="1" si="10"/>
        <v>5%</v>
      </c>
      <c r="N55" t="str">
        <f t="shared" ca="1" si="11"/>
        <v>有り</v>
      </c>
      <c r="O55">
        <f t="shared" ca="1" si="12"/>
        <v>945</v>
      </c>
      <c r="R55">
        <f t="shared" ca="1" si="13"/>
        <v>7</v>
      </c>
      <c r="S55">
        <f t="shared" ca="1" si="14"/>
        <v>201</v>
      </c>
      <c r="T55">
        <f t="shared" ca="1" si="15"/>
        <v>1994</v>
      </c>
      <c r="U55">
        <f t="shared" ca="1" si="16"/>
        <v>2001</v>
      </c>
      <c r="V55">
        <f t="shared" ca="1" si="17"/>
        <v>7</v>
      </c>
      <c r="W55">
        <f t="shared" ca="1" si="18"/>
        <v>6</v>
      </c>
    </row>
    <row r="56" spans="1:23">
      <c r="A56" t="s">
        <v>54</v>
      </c>
      <c r="B56" t="str">
        <f t="shared" ca="1" si="1"/>
        <v>鄭泓聽</v>
      </c>
      <c r="C56" t="str">
        <f t="shared" ca="1" si="2"/>
        <v>ｼﾞｭﾖﾝ ﾎｰﾝ ﾃｨｰﾝ</v>
      </c>
      <c r="D56" t="str">
        <f t="shared" ca="1" si="3"/>
        <v>Zheng Hong Ting</v>
      </c>
      <c r="E56" t="str" cm="1">
        <f t="array" aca="1" ref="E56" ca="1">INDIRECT(ADDRESS(RANDBETWEEN(2,16),7,1,1,"valueBase"))</f>
        <v>女性</v>
      </c>
      <c r="F56" s="5">
        <f t="shared" ca="1" si="4"/>
        <v>35561</v>
      </c>
      <c r="G56" s="5">
        <f t="shared" ca="1" si="5"/>
        <v>42418</v>
      </c>
      <c r="H56" s="5">
        <f t="shared" ca="1" si="6"/>
        <v>43148</v>
      </c>
      <c r="I56" t="str">
        <f t="shared" ca="1" si="7"/>
        <v>080-8917-5208</v>
      </c>
      <c r="J56" t="str">
        <f t="shared" ca="1" si="8"/>
        <v>Zheng_Hong_Ting_42418@outlook.jp.co</v>
      </c>
      <c r="K56" t="str">
        <f t="shared" ca="1" si="9"/>
        <v>高級</v>
      </c>
      <c r="L56" t="str">
        <f t="shared" ca="1" si="0"/>
        <v>有り</v>
      </c>
      <c r="M56" t="str">
        <f t="shared" ca="1" si="10"/>
        <v>10%</v>
      </c>
      <c r="N56" t="str">
        <f t="shared" ca="1" si="11"/>
        <v>有り</v>
      </c>
      <c r="O56">
        <f t="shared" ca="1" si="12"/>
        <v>993</v>
      </c>
      <c r="R56">
        <f t="shared" ca="1" si="13"/>
        <v>24</v>
      </c>
      <c r="S56">
        <f t="shared" ca="1" si="14"/>
        <v>248</v>
      </c>
      <c r="T56">
        <f t="shared" ca="1" si="15"/>
        <v>1988</v>
      </c>
      <c r="U56">
        <f t="shared" ca="1" si="16"/>
        <v>1990</v>
      </c>
      <c r="V56">
        <f t="shared" ca="1" si="17"/>
        <v>3</v>
      </c>
      <c r="W56">
        <f t="shared" ca="1" si="18"/>
        <v>14</v>
      </c>
    </row>
    <row r="57" spans="1:23">
      <c r="A57" t="s">
        <v>55</v>
      </c>
      <c r="B57" t="str">
        <f t="shared" ca="1" si="1"/>
        <v>王美貿</v>
      </c>
      <c r="C57" t="str">
        <f t="shared" ca="1" si="2"/>
        <v>ﾜｰﾝ ﾒｲ ﾏｵ</v>
      </c>
      <c r="D57" t="str">
        <f t="shared" ca="1" si="3"/>
        <v>Wang Mei Mao</v>
      </c>
      <c r="E57" t="str" cm="1">
        <f t="array" aca="1" ref="E57" ca="1">INDIRECT(ADDRESS(RANDBETWEEN(2,16),7,1,1,"valueBase"))</f>
        <v>男性</v>
      </c>
      <c r="F57" s="5">
        <f t="shared" ca="1" si="4"/>
        <v>27278</v>
      </c>
      <c r="G57" s="5">
        <f t="shared" ca="1" si="5"/>
        <v>37418</v>
      </c>
      <c r="H57" s="5">
        <f t="shared" ca="1" si="6"/>
        <v>37783</v>
      </c>
      <c r="I57" t="str">
        <f t="shared" ca="1" si="7"/>
        <v>090-0438-6046</v>
      </c>
      <c r="J57" t="str">
        <f t="shared" ca="1" si="8"/>
        <v>Wang_Mei_Mao_37418@outlook.jp.co</v>
      </c>
      <c r="K57" t="str">
        <f t="shared" ca="1" si="9"/>
        <v>普通</v>
      </c>
      <c r="L57" t="str">
        <f t="shared" ca="1" si="0"/>
        <v>-</v>
      </c>
      <c r="M57" t="str">
        <f t="shared" ca="1" si="10"/>
        <v>-</v>
      </c>
      <c r="N57" t="str">
        <f t="shared" ca="1" si="11"/>
        <v>有り</v>
      </c>
      <c r="O57">
        <f t="shared" ca="1" si="12"/>
        <v>277</v>
      </c>
      <c r="R57">
        <f t="shared" ca="1" si="13"/>
        <v>3</v>
      </c>
      <c r="S57">
        <f t="shared" ca="1" si="14"/>
        <v>89</v>
      </c>
      <c r="T57">
        <f t="shared" ca="1" si="15"/>
        <v>2006</v>
      </c>
      <c r="U57">
        <f t="shared" ca="1" si="16"/>
        <v>2012</v>
      </c>
      <c r="V57">
        <f t="shared" ca="1" si="17"/>
        <v>5</v>
      </c>
      <c r="W57">
        <f t="shared" ca="1" si="18"/>
        <v>6</v>
      </c>
    </row>
    <row r="58" spans="1:23">
      <c r="A58" t="s">
        <v>56</v>
      </c>
      <c r="B58" t="str">
        <f t="shared" ca="1" si="1"/>
        <v>趙朋莉</v>
      </c>
      <c r="C58" t="str">
        <f t="shared" ca="1" si="2"/>
        <v>ｼﾞｬｵ ﾌﾟｵﾝ ﾘｰ</v>
      </c>
      <c r="D58" t="str">
        <f t="shared" ca="1" si="3"/>
        <v>Zhao Peng Li</v>
      </c>
      <c r="E58" t="str" cm="1">
        <f t="array" aca="1" ref="E58" ca="1">INDIRECT(ADDRESS(RANDBETWEEN(2,16),7,1,1,"valueBase"))</f>
        <v>男性</v>
      </c>
      <c r="F58" s="5">
        <f t="shared" ca="1" si="4"/>
        <v>26186</v>
      </c>
      <c r="G58" s="5">
        <f t="shared" ca="1" si="5"/>
        <v>36816</v>
      </c>
      <c r="H58" s="5">
        <f t="shared" ca="1" si="6"/>
        <v>37911</v>
      </c>
      <c r="I58" t="str">
        <f t="shared" ca="1" si="7"/>
        <v>090-0022-0900</v>
      </c>
      <c r="J58" t="str">
        <f t="shared" ca="1" si="8"/>
        <v>Zhao_Peng_Li_36816@outlook.jp.co</v>
      </c>
      <c r="K58" t="str">
        <f t="shared" ca="1" si="9"/>
        <v>高級</v>
      </c>
      <c r="L58" t="str">
        <f t="shared" ca="1" si="0"/>
        <v>有り</v>
      </c>
      <c r="M58" t="str">
        <f t="shared" ca="1" si="10"/>
        <v>10%</v>
      </c>
      <c r="N58" t="str">
        <f t="shared" ca="1" si="11"/>
        <v>有り</v>
      </c>
      <c r="O58">
        <f t="shared" ca="1" si="12"/>
        <v>295</v>
      </c>
      <c r="R58">
        <f t="shared" ca="1" si="13"/>
        <v>8</v>
      </c>
      <c r="S58">
        <f t="shared" ca="1" si="14"/>
        <v>153</v>
      </c>
      <c r="T58">
        <f t="shared" ca="1" si="15"/>
        <v>1998</v>
      </c>
      <c r="U58">
        <f t="shared" ca="1" si="16"/>
        <v>2003</v>
      </c>
      <c r="V58">
        <f t="shared" ca="1" si="17"/>
        <v>1</v>
      </c>
      <c r="W58">
        <f t="shared" ca="1" si="18"/>
        <v>7</v>
      </c>
    </row>
    <row r="59" spans="1:23">
      <c r="A59" t="s">
        <v>57</v>
      </c>
      <c r="B59" t="str">
        <f t="shared" ca="1" si="1"/>
        <v>宋輝琛</v>
      </c>
      <c r="C59" t="str">
        <f t="shared" ca="1" si="2"/>
        <v>ｿｰﾝ ﾎｩｲ ﾁｪﾝ</v>
      </c>
      <c r="D59" t="str">
        <f t="shared" ca="1" si="3"/>
        <v>Song Hui Chen</v>
      </c>
      <c r="E59" t="str" cm="1">
        <f t="array" aca="1" ref="E59" ca="1">INDIRECT(ADDRESS(RANDBETWEEN(2,16),7,1,1,"valueBase"))</f>
        <v>女性</v>
      </c>
      <c r="F59" s="5">
        <f t="shared" ca="1" si="4"/>
        <v>38776</v>
      </c>
      <c r="G59" s="5">
        <f t="shared" ca="1" si="5"/>
        <v>45435</v>
      </c>
      <c r="H59" s="5">
        <f t="shared" ca="1" si="6"/>
        <v>45800</v>
      </c>
      <c r="I59" t="str">
        <f t="shared" ca="1" si="7"/>
        <v>080-5280-2524</v>
      </c>
      <c r="J59" t="str">
        <f t="shared" ca="1" si="8"/>
        <v>Song_Hui_Chen_45435@outlook.jp.co</v>
      </c>
      <c r="K59" t="str">
        <f t="shared" ca="1" si="9"/>
        <v>高級</v>
      </c>
      <c r="L59" t="str">
        <f t="shared" ca="1" si="0"/>
        <v>有り</v>
      </c>
      <c r="M59" t="str">
        <f t="shared" ca="1" si="10"/>
        <v>10%</v>
      </c>
      <c r="N59" t="str">
        <f t="shared" ca="1" si="11"/>
        <v>有り</v>
      </c>
      <c r="O59">
        <f t="shared" ca="1" si="12"/>
        <v>961</v>
      </c>
      <c r="R59">
        <f t="shared" ca="1" si="13"/>
        <v>23</v>
      </c>
      <c r="S59">
        <f t="shared" ca="1" si="14"/>
        <v>327</v>
      </c>
      <c r="T59">
        <f t="shared" ca="1" si="15"/>
        <v>1989</v>
      </c>
      <c r="U59">
        <f t="shared" ca="1" si="16"/>
        <v>1992</v>
      </c>
      <c r="V59">
        <f t="shared" ca="1" si="17"/>
        <v>6</v>
      </c>
      <c r="W59">
        <f t="shared" ca="1" si="18"/>
        <v>18</v>
      </c>
    </row>
    <row r="60" spans="1:23">
      <c r="A60" t="s">
        <v>58</v>
      </c>
      <c r="B60" t="str">
        <f t="shared" ca="1" si="1"/>
        <v>于暉晨</v>
      </c>
      <c r="C60" t="str">
        <f t="shared" ca="1" si="2"/>
        <v>ﾕｲ ﾎｩｲ ﾁｪﾝ</v>
      </c>
      <c r="D60" t="str">
        <f t="shared" ca="1" si="3"/>
        <v>Yu Hui Chen</v>
      </c>
      <c r="E60" t="str" cm="1">
        <f t="array" aca="1" ref="E60" ca="1">INDIRECT(ADDRESS(RANDBETWEEN(2,16),7,1,1,"valueBase"))</f>
        <v>女性</v>
      </c>
      <c r="F60" s="5">
        <f t="shared" ca="1" si="4"/>
        <v>23341</v>
      </c>
      <c r="G60" s="5">
        <f t="shared" ca="1" si="5"/>
        <v>39833</v>
      </c>
      <c r="H60" s="5">
        <f t="shared" ca="1" si="6"/>
        <v>40928</v>
      </c>
      <c r="I60" t="str">
        <f t="shared" ca="1" si="7"/>
        <v>080-9009-8372</v>
      </c>
      <c r="J60" t="str">
        <f t="shared" ca="1" si="8"/>
        <v>Yu_Hui_Chen_39833@outlook.jp.co</v>
      </c>
      <c r="K60" t="str">
        <f t="shared" ca="1" si="9"/>
        <v>高級</v>
      </c>
      <c r="L60" t="str">
        <f t="shared" ca="1" si="0"/>
        <v>有り</v>
      </c>
      <c r="M60" t="str">
        <f t="shared" ca="1" si="10"/>
        <v>10%</v>
      </c>
      <c r="N60" t="str">
        <f t="shared" ca="1" si="11"/>
        <v>-</v>
      </c>
      <c r="O60" t="str">
        <f t="shared" ca="1" si="12"/>
        <v>-</v>
      </c>
      <c r="R60">
        <f t="shared" ca="1" si="13"/>
        <v>29</v>
      </c>
      <c r="S60">
        <f t="shared" ca="1" si="14"/>
        <v>164</v>
      </c>
      <c r="T60">
        <f t="shared" ca="1" si="15"/>
        <v>1977</v>
      </c>
      <c r="U60">
        <f t="shared" ca="1" si="16"/>
        <v>1989</v>
      </c>
      <c r="V60">
        <f t="shared" ca="1" si="17"/>
        <v>1</v>
      </c>
      <c r="W60">
        <f t="shared" ca="1" si="18"/>
        <v>24</v>
      </c>
    </row>
    <row r="61" spans="1:23">
      <c r="A61" t="s">
        <v>59</v>
      </c>
      <c r="B61" t="str">
        <f t="shared" ca="1" si="1"/>
        <v>高耿晏</v>
      </c>
      <c r="C61" t="str">
        <f t="shared" ca="1" si="2"/>
        <v>ｶﾞｵ ｸﾞｵﾝ ｲｴﾝ</v>
      </c>
      <c r="D61" t="str">
        <f t="shared" ca="1" si="3"/>
        <v>Gao Geng Yan</v>
      </c>
      <c r="E61" t="str" cm="1">
        <f t="array" aca="1" ref="E61" ca="1">INDIRECT(ADDRESS(RANDBETWEEN(2,16),7,1,1,"valueBase"))</f>
        <v>-</v>
      </c>
      <c r="F61" s="5">
        <f t="shared" ca="1" si="4"/>
        <v>23152</v>
      </c>
      <c r="G61" s="5">
        <f t="shared" ca="1" si="5"/>
        <v>30168</v>
      </c>
      <c r="H61" s="5">
        <f t="shared" ca="1" si="6"/>
        <v>30533</v>
      </c>
      <c r="I61" t="str">
        <f t="shared" ca="1" si="7"/>
        <v>080-6419-3536</v>
      </c>
      <c r="J61" t="str">
        <f t="shared" ca="1" si="8"/>
        <v>Gao_Geng_Yan_30168@outlook.jp.co</v>
      </c>
      <c r="K61" t="str">
        <f t="shared" ca="1" si="9"/>
        <v>普通</v>
      </c>
      <c r="L61" t="str">
        <f t="shared" ca="1" si="0"/>
        <v>有り</v>
      </c>
      <c r="M61" t="str">
        <f t="shared" ca="1" si="10"/>
        <v>5%</v>
      </c>
      <c r="N61" t="str">
        <f t="shared" ca="1" si="11"/>
        <v>-</v>
      </c>
      <c r="O61" t="str">
        <f t="shared" ca="1" si="12"/>
        <v>-</v>
      </c>
      <c r="R61">
        <f t="shared" ca="1" si="13"/>
        <v>16</v>
      </c>
      <c r="S61">
        <f t="shared" ca="1" si="14"/>
        <v>241</v>
      </c>
      <c r="T61">
        <f t="shared" ca="1" si="15"/>
        <v>1991</v>
      </c>
      <c r="U61">
        <f t="shared" ca="1" si="16"/>
        <v>1997</v>
      </c>
      <c r="V61">
        <f t="shared" ca="1" si="17"/>
        <v>7</v>
      </c>
      <c r="W61">
        <f t="shared" ca="1" si="18"/>
        <v>3</v>
      </c>
    </row>
    <row r="62" spans="1:23">
      <c r="A62" t="s">
        <v>60</v>
      </c>
      <c r="B62" t="str">
        <f t="shared" ca="1" si="1"/>
        <v>林盟玲</v>
      </c>
      <c r="C62" t="str">
        <f t="shared" ca="1" si="2"/>
        <v>ﾘﾝ ﾑｵﾝ ﾘｰﾝ</v>
      </c>
      <c r="D62" t="str">
        <f t="shared" ca="1" si="3"/>
        <v>Lin Meng Ling</v>
      </c>
      <c r="E62" t="str" cm="1">
        <f t="array" aca="1" ref="E62" ca="1">INDIRECT(ADDRESS(RANDBETWEEN(2,16),7,1,1,"valueBase"))</f>
        <v>男性</v>
      </c>
      <c r="F62" s="5">
        <f t="shared" ca="1" si="4"/>
        <v>24112</v>
      </c>
      <c r="G62" s="5">
        <f t="shared" ca="1" si="5"/>
        <v>33655</v>
      </c>
      <c r="H62" s="5">
        <f t="shared" ca="1" si="6"/>
        <v>34385</v>
      </c>
      <c r="I62" t="str">
        <f t="shared" ca="1" si="7"/>
        <v>090-1614-9556</v>
      </c>
      <c r="J62" t="str">
        <f t="shared" ca="1" si="8"/>
        <v>Lin_Meng_Ling_33655@outlook.jp.co</v>
      </c>
      <c r="K62" t="str">
        <f t="shared" ca="1" si="9"/>
        <v>普通</v>
      </c>
      <c r="L62" t="str">
        <f t="shared" ca="1" si="0"/>
        <v>-</v>
      </c>
      <c r="M62" t="str">
        <f t="shared" ca="1" si="10"/>
        <v>-</v>
      </c>
      <c r="N62" t="str">
        <f t="shared" ca="1" si="11"/>
        <v>有り</v>
      </c>
      <c r="O62">
        <f t="shared" ca="1" si="12"/>
        <v>886</v>
      </c>
      <c r="R62">
        <f t="shared" ca="1" si="13"/>
        <v>17</v>
      </c>
      <c r="S62">
        <f t="shared" ca="1" si="14"/>
        <v>102</v>
      </c>
      <c r="T62">
        <f t="shared" ca="1" si="15"/>
        <v>1988</v>
      </c>
      <c r="U62">
        <f t="shared" ca="1" si="16"/>
        <v>1997</v>
      </c>
      <c r="V62">
        <f t="shared" ca="1" si="17"/>
        <v>6</v>
      </c>
      <c r="W62">
        <f t="shared" ca="1" si="18"/>
        <v>30</v>
      </c>
    </row>
    <row r="63" spans="1:23">
      <c r="A63" t="s">
        <v>61</v>
      </c>
      <c r="B63" t="str">
        <f t="shared" ca="1" si="1"/>
        <v>唐影真</v>
      </c>
      <c r="C63" t="str">
        <f t="shared" ca="1" si="2"/>
        <v>ﾀｰﾝ ｲｰﾝ ｼﾞｪﾝ</v>
      </c>
      <c r="D63" t="str">
        <f t="shared" ca="1" si="3"/>
        <v>Tang Ying Zhen</v>
      </c>
      <c r="E63" t="str" cm="1">
        <f t="array" aca="1" ref="E63" ca="1">INDIRECT(ADDRESS(RANDBETWEEN(2,16),7,1,1,"valueBase"))</f>
        <v>男性</v>
      </c>
      <c r="F63" s="5">
        <f t="shared" ca="1" si="4"/>
        <v>22123</v>
      </c>
      <c r="G63" s="5">
        <f t="shared" ca="1" si="5"/>
        <v>31965</v>
      </c>
      <c r="H63" s="5">
        <f t="shared" ca="1" si="6"/>
        <v>32695</v>
      </c>
      <c r="I63" t="str">
        <f t="shared" ca="1" si="7"/>
        <v>080-1811-7744</v>
      </c>
      <c r="J63" t="str">
        <f t="shared" ca="1" si="8"/>
        <v>Tang_Ying_Zhen_31965@outlook.jp.co</v>
      </c>
      <c r="K63" t="str">
        <f t="shared" ca="1" si="9"/>
        <v>普通</v>
      </c>
      <c r="L63" t="str">
        <f t="shared" ca="1" si="0"/>
        <v>-</v>
      </c>
      <c r="M63" t="str">
        <f t="shared" ca="1" si="10"/>
        <v>-</v>
      </c>
      <c r="N63" t="str">
        <f t="shared" ca="1" si="11"/>
        <v>有り</v>
      </c>
      <c r="O63">
        <f t="shared" ca="1" si="12"/>
        <v>869</v>
      </c>
      <c r="R63">
        <f t="shared" ca="1" si="13"/>
        <v>27</v>
      </c>
      <c r="S63">
        <f t="shared" ca="1" si="14"/>
        <v>140</v>
      </c>
      <c r="T63">
        <f t="shared" ca="1" si="15"/>
        <v>2005</v>
      </c>
      <c r="U63">
        <f t="shared" ca="1" si="16"/>
        <v>2017</v>
      </c>
      <c r="V63">
        <f t="shared" ca="1" si="17"/>
        <v>3</v>
      </c>
      <c r="W63">
        <f t="shared" ca="1" si="18"/>
        <v>15</v>
      </c>
    </row>
    <row r="64" spans="1:23">
      <c r="A64" t="s">
        <v>62</v>
      </c>
      <c r="B64" t="str">
        <f t="shared" ca="1" si="1"/>
        <v>吳風帝</v>
      </c>
      <c r="C64" t="str">
        <f t="shared" ca="1" si="2"/>
        <v>ｳｰ ﾌｵﾝ ﾃﾞｨｰ</v>
      </c>
      <c r="D64" t="str">
        <f t="shared" ca="1" si="3"/>
        <v>Wu Feng Di</v>
      </c>
      <c r="E64" t="str" cm="1">
        <f t="array" aca="1" ref="E64" ca="1">INDIRECT(ADDRESS(RANDBETWEEN(2,16),7,1,1,"valueBase"))</f>
        <v>男性</v>
      </c>
      <c r="F64" s="5">
        <f t="shared" ca="1" si="4"/>
        <v>31959</v>
      </c>
      <c r="G64" s="5">
        <f t="shared" ca="1" si="5"/>
        <v>39948</v>
      </c>
      <c r="H64" s="5">
        <f t="shared" ca="1" si="6"/>
        <v>40313</v>
      </c>
      <c r="I64" t="str">
        <f t="shared" ca="1" si="7"/>
        <v>080-0951-1832</v>
      </c>
      <c r="J64" t="str">
        <f t="shared" ca="1" si="8"/>
        <v>Wu_Feng_Di_39948@outlook.jp.co</v>
      </c>
      <c r="K64" t="str">
        <f t="shared" ca="1" si="9"/>
        <v>普通</v>
      </c>
      <c r="L64" t="str">
        <f t="shared" ca="1" si="0"/>
        <v>有り</v>
      </c>
      <c r="M64" t="str">
        <f t="shared" ca="1" si="10"/>
        <v>5%</v>
      </c>
      <c r="N64" t="str">
        <f t="shared" ca="1" si="11"/>
        <v>-</v>
      </c>
      <c r="O64" t="str">
        <f t="shared" ca="1" si="12"/>
        <v>-</v>
      </c>
      <c r="R64">
        <f t="shared" ca="1" si="13"/>
        <v>11</v>
      </c>
      <c r="S64">
        <f t="shared" ca="1" si="14"/>
        <v>22</v>
      </c>
      <c r="T64">
        <f t="shared" ca="1" si="15"/>
        <v>2002</v>
      </c>
      <c r="U64">
        <f t="shared" ca="1" si="16"/>
        <v>2007</v>
      </c>
      <c r="V64">
        <f t="shared" ca="1" si="17"/>
        <v>2</v>
      </c>
      <c r="W64">
        <f t="shared" ca="1" si="18"/>
        <v>24</v>
      </c>
    </row>
    <row r="65" spans="1:23">
      <c r="A65" t="s">
        <v>63</v>
      </c>
      <c r="B65" t="str">
        <f t="shared" ca="1" si="1"/>
        <v>唐孝海</v>
      </c>
      <c r="C65" t="str">
        <f t="shared" ca="1" si="2"/>
        <v>ﾀｰﾝ ｼﾔｵ ﾊｲ</v>
      </c>
      <c r="D65" t="str">
        <f t="shared" ca="1" si="3"/>
        <v>Tang Xiao Hai</v>
      </c>
      <c r="E65" t="str" cm="1">
        <f t="array" aca="1" ref="E65" ca="1">INDIRECT(ADDRESS(RANDBETWEEN(2,16),7,1,1,"valueBase"))</f>
        <v>-</v>
      </c>
      <c r="F65" s="5">
        <f t="shared" ca="1" si="4"/>
        <v>32883</v>
      </c>
      <c r="G65" s="5">
        <f t="shared" ca="1" si="5"/>
        <v>45247</v>
      </c>
      <c r="H65" s="5">
        <f t="shared" ca="1" si="6"/>
        <v>45977</v>
      </c>
      <c r="I65" t="str">
        <f t="shared" ca="1" si="7"/>
        <v>090-7712-7902</v>
      </c>
      <c r="J65" t="str">
        <f t="shared" ca="1" si="8"/>
        <v>Tang_Xiao_Hai_45247@outlook.jp.co</v>
      </c>
      <c r="K65" t="str">
        <f t="shared" ca="1" si="9"/>
        <v>普通</v>
      </c>
      <c r="L65" t="str">
        <f t="shared" ca="1" si="0"/>
        <v>有り</v>
      </c>
      <c r="M65" t="str">
        <f t="shared" ca="1" si="10"/>
        <v>5%</v>
      </c>
      <c r="N65" t="str">
        <f t="shared" ca="1" si="11"/>
        <v>有り</v>
      </c>
      <c r="O65">
        <f t="shared" ca="1" si="12"/>
        <v>880</v>
      </c>
      <c r="R65">
        <f t="shared" ca="1" si="13"/>
        <v>27</v>
      </c>
      <c r="S65">
        <f t="shared" ca="1" si="14"/>
        <v>100</v>
      </c>
      <c r="T65">
        <f t="shared" ca="1" si="15"/>
        <v>2006</v>
      </c>
      <c r="U65">
        <f t="shared" ca="1" si="16"/>
        <v>2009</v>
      </c>
      <c r="V65">
        <f t="shared" ca="1" si="17"/>
        <v>2</v>
      </c>
      <c r="W65">
        <f t="shared" ca="1" si="18"/>
        <v>8</v>
      </c>
    </row>
    <row r="66" spans="1:23">
      <c r="A66" t="s">
        <v>64</v>
      </c>
      <c r="B66" t="str">
        <f t="shared" ca="1" si="1"/>
        <v>韓聰晨</v>
      </c>
      <c r="C66" t="str">
        <f t="shared" ca="1" si="2"/>
        <v>ﾊﾝ ｯｵｰﾝ ﾁｪﾝ</v>
      </c>
      <c r="D66" t="str">
        <f t="shared" ca="1" si="3"/>
        <v>Han Cong Chen</v>
      </c>
      <c r="E66" t="str" cm="1">
        <f t="array" aca="1" ref="E66" ca="1">INDIRECT(ADDRESS(RANDBETWEEN(2,16),7,1,1,"valueBase"))</f>
        <v>女性</v>
      </c>
      <c r="F66" s="5">
        <f t="shared" ca="1" si="4"/>
        <v>24456</v>
      </c>
      <c r="G66" s="5">
        <f t="shared" ca="1" si="5"/>
        <v>37612</v>
      </c>
      <c r="H66" s="5">
        <f t="shared" ca="1" si="6"/>
        <v>37977</v>
      </c>
      <c r="I66" t="str">
        <f t="shared" ca="1" si="7"/>
        <v>080-0497-2196</v>
      </c>
      <c r="J66" t="str">
        <f t="shared" ca="1" si="8"/>
        <v>Han_Cong_Chen_37612@outlook.jp.co</v>
      </c>
      <c r="K66" t="str">
        <f t="shared" ca="1" si="9"/>
        <v>普通</v>
      </c>
      <c r="L66" t="str">
        <f t="shared" ca="1" si="0"/>
        <v>有り</v>
      </c>
      <c r="M66" t="str">
        <f t="shared" ca="1" si="10"/>
        <v>5%</v>
      </c>
      <c r="N66" t="str">
        <f t="shared" ca="1" si="11"/>
        <v>有り</v>
      </c>
      <c r="O66">
        <f t="shared" ca="1" si="12"/>
        <v>812</v>
      </c>
      <c r="R66">
        <f t="shared" ca="1" si="13"/>
        <v>26</v>
      </c>
      <c r="S66">
        <f t="shared" ca="1" si="14"/>
        <v>262</v>
      </c>
      <c r="T66">
        <f t="shared" ca="1" si="15"/>
        <v>1995</v>
      </c>
      <c r="U66">
        <f t="shared" ca="1" si="16"/>
        <v>2000</v>
      </c>
      <c r="V66">
        <f t="shared" ca="1" si="17"/>
        <v>10</v>
      </c>
      <c r="W66">
        <f t="shared" ca="1" si="18"/>
        <v>10</v>
      </c>
    </row>
    <row r="67" spans="1:23">
      <c r="A67" t="s">
        <v>65</v>
      </c>
      <c r="B67" t="str">
        <f t="shared" ref="B67:B130" ca="1" si="19">_xlfn.CONCAT(INDIRECT(ADDRESS(R67,1,1,1,"valueBase")),INDIRECT(ADDRESS(S67,4,1,1,"valueBase")))</f>
        <v>馬祖彥</v>
      </c>
      <c r="C67" t="str">
        <f t="shared" ref="C67:C130" ca="1" si="20">_xlfn.CONCAT(INDIRECT(ADDRESS(R67,2,1,1,"valueBase")),INDIRECT(ADDRESS(S67,5,1,1,"valueBase")))</f>
        <v>ﾏｰ ｽﾞｩ ｲｴﾝ</v>
      </c>
      <c r="D67" t="str">
        <f t="shared" ref="D67:D130" ca="1" si="21">_xlfn.CONCAT(INDIRECT(ADDRESS(R67,3,1,1,"valueBase")),INDIRECT(ADDRESS(S67,6,1,1,"valueBase")))</f>
        <v>Ma Zu Yan</v>
      </c>
      <c r="E67" t="str" cm="1">
        <f t="array" aca="1" ref="E67" ca="1">INDIRECT(ADDRESS(RANDBETWEEN(2,16),7,1,1,"valueBase"))</f>
        <v>男性</v>
      </c>
      <c r="F67" s="5">
        <f t="shared" ref="F67:F130" ca="1" si="22">RANDBETWEEN(21916,NOW() - 6574)</f>
        <v>29179</v>
      </c>
      <c r="G67" s="5">
        <f t="shared" ref="G67:G130" ca="1" si="23">RANDBETWEEN(F67 + 6574,NOW())</f>
        <v>45144</v>
      </c>
      <c r="H67" s="5">
        <f t="shared" ref="H67:H130" ca="1" si="24">G67 + RANDBETWEEN(1,3) * 365</f>
        <v>45509</v>
      </c>
      <c r="I67" t="str">
        <f t="shared" ref="I67:I130" ca="1" si="25">CONCATENATE("0",RANDBETWEEN(8,9),"0","-",RANDBETWEEN(0,9),RANDBETWEEN(0,9),RANDBETWEEN(0,9),RANDBETWEEN(0,9),"-",RANDBETWEEN(0,9),RANDBETWEEN(0,9),RANDBETWEEN(0,9),RANDBETWEEN(0,9))</f>
        <v>080-1879-8591</v>
      </c>
      <c r="J67" t="str">
        <f t="shared" ref="J67:J130" ca="1" si="26">CONCATENATE(SUBSTITUTE(D67," ","_"),"_",SUBSTITUTE(G67,"/","_"),"@outlook.jp.co")</f>
        <v>Ma_Zu_Yan_45144@outlook.jp.co</v>
      </c>
      <c r="K67" t="str">
        <f t="shared" ref="K67:K130" ca="1" si="27">IF(RANDBETWEEN(1,10) &gt; 6,"高級","普通")</f>
        <v>高級</v>
      </c>
      <c r="L67" t="str">
        <f t="shared" ref="L67:L130" ca="1" si="28">IF(RANDBETWEEN(1,10) &gt; 8,"-","有り")</f>
        <v>有り</v>
      </c>
      <c r="M67" t="str">
        <f t="shared" ref="M67:M130" ca="1" si="29">IF(L67 = "有り",IF(K67 = "高級","10%","5%"),"-")</f>
        <v>10%</v>
      </c>
      <c r="N67" t="str">
        <f t="shared" ref="N67:N130" ca="1" si="30">IF(RANDBETWEEN(1,10) &gt; 8,"-","有り")</f>
        <v>有り</v>
      </c>
      <c r="O67">
        <f t="shared" ref="O67:O130" ca="1" si="31">IF(N67 = "有り",RANDBETWEEN(0,1000),"-")</f>
        <v>230</v>
      </c>
      <c r="R67">
        <f t="shared" ref="R67:R130" ca="1" si="32">RANDBETWEEN(2,29)</f>
        <v>20</v>
      </c>
      <c r="S67">
        <f t="shared" ref="S67:S130" ca="1" si="33">RANDBETWEEN(2,331)</f>
        <v>224</v>
      </c>
      <c r="T67">
        <f t="shared" ref="T67:T130" ca="1" si="34">RANDBETWEEN(1970,2010)</f>
        <v>1972</v>
      </c>
      <c r="U67">
        <f t="shared" ref="U67:U130" ca="1" si="35">T67 + RANDBETWEEN(1,12)</f>
        <v>1973</v>
      </c>
      <c r="V67">
        <f t="shared" ref="V67:V130" ca="1" si="36">RANDBETWEEN(1,12)</f>
        <v>6</v>
      </c>
      <c r="W67">
        <f t="shared" ref="W67:W130" ca="1" si="37">IF(V67=2,RANDBETWEEN(1,28),IF(V67=4,RANDBETWEEN(1,30),IF(V67=6,RANDBETWEEN(1,30),IF(V67=9,RANDBETWEEN(1,30),IF(V67=11,RANDBETWEEN(1,30),RANDBETWEEN(1,31))))))</f>
        <v>12</v>
      </c>
    </row>
    <row r="68" spans="1:23">
      <c r="A68" t="s">
        <v>66</v>
      </c>
      <c r="B68" t="str">
        <f t="shared" ca="1" si="19"/>
        <v>李靜慶</v>
      </c>
      <c r="C68" t="str">
        <f t="shared" ca="1" si="20"/>
        <v>ﾘｰ ｼﾞｰﾝ ﾁｰﾝ</v>
      </c>
      <c r="D68" t="str">
        <f t="shared" ca="1" si="21"/>
        <v>Li Jing Qing</v>
      </c>
      <c r="E68" t="str" cm="1">
        <f t="array" aca="1" ref="E68" ca="1">INDIRECT(ADDRESS(RANDBETWEEN(2,16),7,1,1,"valueBase"))</f>
        <v>女性</v>
      </c>
      <c r="F68" s="5">
        <f t="shared" ca="1" si="22"/>
        <v>38266</v>
      </c>
      <c r="G68" s="5">
        <f t="shared" ca="1" si="23"/>
        <v>44949</v>
      </c>
      <c r="H68" s="5">
        <f t="shared" ca="1" si="24"/>
        <v>45314</v>
      </c>
      <c r="I68" t="str">
        <f t="shared" ca="1" si="25"/>
        <v>090-8529-0661</v>
      </c>
      <c r="J68" t="str">
        <f t="shared" ca="1" si="26"/>
        <v>Li_Jing_Qing_44949@outlook.jp.co</v>
      </c>
      <c r="K68" t="str">
        <f t="shared" ca="1" si="27"/>
        <v>普通</v>
      </c>
      <c r="L68" t="str">
        <f t="shared" ca="1" si="28"/>
        <v>有り</v>
      </c>
      <c r="M68" t="str">
        <f t="shared" ca="1" si="29"/>
        <v>5%</v>
      </c>
      <c r="N68" t="str">
        <f t="shared" ca="1" si="30"/>
        <v>有り</v>
      </c>
      <c r="O68">
        <f t="shared" ca="1" si="31"/>
        <v>320</v>
      </c>
      <c r="R68">
        <f t="shared" ca="1" si="32"/>
        <v>2</v>
      </c>
      <c r="S68">
        <f t="shared" ca="1" si="33"/>
        <v>300</v>
      </c>
      <c r="T68">
        <f t="shared" ca="1" si="34"/>
        <v>1999</v>
      </c>
      <c r="U68">
        <f t="shared" ca="1" si="35"/>
        <v>2008</v>
      </c>
      <c r="V68">
        <f t="shared" ca="1" si="36"/>
        <v>5</v>
      </c>
      <c r="W68">
        <f t="shared" ca="1" si="37"/>
        <v>23</v>
      </c>
    </row>
    <row r="69" spans="1:23">
      <c r="A69" t="s">
        <v>67</v>
      </c>
      <c r="B69" t="str">
        <f t="shared" ca="1" si="19"/>
        <v>高冠生</v>
      </c>
      <c r="C69" t="str">
        <f t="shared" ca="1" si="20"/>
        <v>ｶﾞｵ ｸﾞﾜﾝ ｼｭﾖﾝ</v>
      </c>
      <c r="D69" t="str">
        <f t="shared" ca="1" si="21"/>
        <v>Gao Guan Sheng</v>
      </c>
      <c r="E69" t="str" cm="1">
        <f t="array" aca="1" ref="E69" ca="1">INDIRECT(ADDRESS(RANDBETWEEN(2,16),7,1,1,"valueBase"))</f>
        <v>女性</v>
      </c>
      <c r="F69" s="5">
        <f t="shared" ca="1" si="22"/>
        <v>34974</v>
      </c>
      <c r="G69" s="5">
        <f t="shared" ca="1" si="23"/>
        <v>42167</v>
      </c>
      <c r="H69" s="5">
        <f t="shared" ca="1" si="24"/>
        <v>42532</v>
      </c>
      <c r="I69" t="str">
        <f t="shared" ca="1" si="25"/>
        <v>090-7294-8794</v>
      </c>
      <c r="J69" t="str">
        <f t="shared" ca="1" si="26"/>
        <v>Gao_Guan_Sheng_42167@outlook.jp.co</v>
      </c>
      <c r="K69" t="str">
        <f t="shared" ca="1" si="27"/>
        <v>普通</v>
      </c>
      <c r="L69" t="str">
        <f t="shared" ca="1" si="28"/>
        <v>-</v>
      </c>
      <c r="M69" t="str">
        <f t="shared" ca="1" si="29"/>
        <v>-</v>
      </c>
      <c r="N69" t="str">
        <f t="shared" ca="1" si="30"/>
        <v>有り</v>
      </c>
      <c r="O69">
        <f t="shared" ca="1" si="31"/>
        <v>634</v>
      </c>
      <c r="R69">
        <f t="shared" ca="1" si="32"/>
        <v>16</v>
      </c>
      <c r="S69">
        <f t="shared" ca="1" si="33"/>
        <v>115</v>
      </c>
      <c r="T69">
        <f t="shared" ca="1" si="34"/>
        <v>1989</v>
      </c>
      <c r="U69">
        <f t="shared" ca="1" si="35"/>
        <v>1997</v>
      </c>
      <c r="V69">
        <f t="shared" ca="1" si="36"/>
        <v>10</v>
      </c>
      <c r="W69">
        <f t="shared" ca="1" si="37"/>
        <v>13</v>
      </c>
    </row>
    <row r="70" spans="1:23">
      <c r="A70" t="s">
        <v>68</v>
      </c>
      <c r="B70" t="str">
        <f t="shared" ca="1" si="19"/>
        <v>何喜永</v>
      </c>
      <c r="C70" t="str">
        <f t="shared" ca="1" si="20"/>
        <v>ﾎｰｧ ｼｲ ﾖｰﾝ</v>
      </c>
      <c r="D70" t="str">
        <f t="shared" ca="1" si="21"/>
        <v>He Xi Yong</v>
      </c>
      <c r="E70" t="str" cm="1">
        <f t="array" aca="1" ref="E70" ca="1">INDIRECT(ADDRESS(RANDBETWEEN(2,16),7,1,1,"valueBase"))</f>
        <v>女性</v>
      </c>
      <c r="F70" s="5">
        <f t="shared" ca="1" si="22"/>
        <v>38514</v>
      </c>
      <c r="G70" s="5">
        <f t="shared" ca="1" si="23"/>
        <v>45354</v>
      </c>
      <c r="H70" s="5">
        <f t="shared" ca="1" si="24"/>
        <v>46449</v>
      </c>
      <c r="I70" t="str">
        <f t="shared" ca="1" si="25"/>
        <v>080-8552-6914</v>
      </c>
      <c r="J70" t="str">
        <f t="shared" ca="1" si="26"/>
        <v>He_Xi_Yong_45354@outlook.jp.co</v>
      </c>
      <c r="K70" t="str">
        <f t="shared" ca="1" si="27"/>
        <v>普通</v>
      </c>
      <c r="L70" t="str">
        <f t="shared" ca="1" si="28"/>
        <v>有り</v>
      </c>
      <c r="M70" t="str">
        <f t="shared" ca="1" si="29"/>
        <v>5%</v>
      </c>
      <c r="N70" t="str">
        <f t="shared" ca="1" si="30"/>
        <v>有り</v>
      </c>
      <c r="O70">
        <f t="shared" ca="1" si="31"/>
        <v>692</v>
      </c>
      <c r="R70">
        <f t="shared" ca="1" si="32"/>
        <v>18</v>
      </c>
      <c r="S70">
        <f t="shared" ca="1" si="33"/>
        <v>199</v>
      </c>
      <c r="T70">
        <f t="shared" ca="1" si="34"/>
        <v>1989</v>
      </c>
      <c r="U70">
        <f t="shared" ca="1" si="35"/>
        <v>1998</v>
      </c>
      <c r="V70">
        <f t="shared" ca="1" si="36"/>
        <v>2</v>
      </c>
      <c r="W70">
        <f t="shared" ca="1" si="37"/>
        <v>15</v>
      </c>
    </row>
    <row r="71" spans="1:23">
      <c r="A71" t="s">
        <v>69</v>
      </c>
      <c r="B71" t="str">
        <f t="shared" ca="1" si="19"/>
        <v>張致複</v>
      </c>
      <c r="C71" t="str">
        <f t="shared" ca="1" si="20"/>
        <v>ｼﾞｬｰﾝ ｼﾞｰ ﾌｩ</v>
      </c>
      <c r="D71" t="str">
        <f t="shared" ca="1" si="21"/>
        <v>Zhang Zhi Fu</v>
      </c>
      <c r="E71" t="str" cm="1">
        <f t="array" aca="1" ref="E71" ca="1">INDIRECT(ADDRESS(RANDBETWEEN(2,16),7,1,1,"valueBase"))</f>
        <v>女性</v>
      </c>
      <c r="F71" s="5">
        <f t="shared" ca="1" si="22"/>
        <v>27137</v>
      </c>
      <c r="G71" s="5">
        <f t="shared" ca="1" si="23"/>
        <v>44025</v>
      </c>
      <c r="H71" s="5">
        <f t="shared" ca="1" si="24"/>
        <v>44755</v>
      </c>
      <c r="I71" t="str">
        <f t="shared" ca="1" si="25"/>
        <v>090-8734-0795</v>
      </c>
      <c r="J71" t="str">
        <f t="shared" ca="1" si="26"/>
        <v>Zhang_Zhi_Fu_44025@outlook.jp.co</v>
      </c>
      <c r="K71" t="str">
        <f t="shared" ca="1" si="27"/>
        <v>普通</v>
      </c>
      <c r="L71" t="str">
        <f t="shared" ca="1" si="28"/>
        <v>有り</v>
      </c>
      <c r="M71" t="str">
        <f t="shared" ca="1" si="29"/>
        <v>5%</v>
      </c>
      <c r="N71" t="str">
        <f t="shared" ca="1" si="30"/>
        <v>-</v>
      </c>
      <c r="O71" t="str">
        <f t="shared" ca="1" si="31"/>
        <v>-</v>
      </c>
      <c r="R71">
        <f t="shared" ca="1" si="32"/>
        <v>4</v>
      </c>
      <c r="S71">
        <f t="shared" ca="1" si="33"/>
        <v>79</v>
      </c>
      <c r="T71">
        <f t="shared" ca="1" si="34"/>
        <v>1979</v>
      </c>
      <c r="U71">
        <f t="shared" ca="1" si="35"/>
        <v>1985</v>
      </c>
      <c r="V71">
        <f t="shared" ca="1" si="36"/>
        <v>3</v>
      </c>
      <c r="W71">
        <f t="shared" ca="1" si="37"/>
        <v>19</v>
      </c>
    </row>
    <row r="72" spans="1:23">
      <c r="A72" t="s">
        <v>70</v>
      </c>
      <c r="B72" t="str">
        <f t="shared" ca="1" si="19"/>
        <v>馬龍彩</v>
      </c>
      <c r="C72" t="str">
        <f t="shared" ca="1" si="20"/>
        <v>ﾏｰ ﾛｰﾝ ﾂｧｲ</v>
      </c>
      <c r="D72" t="str">
        <f t="shared" ca="1" si="21"/>
        <v>Ma Long Cai</v>
      </c>
      <c r="E72" t="str" cm="1">
        <f t="array" aca="1" ref="E72" ca="1">INDIRECT(ADDRESS(RANDBETWEEN(2,16),7,1,1,"valueBase"))</f>
        <v>女性</v>
      </c>
      <c r="F72" s="5">
        <f t="shared" ca="1" si="22"/>
        <v>33173</v>
      </c>
      <c r="G72" s="5">
        <f t="shared" ca="1" si="23"/>
        <v>42702</v>
      </c>
      <c r="H72" s="5">
        <f t="shared" ca="1" si="24"/>
        <v>43067</v>
      </c>
      <c r="I72" t="str">
        <f t="shared" ca="1" si="25"/>
        <v>080-1106-8587</v>
      </c>
      <c r="J72" t="str">
        <f t="shared" ca="1" si="26"/>
        <v>Ma_Long_Cai_42702@outlook.jp.co</v>
      </c>
      <c r="K72" t="str">
        <f t="shared" ca="1" si="27"/>
        <v>普通</v>
      </c>
      <c r="L72" t="str">
        <f t="shared" ca="1" si="28"/>
        <v>有り</v>
      </c>
      <c r="M72" t="str">
        <f t="shared" ca="1" si="29"/>
        <v>5%</v>
      </c>
      <c r="N72" t="str">
        <f t="shared" ca="1" si="30"/>
        <v>有り</v>
      </c>
      <c r="O72">
        <f t="shared" ca="1" si="31"/>
        <v>479</v>
      </c>
      <c r="R72">
        <f t="shared" ca="1" si="32"/>
        <v>20</v>
      </c>
      <c r="S72">
        <f t="shared" ca="1" si="33"/>
        <v>319</v>
      </c>
      <c r="T72">
        <f t="shared" ca="1" si="34"/>
        <v>1982</v>
      </c>
      <c r="U72">
        <f t="shared" ca="1" si="35"/>
        <v>1989</v>
      </c>
      <c r="V72">
        <f t="shared" ca="1" si="36"/>
        <v>7</v>
      </c>
      <c r="W72">
        <f t="shared" ca="1" si="37"/>
        <v>30</v>
      </c>
    </row>
    <row r="73" spans="1:23">
      <c r="A73" t="s">
        <v>71</v>
      </c>
      <c r="B73" t="str">
        <f t="shared" ca="1" si="19"/>
        <v>王慶祖</v>
      </c>
      <c r="C73" t="str">
        <f t="shared" ca="1" si="20"/>
        <v>ﾜｰﾝ ﾁｰﾝ ｽﾞｩ</v>
      </c>
      <c r="D73" t="str">
        <f t="shared" ca="1" si="21"/>
        <v>Wang Qing Zu</v>
      </c>
      <c r="E73" t="str" cm="1">
        <f t="array" aca="1" ref="E73" ca="1">INDIRECT(ADDRESS(RANDBETWEEN(2,16),7,1,1,"valueBase"))</f>
        <v>女性</v>
      </c>
      <c r="F73" s="5">
        <f t="shared" ca="1" si="22"/>
        <v>34249</v>
      </c>
      <c r="G73" s="5">
        <f t="shared" ca="1" si="23"/>
        <v>41786</v>
      </c>
      <c r="H73" s="5">
        <f t="shared" ca="1" si="24"/>
        <v>42516</v>
      </c>
      <c r="I73" t="str">
        <f t="shared" ca="1" si="25"/>
        <v>080-6820-2805</v>
      </c>
      <c r="J73" t="str">
        <f t="shared" ca="1" si="26"/>
        <v>Wang_Qing_Zu_41786@outlook.jp.co</v>
      </c>
      <c r="K73" t="str">
        <f t="shared" ca="1" si="27"/>
        <v>普通</v>
      </c>
      <c r="L73" t="str">
        <f t="shared" ca="1" si="28"/>
        <v>有り</v>
      </c>
      <c r="M73" t="str">
        <f t="shared" ca="1" si="29"/>
        <v>5%</v>
      </c>
      <c r="N73" t="str">
        <f t="shared" ca="1" si="30"/>
        <v>有り</v>
      </c>
      <c r="O73">
        <f t="shared" ca="1" si="31"/>
        <v>618</v>
      </c>
      <c r="R73">
        <f t="shared" ca="1" si="32"/>
        <v>3</v>
      </c>
      <c r="S73">
        <f t="shared" ca="1" si="33"/>
        <v>50</v>
      </c>
      <c r="T73">
        <f t="shared" ca="1" si="34"/>
        <v>1983</v>
      </c>
      <c r="U73">
        <f t="shared" ca="1" si="35"/>
        <v>1985</v>
      </c>
      <c r="V73">
        <f t="shared" ca="1" si="36"/>
        <v>1</v>
      </c>
      <c r="W73">
        <f t="shared" ca="1" si="37"/>
        <v>18</v>
      </c>
    </row>
    <row r="74" spans="1:23">
      <c r="A74" t="s">
        <v>72</v>
      </c>
      <c r="B74" t="str">
        <f t="shared" ca="1" si="19"/>
        <v>何若齊</v>
      </c>
      <c r="C74" t="str">
        <f t="shared" ca="1" si="20"/>
        <v>ﾎｰｧ ｩﾙｵ ﾁｲ</v>
      </c>
      <c r="D74" t="str">
        <f t="shared" ca="1" si="21"/>
        <v>He Ruo Qi</v>
      </c>
      <c r="E74" t="str" cm="1">
        <f t="array" aca="1" ref="E74" ca="1">INDIRECT(ADDRESS(RANDBETWEEN(2,16),7,1,1,"valueBase"))</f>
        <v>男性</v>
      </c>
      <c r="F74" s="5">
        <f t="shared" ca="1" si="22"/>
        <v>36758</v>
      </c>
      <c r="G74" s="5">
        <f t="shared" ca="1" si="23"/>
        <v>44241</v>
      </c>
      <c r="H74" s="5">
        <f t="shared" ca="1" si="24"/>
        <v>45336</v>
      </c>
      <c r="I74" t="str">
        <f t="shared" ca="1" si="25"/>
        <v>090-9297-3902</v>
      </c>
      <c r="J74" t="str">
        <f t="shared" ca="1" si="26"/>
        <v>He_Ruo Qi_44241@outlook.jp.co</v>
      </c>
      <c r="K74" t="str">
        <f t="shared" ca="1" si="27"/>
        <v>普通</v>
      </c>
      <c r="L74" t="str">
        <f t="shared" ca="1" si="28"/>
        <v>-</v>
      </c>
      <c r="M74" t="str">
        <f t="shared" ca="1" si="29"/>
        <v>-</v>
      </c>
      <c r="N74" t="str">
        <f t="shared" ca="1" si="30"/>
        <v>有り</v>
      </c>
      <c r="O74">
        <f t="shared" ca="1" si="31"/>
        <v>832</v>
      </c>
      <c r="R74">
        <f t="shared" ca="1" si="32"/>
        <v>18</v>
      </c>
      <c r="S74">
        <f t="shared" ca="1" si="33"/>
        <v>69</v>
      </c>
      <c r="T74">
        <f t="shared" ca="1" si="34"/>
        <v>1985</v>
      </c>
      <c r="U74">
        <f t="shared" ca="1" si="35"/>
        <v>1991</v>
      </c>
      <c r="V74">
        <f t="shared" ca="1" si="36"/>
        <v>3</v>
      </c>
      <c r="W74">
        <f t="shared" ca="1" si="37"/>
        <v>4</v>
      </c>
    </row>
    <row r="75" spans="1:23">
      <c r="A75" t="s">
        <v>73</v>
      </c>
      <c r="B75" t="str">
        <f t="shared" ca="1" si="19"/>
        <v>李義朴</v>
      </c>
      <c r="C75" t="str">
        <f t="shared" ca="1" si="20"/>
        <v>ﾘｰ ｲｰ ﾌﾟｩ</v>
      </c>
      <c r="D75" t="str">
        <f t="shared" ca="1" si="21"/>
        <v>Li Yi Pu</v>
      </c>
      <c r="E75" t="str" cm="1">
        <f t="array" aca="1" ref="E75" ca="1">INDIRECT(ADDRESS(RANDBETWEEN(2,16),7,1,1,"valueBase"))</f>
        <v>女性</v>
      </c>
      <c r="F75" s="5">
        <f t="shared" ca="1" si="22"/>
        <v>26513</v>
      </c>
      <c r="G75" s="5">
        <f t="shared" ca="1" si="23"/>
        <v>35653</v>
      </c>
      <c r="H75" s="5">
        <f t="shared" ca="1" si="24"/>
        <v>36748</v>
      </c>
      <c r="I75" t="str">
        <f t="shared" ca="1" si="25"/>
        <v>090-8132-1049</v>
      </c>
      <c r="J75" t="str">
        <f t="shared" ca="1" si="26"/>
        <v>Li_Yi Pu_35653@outlook.jp.co</v>
      </c>
      <c r="K75" t="str">
        <f t="shared" ca="1" si="27"/>
        <v>普通</v>
      </c>
      <c r="L75" t="str">
        <f t="shared" ca="1" si="28"/>
        <v>有り</v>
      </c>
      <c r="M75" t="str">
        <f t="shared" ca="1" si="29"/>
        <v>5%</v>
      </c>
      <c r="N75" t="str">
        <f t="shared" ca="1" si="30"/>
        <v>有り</v>
      </c>
      <c r="O75">
        <f t="shared" ca="1" si="31"/>
        <v>919</v>
      </c>
      <c r="R75">
        <f t="shared" ca="1" si="32"/>
        <v>2</v>
      </c>
      <c r="S75">
        <f t="shared" ca="1" si="33"/>
        <v>210</v>
      </c>
      <c r="T75">
        <f t="shared" ca="1" si="34"/>
        <v>1978</v>
      </c>
      <c r="U75">
        <f t="shared" ca="1" si="35"/>
        <v>1988</v>
      </c>
      <c r="V75">
        <f t="shared" ca="1" si="36"/>
        <v>8</v>
      </c>
      <c r="W75">
        <f t="shared" ca="1" si="37"/>
        <v>15</v>
      </c>
    </row>
    <row r="76" spans="1:23">
      <c r="A76" t="s">
        <v>74</v>
      </c>
      <c r="B76" t="str">
        <f t="shared" ca="1" si="19"/>
        <v>吳愛巧</v>
      </c>
      <c r="C76" t="str">
        <f t="shared" ca="1" si="20"/>
        <v>ｳｰ ｱｲ ﾁﾔｵ</v>
      </c>
      <c r="D76" t="str">
        <f t="shared" ca="1" si="21"/>
        <v>Wu Ai Qiao</v>
      </c>
      <c r="E76" t="str" cm="1">
        <f t="array" aca="1" ref="E76" ca="1">INDIRECT(ADDRESS(RANDBETWEEN(2,16),7,1,1,"valueBase"))</f>
        <v>女性</v>
      </c>
      <c r="F76" s="5">
        <f t="shared" ca="1" si="22"/>
        <v>33353</v>
      </c>
      <c r="G76" s="5">
        <f t="shared" ca="1" si="23"/>
        <v>44914</v>
      </c>
      <c r="H76" s="5">
        <f t="shared" ca="1" si="24"/>
        <v>45644</v>
      </c>
      <c r="I76" t="str">
        <f t="shared" ca="1" si="25"/>
        <v>090-3518-4668</v>
      </c>
      <c r="J76" t="str">
        <f t="shared" ca="1" si="26"/>
        <v>Wu_Ai_Qiao_44914@outlook.jp.co</v>
      </c>
      <c r="K76" t="str">
        <f t="shared" ca="1" si="27"/>
        <v>高級</v>
      </c>
      <c r="L76" t="str">
        <f t="shared" ca="1" si="28"/>
        <v>有り</v>
      </c>
      <c r="M76" t="str">
        <f t="shared" ca="1" si="29"/>
        <v>10%</v>
      </c>
      <c r="N76" t="str">
        <f t="shared" ca="1" si="30"/>
        <v>有り</v>
      </c>
      <c r="O76">
        <f t="shared" ca="1" si="31"/>
        <v>27</v>
      </c>
      <c r="R76">
        <f t="shared" ca="1" si="32"/>
        <v>11</v>
      </c>
      <c r="S76">
        <f t="shared" ca="1" si="33"/>
        <v>17</v>
      </c>
      <c r="T76">
        <f t="shared" ca="1" si="34"/>
        <v>1980</v>
      </c>
      <c r="U76">
        <f t="shared" ca="1" si="35"/>
        <v>1983</v>
      </c>
      <c r="V76">
        <f t="shared" ca="1" si="36"/>
        <v>2</v>
      </c>
      <c r="W76">
        <f t="shared" ca="1" si="37"/>
        <v>24</v>
      </c>
    </row>
    <row r="77" spans="1:23">
      <c r="A77" t="s">
        <v>75</v>
      </c>
      <c r="B77" t="str">
        <f t="shared" ca="1" si="19"/>
        <v>楊烈斌</v>
      </c>
      <c r="C77" t="str">
        <f t="shared" ca="1" si="20"/>
        <v>ﾔｰﾝ ﾘｴ ﾋﾞﾝ</v>
      </c>
      <c r="D77" t="str">
        <f t="shared" ca="1" si="21"/>
        <v>Yang Lie Bin</v>
      </c>
      <c r="E77" t="str" cm="1">
        <f t="array" aca="1" ref="E77" ca="1">INDIRECT(ADDRESS(RANDBETWEEN(2,16),7,1,1,"valueBase"))</f>
        <v>男性</v>
      </c>
      <c r="F77" s="5">
        <f t="shared" ca="1" si="22"/>
        <v>22059</v>
      </c>
      <c r="G77" s="5">
        <f t="shared" ca="1" si="23"/>
        <v>33729</v>
      </c>
      <c r="H77" s="5">
        <f t="shared" ca="1" si="24"/>
        <v>34824</v>
      </c>
      <c r="I77" t="str">
        <f t="shared" ca="1" si="25"/>
        <v>080-8250-3566</v>
      </c>
      <c r="J77" t="str">
        <f t="shared" ca="1" si="26"/>
        <v>Yang_Lie_Bin_33729@outlook.jp.co</v>
      </c>
      <c r="K77" t="str">
        <f t="shared" ca="1" si="27"/>
        <v>高級</v>
      </c>
      <c r="L77" t="str">
        <f t="shared" ca="1" si="28"/>
        <v>有り</v>
      </c>
      <c r="M77" t="str">
        <f t="shared" ca="1" si="29"/>
        <v>10%</v>
      </c>
      <c r="N77" t="str">
        <f t="shared" ca="1" si="30"/>
        <v>有り</v>
      </c>
      <c r="O77">
        <f t="shared" ca="1" si="31"/>
        <v>914</v>
      </c>
      <c r="R77">
        <f t="shared" ca="1" si="32"/>
        <v>7</v>
      </c>
      <c r="S77">
        <f t="shared" ca="1" si="33"/>
        <v>322</v>
      </c>
      <c r="T77">
        <f t="shared" ca="1" si="34"/>
        <v>2002</v>
      </c>
      <c r="U77">
        <f t="shared" ca="1" si="35"/>
        <v>2011</v>
      </c>
      <c r="V77">
        <f t="shared" ca="1" si="36"/>
        <v>12</v>
      </c>
      <c r="W77">
        <f t="shared" ca="1" si="37"/>
        <v>12</v>
      </c>
    </row>
    <row r="78" spans="1:23">
      <c r="A78" t="s">
        <v>76</v>
      </c>
      <c r="B78" t="str">
        <f t="shared" ca="1" si="19"/>
        <v>林慶祖</v>
      </c>
      <c r="C78" t="str">
        <f t="shared" ca="1" si="20"/>
        <v>ﾘﾝ ﾁｰﾝ ｽﾞｩ</v>
      </c>
      <c r="D78" t="str">
        <f t="shared" ca="1" si="21"/>
        <v>Lin Qing Zu</v>
      </c>
      <c r="E78" t="str" cm="1">
        <f t="array" aca="1" ref="E78" ca="1">INDIRECT(ADDRESS(RANDBETWEEN(2,16),7,1,1,"valueBase"))</f>
        <v>-</v>
      </c>
      <c r="F78" s="5">
        <f t="shared" ca="1" si="22"/>
        <v>30081</v>
      </c>
      <c r="G78" s="5">
        <f t="shared" ca="1" si="23"/>
        <v>39165</v>
      </c>
      <c r="H78" s="5">
        <f t="shared" ca="1" si="24"/>
        <v>40260</v>
      </c>
      <c r="I78" t="str">
        <f t="shared" ca="1" si="25"/>
        <v>090-9740-4035</v>
      </c>
      <c r="J78" t="str">
        <f t="shared" ca="1" si="26"/>
        <v>Lin_Qing_Zu_39165@outlook.jp.co</v>
      </c>
      <c r="K78" t="str">
        <f t="shared" ca="1" si="27"/>
        <v>普通</v>
      </c>
      <c r="L78" t="str">
        <f t="shared" ca="1" si="28"/>
        <v>有り</v>
      </c>
      <c r="M78" t="str">
        <f t="shared" ca="1" si="29"/>
        <v>5%</v>
      </c>
      <c r="N78" t="str">
        <f t="shared" ca="1" si="30"/>
        <v>有り</v>
      </c>
      <c r="O78">
        <f t="shared" ca="1" si="31"/>
        <v>833</v>
      </c>
      <c r="R78">
        <f t="shared" ca="1" si="32"/>
        <v>17</v>
      </c>
      <c r="S78">
        <f t="shared" ca="1" si="33"/>
        <v>50</v>
      </c>
      <c r="T78">
        <f t="shared" ca="1" si="34"/>
        <v>1997</v>
      </c>
      <c r="U78">
        <f t="shared" ca="1" si="35"/>
        <v>2002</v>
      </c>
      <c r="V78">
        <f t="shared" ca="1" si="36"/>
        <v>5</v>
      </c>
      <c r="W78">
        <f t="shared" ca="1" si="37"/>
        <v>15</v>
      </c>
    </row>
    <row r="79" spans="1:23">
      <c r="A79" t="s">
        <v>77</v>
      </c>
      <c r="B79" t="str">
        <f t="shared" ca="1" si="19"/>
        <v>唐益希</v>
      </c>
      <c r="C79" t="str">
        <f t="shared" ca="1" si="20"/>
        <v>ﾀｰﾝ ｲｰ ｼｲ</v>
      </c>
      <c r="D79" t="str">
        <f t="shared" ca="1" si="21"/>
        <v>Tang Yi Xi</v>
      </c>
      <c r="E79" t="str" cm="1">
        <f t="array" aca="1" ref="E79" ca="1">INDIRECT(ADDRESS(RANDBETWEEN(2,16),7,1,1,"valueBase"))</f>
        <v>女性</v>
      </c>
      <c r="F79" s="5">
        <f t="shared" ca="1" si="22"/>
        <v>23556</v>
      </c>
      <c r="G79" s="5">
        <f t="shared" ca="1" si="23"/>
        <v>41168</v>
      </c>
      <c r="H79" s="5">
        <f t="shared" ca="1" si="24"/>
        <v>41898</v>
      </c>
      <c r="I79" t="str">
        <f t="shared" ca="1" si="25"/>
        <v>090-3866-2818</v>
      </c>
      <c r="J79" t="str">
        <f t="shared" ca="1" si="26"/>
        <v>Tang_Yi_Xi_41168@outlook.jp.co</v>
      </c>
      <c r="K79" t="str">
        <f t="shared" ca="1" si="27"/>
        <v>普通</v>
      </c>
      <c r="L79" t="str">
        <f t="shared" ca="1" si="28"/>
        <v>有り</v>
      </c>
      <c r="M79" t="str">
        <f t="shared" ca="1" si="29"/>
        <v>5%</v>
      </c>
      <c r="N79" t="str">
        <f t="shared" ca="1" si="30"/>
        <v>有り</v>
      </c>
      <c r="O79">
        <f t="shared" ca="1" si="31"/>
        <v>584</v>
      </c>
      <c r="R79">
        <f t="shared" ca="1" si="32"/>
        <v>27</v>
      </c>
      <c r="S79">
        <f t="shared" ca="1" si="33"/>
        <v>138</v>
      </c>
      <c r="T79">
        <f t="shared" ca="1" si="34"/>
        <v>1994</v>
      </c>
      <c r="U79">
        <f t="shared" ca="1" si="35"/>
        <v>2000</v>
      </c>
      <c r="V79">
        <f t="shared" ca="1" si="36"/>
        <v>3</v>
      </c>
      <c r="W79">
        <f t="shared" ca="1" si="37"/>
        <v>1</v>
      </c>
    </row>
    <row r="80" spans="1:23">
      <c r="A80" t="s">
        <v>78</v>
      </c>
      <c r="B80" t="str">
        <f t="shared" ca="1" si="19"/>
        <v>高萬斌</v>
      </c>
      <c r="C80" t="str">
        <f t="shared" ca="1" si="20"/>
        <v>ｶﾞｵ ﾜﾝ ﾋﾞﾝ</v>
      </c>
      <c r="D80" t="str">
        <f t="shared" ca="1" si="21"/>
        <v>Gao Wan Bin</v>
      </c>
      <c r="E80" t="str" cm="1">
        <f t="array" aca="1" ref="E80" ca="1">INDIRECT(ADDRESS(RANDBETWEEN(2,16),7,1,1,"valueBase"))</f>
        <v>女性</v>
      </c>
      <c r="F80" s="5">
        <f t="shared" ca="1" si="22"/>
        <v>28183</v>
      </c>
      <c r="G80" s="5">
        <f t="shared" ca="1" si="23"/>
        <v>39016</v>
      </c>
      <c r="H80" s="5">
        <f t="shared" ca="1" si="24"/>
        <v>40111</v>
      </c>
      <c r="I80" t="str">
        <f t="shared" ca="1" si="25"/>
        <v>080-3051-2658</v>
      </c>
      <c r="J80" t="str">
        <f t="shared" ca="1" si="26"/>
        <v>Gao_Wan_Bin_39016@outlook.jp.co</v>
      </c>
      <c r="K80" t="str">
        <f t="shared" ca="1" si="27"/>
        <v>普通</v>
      </c>
      <c r="L80" t="str">
        <f t="shared" ca="1" si="28"/>
        <v>有り</v>
      </c>
      <c r="M80" t="str">
        <f t="shared" ca="1" si="29"/>
        <v>5%</v>
      </c>
      <c r="N80" t="str">
        <f t="shared" ca="1" si="30"/>
        <v>有り</v>
      </c>
      <c r="O80">
        <f t="shared" ca="1" si="31"/>
        <v>288</v>
      </c>
      <c r="R80">
        <f t="shared" ca="1" si="32"/>
        <v>16</v>
      </c>
      <c r="S80">
        <f t="shared" ca="1" si="33"/>
        <v>134</v>
      </c>
      <c r="T80">
        <f t="shared" ca="1" si="34"/>
        <v>2007</v>
      </c>
      <c r="U80">
        <f t="shared" ca="1" si="35"/>
        <v>2010</v>
      </c>
      <c r="V80">
        <f t="shared" ca="1" si="36"/>
        <v>6</v>
      </c>
      <c r="W80">
        <f t="shared" ca="1" si="37"/>
        <v>3</v>
      </c>
    </row>
    <row r="81" spans="1:23">
      <c r="A81" t="s">
        <v>79</v>
      </c>
      <c r="B81" t="str">
        <f t="shared" ca="1" si="19"/>
        <v>陳衛影</v>
      </c>
      <c r="C81" t="str">
        <f t="shared" ca="1" si="20"/>
        <v>ﾁｪﾝ ｳｴｲ ｲｰﾝ</v>
      </c>
      <c r="D81" t="str">
        <f t="shared" ca="1" si="21"/>
        <v>Chen Wei Ying</v>
      </c>
      <c r="E81" t="str" cm="1">
        <f t="array" aca="1" ref="E81" ca="1">INDIRECT(ADDRESS(RANDBETWEEN(2,16),7,1,1,"valueBase"))</f>
        <v>-</v>
      </c>
      <c r="F81" s="5">
        <f t="shared" ca="1" si="22"/>
        <v>30161</v>
      </c>
      <c r="G81" s="5">
        <f t="shared" ca="1" si="23"/>
        <v>42792</v>
      </c>
      <c r="H81" s="5">
        <f t="shared" ca="1" si="24"/>
        <v>43887</v>
      </c>
      <c r="I81" t="str">
        <f t="shared" ca="1" si="25"/>
        <v>080-2754-9791</v>
      </c>
      <c r="J81" t="str">
        <f t="shared" ca="1" si="26"/>
        <v>Chen_Wei_Ying_42792@outlook.jp.co</v>
      </c>
      <c r="K81" t="str">
        <f t="shared" ca="1" si="27"/>
        <v>高級</v>
      </c>
      <c r="L81" t="str">
        <f t="shared" ca="1" si="28"/>
        <v>有り</v>
      </c>
      <c r="M81" t="str">
        <f t="shared" ca="1" si="29"/>
        <v>10%</v>
      </c>
      <c r="N81" t="str">
        <f t="shared" ca="1" si="30"/>
        <v>有り</v>
      </c>
      <c r="O81">
        <f t="shared" ca="1" si="31"/>
        <v>963</v>
      </c>
      <c r="R81">
        <f t="shared" ca="1" si="32"/>
        <v>6</v>
      </c>
      <c r="S81">
        <f t="shared" ca="1" si="33"/>
        <v>142</v>
      </c>
      <c r="T81">
        <f t="shared" ca="1" si="34"/>
        <v>1974</v>
      </c>
      <c r="U81">
        <f t="shared" ca="1" si="35"/>
        <v>1980</v>
      </c>
      <c r="V81">
        <f t="shared" ca="1" si="36"/>
        <v>10</v>
      </c>
      <c r="W81">
        <f t="shared" ca="1" si="37"/>
        <v>19</v>
      </c>
    </row>
    <row r="82" spans="1:23">
      <c r="A82" t="s">
        <v>80</v>
      </c>
      <c r="B82" t="str">
        <f t="shared" ca="1" si="19"/>
        <v>何時素</v>
      </c>
      <c r="C82" t="str">
        <f t="shared" ca="1" si="20"/>
        <v>ﾎｰｧ ｼｰ ｽｩ</v>
      </c>
      <c r="D82" t="str">
        <f t="shared" ca="1" si="21"/>
        <v>He Shi Su</v>
      </c>
      <c r="E82" t="str" cm="1">
        <f t="array" aca="1" ref="E82" ca="1">INDIRECT(ADDRESS(RANDBETWEEN(2,16),7,1,1,"valueBase"))</f>
        <v>男性</v>
      </c>
      <c r="F82" s="5">
        <f t="shared" ca="1" si="22"/>
        <v>24470</v>
      </c>
      <c r="G82" s="5">
        <f t="shared" ca="1" si="23"/>
        <v>33133</v>
      </c>
      <c r="H82" s="5">
        <f t="shared" ca="1" si="24"/>
        <v>34228</v>
      </c>
      <c r="I82" t="str">
        <f t="shared" ca="1" si="25"/>
        <v>090-9384-3685</v>
      </c>
      <c r="J82" t="str">
        <f t="shared" ca="1" si="26"/>
        <v>He_Shi_Su_33133@outlook.jp.co</v>
      </c>
      <c r="K82" t="str">
        <f t="shared" ca="1" si="27"/>
        <v>普通</v>
      </c>
      <c r="L82" t="str">
        <f t="shared" ca="1" si="28"/>
        <v>有り</v>
      </c>
      <c r="M82" t="str">
        <f t="shared" ca="1" si="29"/>
        <v>5%</v>
      </c>
      <c r="N82" t="str">
        <f t="shared" ca="1" si="30"/>
        <v>有り</v>
      </c>
      <c r="O82">
        <f t="shared" ca="1" si="31"/>
        <v>573</v>
      </c>
      <c r="R82">
        <f t="shared" ca="1" si="32"/>
        <v>18</v>
      </c>
      <c r="S82">
        <f t="shared" ca="1" si="33"/>
        <v>155</v>
      </c>
      <c r="T82">
        <f t="shared" ca="1" si="34"/>
        <v>1995</v>
      </c>
      <c r="U82">
        <f t="shared" ca="1" si="35"/>
        <v>2000</v>
      </c>
      <c r="V82">
        <f t="shared" ca="1" si="36"/>
        <v>9</v>
      </c>
      <c r="W82">
        <f t="shared" ca="1" si="37"/>
        <v>5</v>
      </c>
    </row>
    <row r="83" spans="1:23">
      <c r="A83" t="s">
        <v>81</v>
      </c>
      <c r="B83" t="str">
        <f t="shared" ca="1" si="19"/>
        <v>謝藍尚</v>
      </c>
      <c r="C83" t="str">
        <f t="shared" ca="1" si="20"/>
        <v>ｼｴ ﾗﾝ ｼｬｰﾝ</v>
      </c>
      <c r="D83" t="str">
        <f t="shared" ca="1" si="21"/>
        <v>Xie Lan Shang</v>
      </c>
      <c r="E83" t="str" cm="1">
        <f t="array" aca="1" ref="E83" ca="1">INDIRECT(ADDRESS(RANDBETWEEN(2,16),7,1,1,"valueBase"))</f>
        <v>女性</v>
      </c>
      <c r="F83" s="5">
        <f t="shared" ca="1" si="22"/>
        <v>38544</v>
      </c>
      <c r="G83" s="5">
        <f t="shared" ca="1" si="23"/>
        <v>45417</v>
      </c>
      <c r="H83" s="5">
        <f t="shared" ca="1" si="24"/>
        <v>46147</v>
      </c>
      <c r="I83" t="str">
        <f t="shared" ca="1" si="25"/>
        <v>090-1750-1479</v>
      </c>
      <c r="J83" t="str">
        <f t="shared" ca="1" si="26"/>
        <v>Xie_Lan_Shang_45417@outlook.jp.co</v>
      </c>
      <c r="K83" t="str">
        <f t="shared" ca="1" si="27"/>
        <v>高級</v>
      </c>
      <c r="L83" t="str">
        <f t="shared" ca="1" si="28"/>
        <v>有り</v>
      </c>
      <c r="M83" t="str">
        <f t="shared" ca="1" si="29"/>
        <v>10%</v>
      </c>
      <c r="N83" t="str">
        <f t="shared" ca="1" si="30"/>
        <v>有り</v>
      </c>
      <c r="O83">
        <f t="shared" ca="1" si="31"/>
        <v>5</v>
      </c>
      <c r="R83">
        <f t="shared" ca="1" si="32"/>
        <v>25</v>
      </c>
      <c r="S83">
        <f t="shared" ca="1" si="33"/>
        <v>295</v>
      </c>
      <c r="T83">
        <f t="shared" ca="1" si="34"/>
        <v>1999</v>
      </c>
      <c r="U83">
        <f t="shared" ca="1" si="35"/>
        <v>2003</v>
      </c>
      <c r="V83">
        <f t="shared" ca="1" si="36"/>
        <v>6</v>
      </c>
      <c r="W83">
        <f t="shared" ca="1" si="37"/>
        <v>6</v>
      </c>
    </row>
    <row r="84" spans="1:23">
      <c r="A84" t="s">
        <v>82</v>
      </c>
      <c r="B84" t="str">
        <f t="shared" ca="1" si="19"/>
        <v>陳意昌</v>
      </c>
      <c r="C84" t="str">
        <f t="shared" ca="1" si="20"/>
        <v>ﾁｪﾝ ｲｰ ﾁｬｰﾝ</v>
      </c>
      <c r="D84" t="str">
        <f t="shared" ca="1" si="21"/>
        <v>Chen Yi Chang</v>
      </c>
      <c r="E84" t="str" cm="1">
        <f t="array" aca="1" ref="E84" ca="1">INDIRECT(ADDRESS(RANDBETWEEN(2,16),7,1,1,"valueBase"))</f>
        <v>女性</v>
      </c>
      <c r="F84" s="5">
        <f t="shared" ca="1" si="22"/>
        <v>29062</v>
      </c>
      <c r="G84" s="5">
        <f t="shared" ca="1" si="23"/>
        <v>38041</v>
      </c>
      <c r="H84" s="5">
        <f t="shared" ca="1" si="24"/>
        <v>38406</v>
      </c>
      <c r="I84" t="str">
        <f t="shared" ca="1" si="25"/>
        <v>090-3287-0457</v>
      </c>
      <c r="J84" t="str">
        <f t="shared" ca="1" si="26"/>
        <v>Chen_Yi_Chang_38041@outlook.jp.co</v>
      </c>
      <c r="K84" t="str">
        <f t="shared" ca="1" si="27"/>
        <v>高級</v>
      </c>
      <c r="L84" t="str">
        <f t="shared" ca="1" si="28"/>
        <v>有り</v>
      </c>
      <c r="M84" t="str">
        <f t="shared" ca="1" si="29"/>
        <v>10%</v>
      </c>
      <c r="N84" t="str">
        <f t="shared" ca="1" si="30"/>
        <v>-</v>
      </c>
      <c r="O84" t="str">
        <f t="shared" ca="1" si="31"/>
        <v>-</v>
      </c>
      <c r="R84">
        <f t="shared" ca="1" si="32"/>
        <v>6</v>
      </c>
      <c r="S84">
        <f t="shared" ca="1" si="33"/>
        <v>33</v>
      </c>
      <c r="T84">
        <f t="shared" ca="1" si="34"/>
        <v>2007</v>
      </c>
      <c r="U84">
        <f t="shared" ca="1" si="35"/>
        <v>2017</v>
      </c>
      <c r="V84">
        <f t="shared" ca="1" si="36"/>
        <v>11</v>
      </c>
      <c r="W84">
        <f t="shared" ca="1" si="37"/>
        <v>28</v>
      </c>
    </row>
    <row r="85" spans="1:23">
      <c r="A85" t="s">
        <v>83</v>
      </c>
      <c r="B85" t="str">
        <f t="shared" ca="1" si="19"/>
        <v>宋詠星</v>
      </c>
      <c r="C85" t="str">
        <f t="shared" ca="1" si="20"/>
        <v>ｿｰﾝ ﾖｰﾝ ｼｰﾝ</v>
      </c>
      <c r="D85" t="str">
        <f t="shared" ca="1" si="21"/>
        <v>Song Yong Xing</v>
      </c>
      <c r="E85" t="str" cm="1">
        <f t="array" aca="1" ref="E85" ca="1">INDIRECT(ADDRESS(RANDBETWEEN(2,16),7,1,1,"valueBase"))</f>
        <v>男性</v>
      </c>
      <c r="F85" s="5">
        <f t="shared" ca="1" si="22"/>
        <v>32703</v>
      </c>
      <c r="G85" s="5">
        <f t="shared" ca="1" si="23"/>
        <v>42001</v>
      </c>
      <c r="H85" s="5">
        <f t="shared" ca="1" si="24"/>
        <v>42366</v>
      </c>
      <c r="I85" t="str">
        <f t="shared" ca="1" si="25"/>
        <v>080-2786-5523</v>
      </c>
      <c r="J85" t="str">
        <f t="shared" ca="1" si="26"/>
        <v>Song_Yong_Xing_42001@outlook.jp.co</v>
      </c>
      <c r="K85" t="str">
        <f t="shared" ca="1" si="27"/>
        <v>普通</v>
      </c>
      <c r="L85" t="str">
        <f t="shared" ca="1" si="28"/>
        <v>-</v>
      </c>
      <c r="M85" t="str">
        <f t="shared" ca="1" si="29"/>
        <v>-</v>
      </c>
      <c r="N85" t="str">
        <f t="shared" ca="1" si="30"/>
        <v>-</v>
      </c>
      <c r="O85" t="str">
        <f t="shared" ca="1" si="31"/>
        <v>-</v>
      </c>
      <c r="R85">
        <f t="shared" ca="1" si="32"/>
        <v>23</v>
      </c>
      <c r="S85">
        <f t="shared" ca="1" si="33"/>
        <v>26</v>
      </c>
      <c r="T85">
        <f t="shared" ca="1" si="34"/>
        <v>2003</v>
      </c>
      <c r="U85">
        <f t="shared" ca="1" si="35"/>
        <v>2005</v>
      </c>
      <c r="V85">
        <f t="shared" ca="1" si="36"/>
        <v>10</v>
      </c>
      <c r="W85">
        <f t="shared" ca="1" si="37"/>
        <v>9</v>
      </c>
    </row>
    <row r="86" spans="1:23">
      <c r="A86" t="s">
        <v>84</v>
      </c>
      <c r="B86" t="str">
        <f t="shared" ca="1" si="19"/>
        <v>劉華瑋</v>
      </c>
      <c r="C86" t="str">
        <f t="shared" ca="1" si="20"/>
        <v>ﾘｳ ﾎﾜ ｳｴｲ</v>
      </c>
      <c r="D86" t="str">
        <f t="shared" ca="1" si="21"/>
        <v>Liu Hua Wei</v>
      </c>
      <c r="E86" t="str" cm="1">
        <f t="array" aca="1" ref="E86" ca="1">INDIRECT(ADDRESS(RANDBETWEEN(2,16),7,1,1,"valueBase"))</f>
        <v>女性</v>
      </c>
      <c r="F86" s="5">
        <f t="shared" ca="1" si="22"/>
        <v>22028</v>
      </c>
      <c r="G86" s="5">
        <f t="shared" ca="1" si="23"/>
        <v>28717</v>
      </c>
      <c r="H86" s="5">
        <f t="shared" ca="1" si="24"/>
        <v>29082</v>
      </c>
      <c r="I86" t="str">
        <f t="shared" ca="1" si="25"/>
        <v>090-8385-4623</v>
      </c>
      <c r="J86" t="str">
        <f t="shared" ca="1" si="26"/>
        <v>Liu_Hua_Wei_28717@outlook.jp.co</v>
      </c>
      <c r="K86" t="str">
        <f t="shared" ca="1" si="27"/>
        <v>高級</v>
      </c>
      <c r="L86" t="str">
        <f t="shared" ca="1" si="28"/>
        <v>有り</v>
      </c>
      <c r="M86" t="str">
        <f t="shared" ca="1" si="29"/>
        <v>10%</v>
      </c>
      <c r="N86" t="str">
        <f t="shared" ca="1" si="30"/>
        <v>有り</v>
      </c>
      <c r="O86">
        <f t="shared" ca="1" si="31"/>
        <v>430</v>
      </c>
      <c r="R86">
        <f t="shared" ca="1" si="32"/>
        <v>5</v>
      </c>
      <c r="S86">
        <f t="shared" ca="1" si="33"/>
        <v>258</v>
      </c>
      <c r="T86">
        <f t="shared" ca="1" si="34"/>
        <v>1990</v>
      </c>
      <c r="U86">
        <f t="shared" ca="1" si="35"/>
        <v>1993</v>
      </c>
      <c r="V86">
        <f t="shared" ca="1" si="36"/>
        <v>11</v>
      </c>
      <c r="W86">
        <f t="shared" ca="1" si="37"/>
        <v>23</v>
      </c>
    </row>
    <row r="87" spans="1:23">
      <c r="A87" t="s">
        <v>85</v>
      </c>
      <c r="B87" t="str">
        <f t="shared" ca="1" si="19"/>
        <v>郭忠博</v>
      </c>
      <c r="C87" t="str">
        <f t="shared" ca="1" si="20"/>
        <v>ｸﾞｵ ｼﾞｮｰﾝ ﾎﾞｰ</v>
      </c>
      <c r="D87" t="str">
        <f t="shared" ca="1" si="21"/>
        <v>Guo Zhong Bo</v>
      </c>
      <c r="E87" t="str" cm="1">
        <f t="array" aca="1" ref="E87" ca="1">INDIRECT(ADDRESS(RANDBETWEEN(2,16),7,1,1,"valueBase"))</f>
        <v>-</v>
      </c>
      <c r="F87" s="5">
        <f t="shared" ca="1" si="22"/>
        <v>29050</v>
      </c>
      <c r="G87" s="5">
        <f t="shared" ca="1" si="23"/>
        <v>37236</v>
      </c>
      <c r="H87" s="5">
        <f t="shared" ca="1" si="24"/>
        <v>37966</v>
      </c>
      <c r="I87" t="str">
        <f t="shared" ca="1" si="25"/>
        <v>080-7436-9549</v>
      </c>
      <c r="J87" t="str">
        <f t="shared" ca="1" si="26"/>
        <v>Guo_Zhong_Bo_37236@outlook.jp.co</v>
      </c>
      <c r="K87" t="str">
        <f t="shared" ca="1" si="27"/>
        <v>高級</v>
      </c>
      <c r="L87" t="str">
        <f t="shared" ca="1" si="28"/>
        <v>有り</v>
      </c>
      <c r="M87" t="str">
        <f t="shared" ca="1" si="29"/>
        <v>10%</v>
      </c>
      <c r="N87" t="str">
        <f t="shared" ca="1" si="30"/>
        <v>有り</v>
      </c>
      <c r="O87">
        <f t="shared" ca="1" si="31"/>
        <v>730</v>
      </c>
      <c r="R87">
        <f t="shared" ca="1" si="32"/>
        <v>19</v>
      </c>
      <c r="S87">
        <f t="shared" ca="1" si="33"/>
        <v>23</v>
      </c>
      <c r="T87">
        <f t="shared" ca="1" si="34"/>
        <v>1979</v>
      </c>
      <c r="U87">
        <f t="shared" ca="1" si="35"/>
        <v>1980</v>
      </c>
      <c r="V87">
        <f t="shared" ca="1" si="36"/>
        <v>12</v>
      </c>
      <c r="W87">
        <f t="shared" ca="1" si="37"/>
        <v>16</v>
      </c>
    </row>
    <row r="88" spans="1:23">
      <c r="A88" t="s">
        <v>86</v>
      </c>
      <c r="B88" t="str">
        <f t="shared" ca="1" si="19"/>
        <v>韓克升</v>
      </c>
      <c r="C88" t="str">
        <f t="shared" ca="1" si="20"/>
        <v>ﾊﾝ ｺｰｧ ｼｭﾖﾝ</v>
      </c>
      <c r="D88" t="str">
        <f t="shared" ca="1" si="21"/>
        <v>Han Ke Sheng</v>
      </c>
      <c r="E88" t="str" cm="1">
        <f t="array" aca="1" ref="E88" ca="1">INDIRECT(ADDRESS(RANDBETWEEN(2,16),7,1,1,"valueBase"))</f>
        <v>女性</v>
      </c>
      <c r="F88" s="5">
        <f t="shared" ca="1" si="22"/>
        <v>25472</v>
      </c>
      <c r="G88" s="5">
        <f t="shared" ca="1" si="23"/>
        <v>35599</v>
      </c>
      <c r="H88" s="5">
        <f t="shared" ca="1" si="24"/>
        <v>35964</v>
      </c>
      <c r="I88" t="str">
        <f t="shared" ca="1" si="25"/>
        <v>090-9201-0930</v>
      </c>
      <c r="J88" t="str">
        <f t="shared" ca="1" si="26"/>
        <v>Han_Ke_Sheng_35599@outlook.jp.co</v>
      </c>
      <c r="K88" t="str">
        <f t="shared" ca="1" si="27"/>
        <v>高級</v>
      </c>
      <c r="L88" t="str">
        <f t="shared" ca="1" si="28"/>
        <v>有り</v>
      </c>
      <c r="M88" t="str">
        <f t="shared" ca="1" si="29"/>
        <v>10%</v>
      </c>
      <c r="N88" t="str">
        <f t="shared" ca="1" si="30"/>
        <v>有り</v>
      </c>
      <c r="O88">
        <f t="shared" ca="1" si="31"/>
        <v>489</v>
      </c>
      <c r="R88">
        <f t="shared" ca="1" si="32"/>
        <v>26</v>
      </c>
      <c r="S88">
        <f t="shared" ca="1" si="33"/>
        <v>84</v>
      </c>
      <c r="T88">
        <f t="shared" ca="1" si="34"/>
        <v>1977</v>
      </c>
      <c r="U88">
        <f t="shared" ca="1" si="35"/>
        <v>1987</v>
      </c>
      <c r="V88">
        <f t="shared" ca="1" si="36"/>
        <v>11</v>
      </c>
      <c r="W88">
        <f t="shared" ca="1" si="37"/>
        <v>7</v>
      </c>
    </row>
    <row r="89" spans="1:23">
      <c r="A89" t="s">
        <v>87</v>
      </c>
      <c r="B89" t="str">
        <f t="shared" ca="1" si="19"/>
        <v>黃渝虹</v>
      </c>
      <c r="C89" t="str">
        <f t="shared" ca="1" si="20"/>
        <v>ﾎﾜｰﾝ ﾕｲ ﾎｰﾝ</v>
      </c>
      <c r="D89" t="str">
        <f t="shared" ca="1" si="21"/>
        <v>Huang Yu Hong</v>
      </c>
      <c r="E89" t="str" cm="1">
        <f t="array" aca="1" ref="E89" ca="1">INDIRECT(ADDRESS(RANDBETWEEN(2,16),7,1,1,"valueBase"))</f>
        <v>女性</v>
      </c>
      <c r="F89" s="5">
        <f t="shared" ca="1" si="22"/>
        <v>37804</v>
      </c>
      <c r="G89" s="5">
        <f t="shared" ca="1" si="23"/>
        <v>44877</v>
      </c>
      <c r="H89" s="5">
        <f t="shared" ca="1" si="24"/>
        <v>45607</v>
      </c>
      <c r="I89" t="str">
        <f t="shared" ca="1" si="25"/>
        <v>090-2728-2636</v>
      </c>
      <c r="J89" t="str">
        <f t="shared" ca="1" si="26"/>
        <v>Huang_Yu Hong_44877@outlook.jp.co</v>
      </c>
      <c r="K89" t="str">
        <f t="shared" ca="1" si="27"/>
        <v>普通</v>
      </c>
      <c r="L89" t="str">
        <f t="shared" ca="1" si="28"/>
        <v>有り</v>
      </c>
      <c r="M89" t="str">
        <f t="shared" ca="1" si="29"/>
        <v>5%</v>
      </c>
      <c r="N89" t="str">
        <f t="shared" ca="1" si="30"/>
        <v>有り</v>
      </c>
      <c r="O89">
        <f t="shared" ca="1" si="31"/>
        <v>643</v>
      </c>
      <c r="R89">
        <f t="shared" ca="1" si="32"/>
        <v>9</v>
      </c>
      <c r="S89">
        <f t="shared" ca="1" si="33"/>
        <v>88</v>
      </c>
      <c r="T89">
        <f t="shared" ca="1" si="34"/>
        <v>1992</v>
      </c>
      <c r="U89">
        <f t="shared" ca="1" si="35"/>
        <v>1998</v>
      </c>
      <c r="V89">
        <f t="shared" ca="1" si="36"/>
        <v>8</v>
      </c>
      <c r="W89">
        <f t="shared" ca="1" si="37"/>
        <v>25</v>
      </c>
    </row>
    <row r="90" spans="1:23">
      <c r="A90" t="s">
        <v>88</v>
      </c>
      <c r="B90" t="str">
        <f t="shared" ca="1" si="19"/>
        <v>趙系迅</v>
      </c>
      <c r="C90" t="str">
        <f t="shared" ca="1" si="20"/>
        <v>ｼﾞｬｵ ｼｲ ｼｭｲﾝ</v>
      </c>
      <c r="D90" t="str">
        <f t="shared" ca="1" si="21"/>
        <v>Zhao Xi Xun</v>
      </c>
      <c r="E90" t="str" cm="1">
        <f t="array" aca="1" ref="E90" ca="1">INDIRECT(ADDRESS(RANDBETWEEN(2,16),7,1,1,"valueBase"))</f>
        <v>男性</v>
      </c>
      <c r="F90" s="5">
        <f t="shared" ca="1" si="22"/>
        <v>33384</v>
      </c>
      <c r="G90" s="5">
        <f t="shared" ca="1" si="23"/>
        <v>44293</v>
      </c>
      <c r="H90" s="5">
        <f t="shared" ca="1" si="24"/>
        <v>44658</v>
      </c>
      <c r="I90" t="str">
        <f t="shared" ca="1" si="25"/>
        <v>080-4307-3239</v>
      </c>
      <c r="J90" t="str">
        <f t="shared" ca="1" si="26"/>
        <v>Zhao_Xi Xun_44293@outlook.jp.co</v>
      </c>
      <c r="K90" t="str">
        <f t="shared" ca="1" si="27"/>
        <v>高級</v>
      </c>
      <c r="L90" t="str">
        <f t="shared" ca="1" si="28"/>
        <v>有り</v>
      </c>
      <c r="M90" t="str">
        <f t="shared" ca="1" si="29"/>
        <v>10%</v>
      </c>
      <c r="N90" t="str">
        <f t="shared" ca="1" si="30"/>
        <v>-</v>
      </c>
      <c r="O90" t="str">
        <f t="shared" ca="1" si="31"/>
        <v>-</v>
      </c>
      <c r="R90">
        <f t="shared" ca="1" si="32"/>
        <v>8</v>
      </c>
      <c r="S90">
        <f t="shared" ca="1" si="33"/>
        <v>284</v>
      </c>
      <c r="T90">
        <f t="shared" ca="1" si="34"/>
        <v>1999</v>
      </c>
      <c r="U90">
        <f t="shared" ca="1" si="35"/>
        <v>2002</v>
      </c>
      <c r="V90">
        <f t="shared" ca="1" si="36"/>
        <v>11</v>
      </c>
      <c r="W90">
        <f t="shared" ca="1" si="37"/>
        <v>18</v>
      </c>
    </row>
    <row r="91" spans="1:23">
      <c r="A91" t="s">
        <v>89</v>
      </c>
      <c r="B91" t="str">
        <f t="shared" ca="1" si="19"/>
        <v>林聆實</v>
      </c>
      <c r="C91" t="str">
        <f t="shared" ca="1" si="20"/>
        <v>ﾘﾝ ﾘｰﾝ ｼｰ</v>
      </c>
      <c r="D91" t="str">
        <f t="shared" ca="1" si="21"/>
        <v>Lin Ling Shi</v>
      </c>
      <c r="E91" t="str" cm="1">
        <f t="array" aca="1" ref="E91" ca="1">INDIRECT(ADDRESS(RANDBETWEEN(2,16),7,1,1,"valueBase"))</f>
        <v>女性</v>
      </c>
      <c r="F91" s="5">
        <f t="shared" ca="1" si="22"/>
        <v>35747</v>
      </c>
      <c r="G91" s="5">
        <f t="shared" ca="1" si="23"/>
        <v>45031</v>
      </c>
      <c r="H91" s="5">
        <f t="shared" ca="1" si="24"/>
        <v>45396</v>
      </c>
      <c r="I91" t="str">
        <f t="shared" ca="1" si="25"/>
        <v>080-7155-2048</v>
      </c>
      <c r="J91" t="str">
        <f t="shared" ca="1" si="26"/>
        <v>Lin_Ling_Shi_45031@outlook.jp.co</v>
      </c>
      <c r="K91" t="str">
        <f t="shared" ca="1" si="27"/>
        <v>普通</v>
      </c>
      <c r="L91" t="str">
        <f t="shared" ca="1" si="28"/>
        <v>-</v>
      </c>
      <c r="M91" t="str">
        <f t="shared" ca="1" si="29"/>
        <v>-</v>
      </c>
      <c r="N91" t="str">
        <f t="shared" ca="1" si="30"/>
        <v>有り</v>
      </c>
      <c r="O91">
        <f t="shared" ca="1" si="31"/>
        <v>332</v>
      </c>
      <c r="R91">
        <f t="shared" ca="1" si="32"/>
        <v>17</v>
      </c>
      <c r="S91">
        <f t="shared" ca="1" si="33"/>
        <v>48</v>
      </c>
      <c r="T91">
        <f t="shared" ca="1" si="34"/>
        <v>2006</v>
      </c>
      <c r="U91">
        <f t="shared" ca="1" si="35"/>
        <v>2008</v>
      </c>
      <c r="V91">
        <f t="shared" ca="1" si="36"/>
        <v>12</v>
      </c>
      <c r="W91">
        <f t="shared" ca="1" si="37"/>
        <v>31</v>
      </c>
    </row>
    <row r="92" spans="1:23">
      <c r="A92" t="s">
        <v>90</v>
      </c>
      <c r="B92" t="str">
        <f t="shared" ca="1" si="19"/>
        <v>高綸網</v>
      </c>
      <c r="C92" t="str">
        <f t="shared" ca="1" si="20"/>
        <v>ｶﾞｵ ﾙﾝ ﾜｰﾝ</v>
      </c>
      <c r="D92" t="str">
        <f t="shared" ca="1" si="21"/>
        <v>Gao Lun Wang</v>
      </c>
      <c r="E92" t="str" cm="1">
        <f t="array" aca="1" ref="E92" ca="1">INDIRECT(ADDRESS(RANDBETWEEN(2,16),7,1,1,"valueBase"))</f>
        <v>女性</v>
      </c>
      <c r="F92" s="5">
        <f t="shared" ca="1" si="22"/>
        <v>33799</v>
      </c>
      <c r="G92" s="5">
        <f t="shared" ca="1" si="23"/>
        <v>40960</v>
      </c>
      <c r="H92" s="5">
        <f t="shared" ca="1" si="24"/>
        <v>41325</v>
      </c>
      <c r="I92" t="str">
        <f t="shared" ca="1" si="25"/>
        <v>090-5345-8715</v>
      </c>
      <c r="J92" t="str">
        <f t="shared" ca="1" si="26"/>
        <v>Gao_Lun Wang_40960@outlook.jp.co</v>
      </c>
      <c r="K92" t="str">
        <f t="shared" ca="1" si="27"/>
        <v>高級</v>
      </c>
      <c r="L92" t="str">
        <f t="shared" ca="1" si="28"/>
        <v>有り</v>
      </c>
      <c r="M92" t="str">
        <f t="shared" ca="1" si="29"/>
        <v>10%</v>
      </c>
      <c r="N92" t="str">
        <f t="shared" ca="1" si="30"/>
        <v>有り</v>
      </c>
      <c r="O92">
        <f t="shared" ca="1" si="31"/>
        <v>158</v>
      </c>
      <c r="R92">
        <f t="shared" ca="1" si="32"/>
        <v>16</v>
      </c>
      <c r="S92">
        <f t="shared" ca="1" si="33"/>
        <v>263</v>
      </c>
      <c r="T92">
        <f t="shared" ca="1" si="34"/>
        <v>1976</v>
      </c>
      <c r="U92">
        <f t="shared" ca="1" si="35"/>
        <v>1988</v>
      </c>
      <c r="V92">
        <f t="shared" ca="1" si="36"/>
        <v>7</v>
      </c>
      <c r="W92">
        <f t="shared" ca="1" si="37"/>
        <v>21</v>
      </c>
    </row>
    <row r="93" spans="1:23">
      <c r="A93" t="s">
        <v>91</v>
      </c>
      <c r="B93" t="str">
        <f t="shared" ca="1" si="19"/>
        <v>于相輝</v>
      </c>
      <c r="C93" t="str">
        <f t="shared" ca="1" si="20"/>
        <v>ﾕｲ ｼｱｰﾝ ﾎｩｲ</v>
      </c>
      <c r="D93" t="str">
        <f t="shared" ca="1" si="21"/>
        <v>Yu Xiang Hui</v>
      </c>
      <c r="E93" t="str" cm="1">
        <f t="array" aca="1" ref="E93" ca="1">INDIRECT(ADDRESS(RANDBETWEEN(2,16),7,1,1,"valueBase"))</f>
        <v>女性</v>
      </c>
      <c r="F93" s="5">
        <f t="shared" ca="1" si="22"/>
        <v>33104</v>
      </c>
      <c r="G93" s="5">
        <f t="shared" ca="1" si="23"/>
        <v>42992</v>
      </c>
      <c r="H93" s="5">
        <f t="shared" ca="1" si="24"/>
        <v>43357</v>
      </c>
      <c r="I93" t="str">
        <f t="shared" ca="1" si="25"/>
        <v>080-7524-5235</v>
      </c>
      <c r="J93" t="str">
        <f t="shared" ca="1" si="26"/>
        <v>Yu_Xiang_Hui_42992@outlook.jp.co</v>
      </c>
      <c r="K93" t="str">
        <f t="shared" ca="1" si="27"/>
        <v>高級</v>
      </c>
      <c r="L93" t="str">
        <f t="shared" ca="1" si="28"/>
        <v>有り</v>
      </c>
      <c r="M93" t="str">
        <f t="shared" ca="1" si="29"/>
        <v>10%</v>
      </c>
      <c r="N93" t="str">
        <f t="shared" ca="1" si="30"/>
        <v>-</v>
      </c>
      <c r="O93" t="str">
        <f t="shared" ca="1" si="31"/>
        <v>-</v>
      </c>
      <c r="R93">
        <f t="shared" ca="1" si="32"/>
        <v>29</v>
      </c>
      <c r="S93">
        <f t="shared" ca="1" si="33"/>
        <v>290</v>
      </c>
      <c r="T93">
        <f t="shared" ca="1" si="34"/>
        <v>1979</v>
      </c>
      <c r="U93">
        <f t="shared" ca="1" si="35"/>
        <v>1985</v>
      </c>
      <c r="V93">
        <f t="shared" ca="1" si="36"/>
        <v>12</v>
      </c>
      <c r="W93">
        <f t="shared" ca="1" si="37"/>
        <v>5</v>
      </c>
    </row>
    <row r="94" spans="1:23">
      <c r="A94" t="s">
        <v>92</v>
      </c>
      <c r="B94" t="str">
        <f t="shared" ca="1" si="19"/>
        <v>孫庭建</v>
      </c>
      <c r="C94" t="str">
        <f t="shared" ca="1" si="20"/>
        <v>ｽｩﾝ ﾃｨｰﾝ ｼﾞｴﾝ</v>
      </c>
      <c r="D94" t="str">
        <f t="shared" ca="1" si="21"/>
        <v>Sun Ting Jian</v>
      </c>
      <c r="E94" t="str" cm="1">
        <f t="array" aca="1" ref="E94" ca="1">INDIRECT(ADDRESS(RANDBETWEEN(2,16),7,1,1,"valueBase"))</f>
        <v>女性</v>
      </c>
      <c r="F94" s="5">
        <f t="shared" ca="1" si="22"/>
        <v>34920</v>
      </c>
      <c r="G94" s="5">
        <f t="shared" ca="1" si="23"/>
        <v>43126</v>
      </c>
      <c r="H94" s="5">
        <f t="shared" ca="1" si="24"/>
        <v>43491</v>
      </c>
      <c r="I94" t="str">
        <f t="shared" ca="1" si="25"/>
        <v>090-8539-4276</v>
      </c>
      <c r="J94" t="str">
        <f t="shared" ca="1" si="26"/>
        <v>Sun_Ting_Jian_43126@outlook.jp.co</v>
      </c>
      <c r="K94" t="str">
        <f t="shared" ca="1" si="27"/>
        <v>普通</v>
      </c>
      <c r="L94" t="str">
        <f t="shared" ca="1" si="28"/>
        <v>有り</v>
      </c>
      <c r="M94" t="str">
        <f t="shared" ca="1" si="29"/>
        <v>5%</v>
      </c>
      <c r="N94" t="str">
        <f t="shared" ca="1" si="30"/>
        <v>有り</v>
      </c>
      <c r="O94">
        <f t="shared" ca="1" si="31"/>
        <v>102</v>
      </c>
      <c r="R94">
        <f t="shared" ca="1" si="32"/>
        <v>13</v>
      </c>
      <c r="S94">
        <f t="shared" ca="1" si="33"/>
        <v>64</v>
      </c>
      <c r="T94">
        <f t="shared" ca="1" si="34"/>
        <v>1995</v>
      </c>
      <c r="U94">
        <f t="shared" ca="1" si="35"/>
        <v>2007</v>
      </c>
      <c r="V94">
        <f t="shared" ca="1" si="36"/>
        <v>6</v>
      </c>
      <c r="W94">
        <f t="shared" ca="1" si="37"/>
        <v>22</v>
      </c>
    </row>
    <row r="95" spans="1:23">
      <c r="A95" t="s">
        <v>93</v>
      </c>
      <c r="B95" t="str">
        <f t="shared" ca="1" si="19"/>
        <v>宋若彬</v>
      </c>
      <c r="C95" t="str">
        <f t="shared" ca="1" si="20"/>
        <v>ｿｰﾝ ｩﾙｵ ﾋﾞﾝ</v>
      </c>
      <c r="D95" t="str">
        <f t="shared" ca="1" si="21"/>
        <v>Song Ruo Bin</v>
      </c>
      <c r="E95" t="str" cm="1">
        <f t="array" aca="1" ref="E95" ca="1">INDIRECT(ADDRESS(RANDBETWEEN(2,16),7,1,1,"valueBase"))</f>
        <v>男性</v>
      </c>
      <c r="F95" s="5">
        <f t="shared" ca="1" si="22"/>
        <v>28214</v>
      </c>
      <c r="G95" s="5">
        <f t="shared" ca="1" si="23"/>
        <v>45264</v>
      </c>
      <c r="H95" s="5">
        <f t="shared" ca="1" si="24"/>
        <v>46359</v>
      </c>
      <c r="I95" t="str">
        <f t="shared" ca="1" si="25"/>
        <v>090-7081-1402</v>
      </c>
      <c r="J95" t="str">
        <f t="shared" ca="1" si="26"/>
        <v>Song_Ruo Bin_45264@outlook.jp.co</v>
      </c>
      <c r="K95" t="str">
        <f t="shared" ca="1" si="27"/>
        <v>高級</v>
      </c>
      <c r="L95" t="str">
        <f t="shared" ca="1" si="28"/>
        <v>有り</v>
      </c>
      <c r="M95" t="str">
        <f t="shared" ca="1" si="29"/>
        <v>10%</v>
      </c>
      <c r="N95" t="str">
        <f t="shared" ca="1" si="30"/>
        <v>有り</v>
      </c>
      <c r="O95">
        <f t="shared" ca="1" si="31"/>
        <v>394</v>
      </c>
      <c r="R95">
        <f t="shared" ca="1" si="32"/>
        <v>23</v>
      </c>
      <c r="S95">
        <f t="shared" ca="1" si="33"/>
        <v>124</v>
      </c>
      <c r="T95">
        <f t="shared" ca="1" si="34"/>
        <v>1977</v>
      </c>
      <c r="U95">
        <f t="shared" ca="1" si="35"/>
        <v>1980</v>
      </c>
      <c r="V95">
        <f t="shared" ca="1" si="36"/>
        <v>8</v>
      </c>
      <c r="W95">
        <f t="shared" ca="1" si="37"/>
        <v>4</v>
      </c>
    </row>
    <row r="96" spans="1:23">
      <c r="A96" t="s">
        <v>94</v>
      </c>
      <c r="B96" t="str">
        <f t="shared" ca="1" si="19"/>
        <v>林至凡</v>
      </c>
      <c r="C96" t="str">
        <f t="shared" ca="1" si="20"/>
        <v>ﾘﾝ ｼﾞｰ ﾌｧﾝ</v>
      </c>
      <c r="D96" t="str">
        <f t="shared" ca="1" si="21"/>
        <v>Lin Zhi Fan</v>
      </c>
      <c r="E96" t="str" cm="1">
        <f t="array" aca="1" ref="E96" ca="1">INDIRECT(ADDRESS(RANDBETWEEN(2,16),7,1,1,"valueBase"))</f>
        <v>男性</v>
      </c>
      <c r="F96" s="5">
        <f t="shared" ca="1" si="22"/>
        <v>38136</v>
      </c>
      <c r="G96" s="5">
        <f t="shared" ca="1" si="23"/>
        <v>44734</v>
      </c>
      <c r="H96" s="5">
        <f t="shared" ca="1" si="24"/>
        <v>45464</v>
      </c>
      <c r="I96" t="str">
        <f t="shared" ca="1" si="25"/>
        <v>080-3061-6921</v>
      </c>
      <c r="J96" t="str">
        <f t="shared" ca="1" si="26"/>
        <v>Lin_Zhi_Fan_44734@outlook.jp.co</v>
      </c>
      <c r="K96" t="str">
        <f t="shared" ca="1" si="27"/>
        <v>高級</v>
      </c>
      <c r="L96" t="str">
        <f t="shared" ca="1" si="28"/>
        <v>有り</v>
      </c>
      <c r="M96" t="str">
        <f t="shared" ca="1" si="29"/>
        <v>10%</v>
      </c>
      <c r="N96" t="str">
        <f t="shared" ca="1" si="30"/>
        <v>有り</v>
      </c>
      <c r="O96">
        <f t="shared" ca="1" si="31"/>
        <v>539</v>
      </c>
      <c r="R96">
        <f t="shared" ca="1" si="32"/>
        <v>17</v>
      </c>
      <c r="S96">
        <f t="shared" ca="1" si="33"/>
        <v>191</v>
      </c>
      <c r="T96">
        <f t="shared" ca="1" si="34"/>
        <v>1974</v>
      </c>
      <c r="U96">
        <f t="shared" ca="1" si="35"/>
        <v>1978</v>
      </c>
      <c r="V96">
        <f t="shared" ca="1" si="36"/>
        <v>1</v>
      </c>
      <c r="W96">
        <f t="shared" ca="1" si="37"/>
        <v>28</v>
      </c>
    </row>
    <row r="97" spans="1:23">
      <c r="A97" t="s">
        <v>95</v>
      </c>
      <c r="B97" t="str">
        <f t="shared" ca="1" si="19"/>
        <v>唐劍納</v>
      </c>
      <c r="C97" t="str">
        <f t="shared" ca="1" si="20"/>
        <v>ﾀｰﾝ ｼﾞｴﾝ ﾅｰ</v>
      </c>
      <c r="D97" t="str">
        <f t="shared" ca="1" si="21"/>
        <v>Tang Jian Na</v>
      </c>
      <c r="E97" t="str" cm="1">
        <f t="array" aca="1" ref="E97" ca="1">INDIRECT(ADDRESS(RANDBETWEEN(2,16),7,1,1,"valueBase"))</f>
        <v>男性</v>
      </c>
      <c r="F97" s="5">
        <f t="shared" ca="1" si="22"/>
        <v>37747</v>
      </c>
      <c r="G97" s="5">
        <f t="shared" ca="1" si="23"/>
        <v>44952</v>
      </c>
      <c r="H97" s="5">
        <f t="shared" ca="1" si="24"/>
        <v>45682</v>
      </c>
      <c r="I97" t="str">
        <f t="shared" ca="1" si="25"/>
        <v>080-6357-2103</v>
      </c>
      <c r="J97" t="str">
        <f t="shared" ca="1" si="26"/>
        <v>Tang_Jian_Na_44952@outlook.jp.co</v>
      </c>
      <c r="K97" t="str">
        <f t="shared" ca="1" si="27"/>
        <v>普通</v>
      </c>
      <c r="L97" t="str">
        <f t="shared" ca="1" si="28"/>
        <v>有り</v>
      </c>
      <c r="M97" t="str">
        <f t="shared" ca="1" si="29"/>
        <v>5%</v>
      </c>
      <c r="N97" t="str">
        <f t="shared" ca="1" si="30"/>
        <v>有り</v>
      </c>
      <c r="O97">
        <f t="shared" ca="1" si="31"/>
        <v>977</v>
      </c>
      <c r="R97">
        <f t="shared" ca="1" si="32"/>
        <v>27</v>
      </c>
      <c r="S97">
        <f t="shared" ca="1" si="33"/>
        <v>168</v>
      </c>
      <c r="T97">
        <f t="shared" ca="1" si="34"/>
        <v>1980</v>
      </c>
      <c r="U97">
        <f t="shared" ca="1" si="35"/>
        <v>1984</v>
      </c>
      <c r="V97">
        <f t="shared" ca="1" si="36"/>
        <v>10</v>
      </c>
      <c r="W97">
        <f t="shared" ca="1" si="37"/>
        <v>21</v>
      </c>
    </row>
    <row r="98" spans="1:23">
      <c r="A98" t="s">
        <v>96</v>
      </c>
      <c r="B98" t="str">
        <f t="shared" ca="1" si="19"/>
        <v>郭泰聚</v>
      </c>
      <c r="C98" t="str">
        <f t="shared" ca="1" si="20"/>
        <v>ｸﾞｵ ﾀｲ ｼﾞｭｲ</v>
      </c>
      <c r="D98" t="str">
        <f t="shared" ca="1" si="21"/>
        <v>Guo Tai Ju</v>
      </c>
      <c r="E98" t="str" cm="1">
        <f t="array" aca="1" ref="E98" ca="1">INDIRECT(ADDRESS(RANDBETWEEN(2,16),7,1,1,"valueBase"))</f>
        <v>-</v>
      </c>
      <c r="F98" s="5">
        <f t="shared" ca="1" si="22"/>
        <v>27676</v>
      </c>
      <c r="G98" s="5">
        <f t="shared" ca="1" si="23"/>
        <v>42071</v>
      </c>
      <c r="H98" s="5">
        <f t="shared" ca="1" si="24"/>
        <v>42801</v>
      </c>
      <c r="I98" t="str">
        <f t="shared" ca="1" si="25"/>
        <v>090-7884-4769</v>
      </c>
      <c r="J98" t="str">
        <f t="shared" ca="1" si="26"/>
        <v>Guo_Tai_Ju_42071@outlook.jp.co</v>
      </c>
      <c r="K98" t="str">
        <f t="shared" ca="1" si="27"/>
        <v>高級</v>
      </c>
      <c r="L98" t="str">
        <f t="shared" ca="1" si="28"/>
        <v>-</v>
      </c>
      <c r="M98" t="str">
        <f t="shared" ca="1" si="29"/>
        <v>-</v>
      </c>
      <c r="N98" t="str">
        <f t="shared" ca="1" si="30"/>
        <v>有り</v>
      </c>
      <c r="O98">
        <f t="shared" ca="1" si="31"/>
        <v>620</v>
      </c>
      <c r="R98">
        <f t="shared" ca="1" si="32"/>
        <v>19</v>
      </c>
      <c r="S98">
        <f t="shared" ca="1" si="33"/>
        <v>235</v>
      </c>
      <c r="T98">
        <f t="shared" ca="1" si="34"/>
        <v>1981</v>
      </c>
      <c r="U98">
        <f t="shared" ca="1" si="35"/>
        <v>1986</v>
      </c>
      <c r="V98">
        <f t="shared" ca="1" si="36"/>
        <v>1</v>
      </c>
      <c r="W98">
        <f t="shared" ca="1" si="37"/>
        <v>20</v>
      </c>
    </row>
    <row r="99" spans="1:23">
      <c r="A99" t="s">
        <v>97</v>
      </c>
      <c r="B99" t="str">
        <f t="shared" ca="1" si="19"/>
        <v>于含瑋</v>
      </c>
      <c r="C99" t="str">
        <f t="shared" ca="1" si="20"/>
        <v>ﾕｲ ﾊﾝ ｳｴｲ</v>
      </c>
      <c r="D99" t="str">
        <f t="shared" ca="1" si="21"/>
        <v>Yu Han Wei</v>
      </c>
      <c r="E99" t="str" cm="1">
        <f t="array" aca="1" ref="E99" ca="1">INDIRECT(ADDRESS(RANDBETWEEN(2,16),7,1,1,"valueBase"))</f>
        <v>女性</v>
      </c>
      <c r="F99" s="5">
        <f t="shared" ca="1" si="22"/>
        <v>35496</v>
      </c>
      <c r="G99" s="5">
        <f t="shared" ca="1" si="23"/>
        <v>42237</v>
      </c>
      <c r="H99" s="5">
        <f t="shared" ca="1" si="24"/>
        <v>42967</v>
      </c>
      <c r="I99" t="str">
        <f t="shared" ca="1" si="25"/>
        <v>090-6302-3549</v>
      </c>
      <c r="J99" t="str">
        <f t="shared" ca="1" si="26"/>
        <v>Yu_Han_Wei_42237@outlook.jp.co</v>
      </c>
      <c r="K99" t="str">
        <f t="shared" ca="1" si="27"/>
        <v>普通</v>
      </c>
      <c r="L99" t="str">
        <f t="shared" ca="1" si="28"/>
        <v>有り</v>
      </c>
      <c r="M99" t="str">
        <f t="shared" ca="1" si="29"/>
        <v>5%</v>
      </c>
      <c r="N99" t="str">
        <f t="shared" ca="1" si="30"/>
        <v>-</v>
      </c>
      <c r="O99" t="str">
        <f t="shared" ca="1" si="31"/>
        <v>-</v>
      </c>
      <c r="R99">
        <f t="shared" ca="1" si="32"/>
        <v>29</v>
      </c>
      <c r="S99">
        <f t="shared" ca="1" si="33"/>
        <v>43</v>
      </c>
      <c r="T99">
        <f t="shared" ca="1" si="34"/>
        <v>1982</v>
      </c>
      <c r="U99">
        <f t="shared" ca="1" si="35"/>
        <v>1992</v>
      </c>
      <c r="V99">
        <f t="shared" ca="1" si="36"/>
        <v>10</v>
      </c>
      <c r="W99">
        <f t="shared" ca="1" si="37"/>
        <v>22</v>
      </c>
    </row>
    <row r="100" spans="1:23">
      <c r="A100" t="s">
        <v>98</v>
      </c>
      <c r="B100" t="str">
        <f t="shared" ca="1" si="19"/>
        <v>唐狂帆</v>
      </c>
      <c r="C100" t="str">
        <f t="shared" ca="1" si="20"/>
        <v>ﾀｰﾝ ｸﾜｰﾝ ﾌｧﾝ</v>
      </c>
      <c r="D100" t="str">
        <f t="shared" ca="1" si="21"/>
        <v>Tang Kuang Fan</v>
      </c>
      <c r="E100" t="str" cm="1">
        <f t="array" aca="1" ref="E100" ca="1">INDIRECT(ADDRESS(RANDBETWEEN(2,16),7,1,1,"valueBase"))</f>
        <v>男性</v>
      </c>
      <c r="F100" s="5">
        <f t="shared" ca="1" si="22"/>
        <v>36317</v>
      </c>
      <c r="G100" s="5">
        <f t="shared" ca="1" si="23"/>
        <v>44255</v>
      </c>
      <c r="H100" s="5">
        <f t="shared" ca="1" si="24"/>
        <v>45350</v>
      </c>
      <c r="I100" t="str">
        <f t="shared" ca="1" si="25"/>
        <v>090-6992-6017</v>
      </c>
      <c r="J100" t="str">
        <f t="shared" ca="1" si="26"/>
        <v>Tang_Kuang_Fan_44255@outlook.jp.co</v>
      </c>
      <c r="K100" t="str">
        <f t="shared" ca="1" si="27"/>
        <v>普通</v>
      </c>
      <c r="L100" t="str">
        <f t="shared" ca="1" si="28"/>
        <v>-</v>
      </c>
      <c r="M100" t="str">
        <f t="shared" ca="1" si="29"/>
        <v>-</v>
      </c>
      <c r="N100" t="str">
        <f t="shared" ca="1" si="30"/>
        <v>有り</v>
      </c>
      <c r="O100">
        <f t="shared" ca="1" si="31"/>
        <v>824</v>
      </c>
      <c r="R100">
        <f t="shared" ca="1" si="32"/>
        <v>27</v>
      </c>
      <c r="S100">
        <f t="shared" ca="1" si="33"/>
        <v>103</v>
      </c>
      <c r="T100">
        <f t="shared" ca="1" si="34"/>
        <v>1970</v>
      </c>
      <c r="U100">
        <f t="shared" ca="1" si="35"/>
        <v>1977</v>
      </c>
      <c r="V100">
        <f t="shared" ca="1" si="36"/>
        <v>2</v>
      </c>
      <c r="W100">
        <f t="shared" ca="1" si="37"/>
        <v>28</v>
      </c>
    </row>
    <row r="101" spans="1:23">
      <c r="A101" t="s">
        <v>829</v>
      </c>
      <c r="B101" t="str">
        <f t="shared" ca="1" si="19"/>
        <v>趙銀霆</v>
      </c>
      <c r="C101" t="str">
        <f t="shared" ca="1" si="20"/>
        <v>ｼﾞｬｵ ｲﾝ ﾃｨｰﾝ</v>
      </c>
      <c r="D101" t="str">
        <f t="shared" ca="1" si="21"/>
        <v>Zhao Yin Ting</v>
      </c>
      <c r="E101" t="str" cm="1">
        <f t="array" aca="1" ref="E101" ca="1">INDIRECT(ADDRESS(RANDBETWEEN(2,16),7,1,1,"valueBase"))</f>
        <v>男性</v>
      </c>
      <c r="F101" s="5">
        <f t="shared" ca="1" si="22"/>
        <v>24550</v>
      </c>
      <c r="G101" s="5">
        <f t="shared" ca="1" si="23"/>
        <v>31557</v>
      </c>
      <c r="H101" s="5">
        <f t="shared" ca="1" si="24"/>
        <v>31922</v>
      </c>
      <c r="I101" t="str">
        <f t="shared" ca="1" si="25"/>
        <v>090-4515-4588</v>
      </c>
      <c r="J101" t="str">
        <f t="shared" ca="1" si="26"/>
        <v>Zhao_Yin_Ting_31557@outlook.jp.co</v>
      </c>
      <c r="K101" t="str">
        <f t="shared" ca="1" si="27"/>
        <v>高級</v>
      </c>
      <c r="L101" t="str">
        <f t="shared" ca="1" si="28"/>
        <v>有り</v>
      </c>
      <c r="M101" t="str">
        <f t="shared" ca="1" si="29"/>
        <v>10%</v>
      </c>
      <c r="N101" t="str">
        <f t="shared" ca="1" si="30"/>
        <v>有り</v>
      </c>
      <c r="O101">
        <f t="shared" ca="1" si="31"/>
        <v>338</v>
      </c>
      <c r="R101">
        <f t="shared" ca="1" si="32"/>
        <v>8</v>
      </c>
      <c r="S101">
        <f t="shared" ca="1" si="33"/>
        <v>74</v>
      </c>
      <c r="T101">
        <f t="shared" ca="1" si="34"/>
        <v>1989</v>
      </c>
      <c r="U101">
        <f t="shared" ca="1" si="35"/>
        <v>1998</v>
      </c>
      <c r="V101">
        <f t="shared" ca="1" si="36"/>
        <v>4</v>
      </c>
      <c r="W101">
        <f t="shared" ca="1" si="37"/>
        <v>6</v>
      </c>
    </row>
    <row r="102" spans="1:23">
      <c r="A102" t="s">
        <v>830</v>
      </c>
      <c r="B102" t="str">
        <f t="shared" ca="1" si="19"/>
        <v>謝業領</v>
      </c>
      <c r="C102" t="str">
        <f t="shared" ca="1" si="20"/>
        <v>ｼｴ ｲｴ ﾘｰﾝ</v>
      </c>
      <c r="D102" t="str">
        <f t="shared" ca="1" si="21"/>
        <v>Xie Ye Ling</v>
      </c>
      <c r="E102" t="str" cm="1">
        <f t="array" aca="1" ref="E102" ca="1">INDIRECT(ADDRESS(RANDBETWEEN(2,16),7,1,1,"valueBase"))</f>
        <v>男性</v>
      </c>
      <c r="F102" s="5">
        <f t="shared" ca="1" si="22"/>
        <v>28401</v>
      </c>
      <c r="G102" s="5">
        <f t="shared" ca="1" si="23"/>
        <v>35252</v>
      </c>
      <c r="H102" s="5">
        <f t="shared" ca="1" si="24"/>
        <v>35982</v>
      </c>
      <c r="I102" t="str">
        <f t="shared" ca="1" si="25"/>
        <v>080-4432-7666</v>
      </c>
      <c r="J102" t="str">
        <f t="shared" ca="1" si="26"/>
        <v>Xie_Ye_Ling_35252@outlook.jp.co</v>
      </c>
      <c r="K102" t="str">
        <f t="shared" ca="1" si="27"/>
        <v>高級</v>
      </c>
      <c r="L102" t="str">
        <f t="shared" ca="1" si="28"/>
        <v>有り</v>
      </c>
      <c r="M102" t="str">
        <f t="shared" ca="1" si="29"/>
        <v>10%</v>
      </c>
      <c r="N102" t="str">
        <f t="shared" ca="1" si="30"/>
        <v>-</v>
      </c>
      <c r="O102" t="str">
        <f t="shared" ca="1" si="31"/>
        <v>-</v>
      </c>
      <c r="R102">
        <f t="shared" ca="1" si="32"/>
        <v>25</v>
      </c>
      <c r="S102">
        <f t="shared" ca="1" si="33"/>
        <v>122</v>
      </c>
      <c r="T102">
        <f t="shared" ca="1" si="34"/>
        <v>1982</v>
      </c>
      <c r="U102">
        <f t="shared" ca="1" si="35"/>
        <v>1985</v>
      </c>
      <c r="V102">
        <f t="shared" ca="1" si="36"/>
        <v>6</v>
      </c>
      <c r="W102">
        <f t="shared" ca="1" si="37"/>
        <v>29</v>
      </c>
    </row>
    <row r="103" spans="1:23">
      <c r="A103" t="s">
        <v>831</v>
      </c>
      <c r="B103" t="str">
        <f t="shared" ca="1" si="19"/>
        <v>郭若彬</v>
      </c>
      <c r="C103" t="str">
        <f t="shared" ca="1" si="20"/>
        <v>ｸﾞｵ ｩﾙｵ ﾋﾞﾝ</v>
      </c>
      <c r="D103" t="str">
        <f t="shared" ca="1" si="21"/>
        <v>Guo Ruo Bin</v>
      </c>
      <c r="E103" t="str" cm="1">
        <f t="array" aca="1" ref="E103" ca="1">INDIRECT(ADDRESS(RANDBETWEEN(2,16),7,1,1,"valueBase"))</f>
        <v>女性</v>
      </c>
      <c r="F103" s="5">
        <f t="shared" ca="1" si="22"/>
        <v>27249</v>
      </c>
      <c r="G103" s="5">
        <f t="shared" ca="1" si="23"/>
        <v>40977</v>
      </c>
      <c r="H103" s="5">
        <f t="shared" ca="1" si="24"/>
        <v>42072</v>
      </c>
      <c r="I103" t="str">
        <f t="shared" ca="1" si="25"/>
        <v>080-2655-9478</v>
      </c>
      <c r="J103" t="str">
        <f t="shared" ca="1" si="26"/>
        <v>Guo_Ruo Bin_40977@outlook.jp.co</v>
      </c>
      <c r="K103" t="str">
        <f t="shared" ca="1" si="27"/>
        <v>普通</v>
      </c>
      <c r="L103" t="str">
        <f t="shared" ca="1" si="28"/>
        <v>有り</v>
      </c>
      <c r="M103" t="str">
        <f t="shared" ca="1" si="29"/>
        <v>5%</v>
      </c>
      <c r="N103" t="str">
        <f t="shared" ca="1" si="30"/>
        <v>有り</v>
      </c>
      <c r="O103">
        <f t="shared" ca="1" si="31"/>
        <v>181</v>
      </c>
      <c r="R103">
        <f t="shared" ca="1" si="32"/>
        <v>19</v>
      </c>
      <c r="S103">
        <f t="shared" ca="1" si="33"/>
        <v>124</v>
      </c>
      <c r="T103">
        <f t="shared" ca="1" si="34"/>
        <v>1977</v>
      </c>
      <c r="U103">
        <f t="shared" ca="1" si="35"/>
        <v>1980</v>
      </c>
      <c r="V103">
        <f t="shared" ca="1" si="36"/>
        <v>6</v>
      </c>
      <c r="W103">
        <f t="shared" ca="1" si="37"/>
        <v>14</v>
      </c>
    </row>
    <row r="104" spans="1:23">
      <c r="A104" t="s">
        <v>832</v>
      </c>
      <c r="B104" t="str">
        <f t="shared" ca="1" si="19"/>
        <v>吳品夢</v>
      </c>
      <c r="C104" t="str">
        <f t="shared" ca="1" si="20"/>
        <v>ｳｰ ﾋﾟﾝ ﾑｵﾝ</v>
      </c>
      <c r="D104" t="str">
        <f t="shared" ca="1" si="21"/>
        <v>Wu Pin Meng</v>
      </c>
      <c r="E104" t="str" cm="1">
        <f t="array" aca="1" ref="E104" ca="1">INDIRECT(ADDRESS(RANDBETWEEN(2,16),7,1,1,"valueBase"))</f>
        <v>女性</v>
      </c>
      <c r="F104" s="5">
        <f t="shared" ca="1" si="22"/>
        <v>35200</v>
      </c>
      <c r="G104" s="5">
        <f t="shared" ca="1" si="23"/>
        <v>43617</v>
      </c>
      <c r="H104" s="5">
        <f t="shared" ca="1" si="24"/>
        <v>44347</v>
      </c>
      <c r="I104" t="str">
        <f t="shared" ca="1" si="25"/>
        <v>080-4653-6517</v>
      </c>
      <c r="J104" t="str">
        <f t="shared" ca="1" si="26"/>
        <v>Wu_Pin_Meng_43617@outlook.jp.co</v>
      </c>
      <c r="K104" t="str">
        <f t="shared" ca="1" si="27"/>
        <v>高級</v>
      </c>
      <c r="L104" t="str">
        <f t="shared" ca="1" si="28"/>
        <v>-</v>
      </c>
      <c r="M104" t="str">
        <f t="shared" ca="1" si="29"/>
        <v>-</v>
      </c>
      <c r="N104" t="str">
        <f t="shared" ca="1" si="30"/>
        <v>有り</v>
      </c>
      <c r="O104">
        <f t="shared" ca="1" si="31"/>
        <v>138</v>
      </c>
      <c r="R104">
        <f t="shared" ca="1" si="32"/>
        <v>11</v>
      </c>
      <c r="S104">
        <f t="shared" ca="1" si="33"/>
        <v>282</v>
      </c>
      <c r="T104">
        <f t="shared" ca="1" si="34"/>
        <v>2000</v>
      </c>
      <c r="U104">
        <f t="shared" ca="1" si="35"/>
        <v>2003</v>
      </c>
      <c r="V104">
        <f t="shared" ca="1" si="36"/>
        <v>10</v>
      </c>
      <c r="W104">
        <f t="shared" ca="1" si="37"/>
        <v>22</v>
      </c>
    </row>
    <row r="105" spans="1:23">
      <c r="A105" t="s">
        <v>833</v>
      </c>
      <c r="B105" t="str">
        <f t="shared" ca="1" si="19"/>
        <v>周泓唯</v>
      </c>
      <c r="C105" t="str">
        <f t="shared" ca="1" si="20"/>
        <v>ｼﾞｮｳ ﾎｰﾝ ｳｴｲ</v>
      </c>
      <c r="D105" t="str">
        <f t="shared" ca="1" si="21"/>
        <v>Zhou Hong Wei</v>
      </c>
      <c r="E105" t="str" cm="1">
        <f t="array" aca="1" ref="E105" ca="1">INDIRECT(ADDRESS(RANDBETWEEN(2,16),7,1,1,"valueBase"))</f>
        <v>男性</v>
      </c>
      <c r="F105" s="5">
        <f t="shared" ca="1" si="22"/>
        <v>25976</v>
      </c>
      <c r="G105" s="5">
        <f t="shared" ca="1" si="23"/>
        <v>44867</v>
      </c>
      <c r="H105" s="5">
        <f t="shared" ca="1" si="24"/>
        <v>45597</v>
      </c>
      <c r="I105" t="str">
        <f t="shared" ca="1" si="25"/>
        <v>090-0540-3584</v>
      </c>
      <c r="J105" t="str">
        <f t="shared" ca="1" si="26"/>
        <v>Zhou_Hong_Wei_44867@outlook.jp.co</v>
      </c>
      <c r="K105" t="str">
        <f t="shared" ca="1" si="27"/>
        <v>高級</v>
      </c>
      <c r="L105" t="str">
        <f t="shared" ca="1" si="28"/>
        <v>有り</v>
      </c>
      <c r="M105" t="str">
        <f t="shared" ca="1" si="29"/>
        <v>10%</v>
      </c>
      <c r="N105" t="str">
        <f t="shared" ca="1" si="30"/>
        <v>有り</v>
      </c>
      <c r="O105">
        <f t="shared" ca="1" si="31"/>
        <v>103</v>
      </c>
      <c r="R105">
        <f t="shared" ca="1" si="32"/>
        <v>10</v>
      </c>
      <c r="S105">
        <f t="shared" ca="1" si="33"/>
        <v>242</v>
      </c>
      <c r="T105">
        <f t="shared" ca="1" si="34"/>
        <v>1995</v>
      </c>
      <c r="U105">
        <f t="shared" ca="1" si="35"/>
        <v>2001</v>
      </c>
      <c r="V105">
        <f t="shared" ca="1" si="36"/>
        <v>8</v>
      </c>
      <c r="W105">
        <f t="shared" ca="1" si="37"/>
        <v>17</v>
      </c>
    </row>
    <row r="106" spans="1:23">
      <c r="A106" t="s">
        <v>834</v>
      </c>
      <c r="B106" t="str">
        <f t="shared" ca="1" si="19"/>
        <v>胡劍納</v>
      </c>
      <c r="C106" t="str">
        <f t="shared" ca="1" si="20"/>
        <v>ﾎｩ ｼﾞｴﾝ ﾅｰ</v>
      </c>
      <c r="D106" t="str">
        <f t="shared" ca="1" si="21"/>
        <v>Hu Jian Na</v>
      </c>
      <c r="E106" t="str" cm="1">
        <f t="array" aca="1" ref="E106" ca="1">INDIRECT(ADDRESS(RANDBETWEEN(2,16),7,1,1,"valueBase"))</f>
        <v>男性</v>
      </c>
      <c r="F106" s="5">
        <f t="shared" ca="1" si="22"/>
        <v>25412</v>
      </c>
      <c r="G106" s="5">
        <f t="shared" ca="1" si="23"/>
        <v>36900</v>
      </c>
      <c r="H106" s="5">
        <f t="shared" ca="1" si="24"/>
        <v>37630</v>
      </c>
      <c r="I106" t="str">
        <f t="shared" ca="1" si="25"/>
        <v>090-7205-3029</v>
      </c>
      <c r="J106" t="str">
        <f t="shared" ca="1" si="26"/>
        <v>Hu_Jian_Na_36900@outlook.jp.co</v>
      </c>
      <c r="K106" t="str">
        <f t="shared" ca="1" si="27"/>
        <v>普通</v>
      </c>
      <c r="L106" t="str">
        <f t="shared" ca="1" si="28"/>
        <v>-</v>
      </c>
      <c r="M106" t="str">
        <f t="shared" ca="1" si="29"/>
        <v>-</v>
      </c>
      <c r="N106" t="str">
        <f t="shared" ca="1" si="30"/>
        <v>有り</v>
      </c>
      <c r="O106">
        <f t="shared" ca="1" si="31"/>
        <v>693</v>
      </c>
      <c r="R106">
        <f t="shared" ca="1" si="32"/>
        <v>14</v>
      </c>
      <c r="S106">
        <f t="shared" ca="1" si="33"/>
        <v>168</v>
      </c>
      <c r="T106">
        <f t="shared" ca="1" si="34"/>
        <v>2004</v>
      </c>
      <c r="U106">
        <f t="shared" ca="1" si="35"/>
        <v>2010</v>
      </c>
      <c r="V106">
        <f t="shared" ca="1" si="36"/>
        <v>6</v>
      </c>
      <c r="W106">
        <f t="shared" ca="1" si="37"/>
        <v>28</v>
      </c>
    </row>
    <row r="107" spans="1:23">
      <c r="A107" t="s">
        <v>835</v>
      </c>
      <c r="B107" t="str">
        <f t="shared" ca="1" si="19"/>
        <v>王若彬</v>
      </c>
      <c r="C107" t="str">
        <f t="shared" ca="1" si="20"/>
        <v>ﾜｰﾝ ｩﾙｵ ﾋﾞﾝ</v>
      </c>
      <c r="D107" t="str">
        <f t="shared" ca="1" si="21"/>
        <v>Wang Ruo Bin</v>
      </c>
      <c r="E107" t="str" cm="1">
        <f t="array" aca="1" ref="E107" ca="1">INDIRECT(ADDRESS(RANDBETWEEN(2,16),7,1,1,"valueBase"))</f>
        <v>女性</v>
      </c>
      <c r="F107" s="5">
        <f t="shared" ca="1" si="22"/>
        <v>21955</v>
      </c>
      <c r="G107" s="5">
        <f t="shared" ca="1" si="23"/>
        <v>35000</v>
      </c>
      <c r="H107" s="5">
        <f t="shared" ca="1" si="24"/>
        <v>35365</v>
      </c>
      <c r="I107" t="str">
        <f t="shared" ca="1" si="25"/>
        <v>080-0079-2927</v>
      </c>
      <c r="J107" t="str">
        <f t="shared" ca="1" si="26"/>
        <v>Wang_Ruo Bin_35000@outlook.jp.co</v>
      </c>
      <c r="K107" t="str">
        <f t="shared" ca="1" si="27"/>
        <v>普通</v>
      </c>
      <c r="L107" t="str">
        <f t="shared" ca="1" si="28"/>
        <v>有り</v>
      </c>
      <c r="M107" t="str">
        <f t="shared" ca="1" si="29"/>
        <v>5%</v>
      </c>
      <c r="N107" t="str">
        <f t="shared" ca="1" si="30"/>
        <v>有り</v>
      </c>
      <c r="O107">
        <f t="shared" ca="1" si="31"/>
        <v>278</v>
      </c>
      <c r="R107">
        <f t="shared" ca="1" si="32"/>
        <v>3</v>
      </c>
      <c r="S107">
        <f t="shared" ca="1" si="33"/>
        <v>124</v>
      </c>
      <c r="T107">
        <f t="shared" ca="1" si="34"/>
        <v>2001</v>
      </c>
      <c r="U107">
        <f t="shared" ca="1" si="35"/>
        <v>2012</v>
      </c>
      <c r="V107">
        <f t="shared" ca="1" si="36"/>
        <v>12</v>
      </c>
      <c r="W107">
        <f t="shared" ca="1" si="37"/>
        <v>10</v>
      </c>
    </row>
    <row r="108" spans="1:23">
      <c r="A108" t="s">
        <v>836</v>
      </c>
      <c r="B108" t="str">
        <f t="shared" ca="1" si="19"/>
        <v>朱銀池</v>
      </c>
      <c r="C108" t="str">
        <f t="shared" ca="1" si="20"/>
        <v>ｼﾞｭｳ ｲﾝ ﾁｰ</v>
      </c>
      <c r="D108" t="str">
        <f t="shared" ca="1" si="21"/>
        <v>Zhu Yin Chi</v>
      </c>
      <c r="E108" t="str" cm="1">
        <f t="array" aca="1" ref="E108" ca="1">INDIRECT(ADDRESS(RANDBETWEEN(2,16),7,1,1,"valueBase"))</f>
        <v>女性</v>
      </c>
      <c r="F108" s="5">
        <f t="shared" ca="1" si="22"/>
        <v>30512</v>
      </c>
      <c r="G108" s="5">
        <f t="shared" ca="1" si="23"/>
        <v>40302</v>
      </c>
      <c r="H108" s="5">
        <f t="shared" ca="1" si="24"/>
        <v>41032</v>
      </c>
      <c r="I108" t="str">
        <f t="shared" ca="1" si="25"/>
        <v>080-2548-6892</v>
      </c>
      <c r="J108" t="str">
        <f t="shared" ca="1" si="26"/>
        <v>Zhu_Yin_Chi_40302@outlook.jp.co</v>
      </c>
      <c r="K108" t="str">
        <f t="shared" ca="1" si="27"/>
        <v>高級</v>
      </c>
      <c r="L108" t="str">
        <f t="shared" ca="1" si="28"/>
        <v>有り</v>
      </c>
      <c r="M108" t="str">
        <f t="shared" ca="1" si="29"/>
        <v>10%</v>
      </c>
      <c r="N108" t="str">
        <f t="shared" ca="1" si="30"/>
        <v>有り</v>
      </c>
      <c r="O108">
        <f t="shared" ca="1" si="31"/>
        <v>753</v>
      </c>
      <c r="R108">
        <f t="shared" ca="1" si="32"/>
        <v>15</v>
      </c>
      <c r="S108">
        <f t="shared" ca="1" si="33"/>
        <v>90</v>
      </c>
      <c r="T108">
        <f t="shared" ca="1" si="34"/>
        <v>2002</v>
      </c>
      <c r="U108">
        <f t="shared" ca="1" si="35"/>
        <v>2012</v>
      </c>
      <c r="V108">
        <f t="shared" ca="1" si="36"/>
        <v>6</v>
      </c>
      <c r="W108">
        <f t="shared" ca="1" si="37"/>
        <v>1</v>
      </c>
    </row>
    <row r="109" spans="1:23">
      <c r="A109" t="s">
        <v>837</v>
      </c>
      <c r="B109" t="str">
        <f t="shared" ca="1" si="19"/>
        <v>鄭萬斌</v>
      </c>
      <c r="C109" t="str">
        <f t="shared" ca="1" si="20"/>
        <v>ｼﾞｭﾖﾝ ﾜﾝ ﾋﾞﾝ</v>
      </c>
      <c r="D109" t="str">
        <f t="shared" ca="1" si="21"/>
        <v>Zheng Wan Bin</v>
      </c>
      <c r="E109" t="str" cm="1">
        <f t="array" aca="1" ref="E109" ca="1">INDIRECT(ADDRESS(RANDBETWEEN(2,16),7,1,1,"valueBase"))</f>
        <v>女性</v>
      </c>
      <c r="F109" s="5">
        <f t="shared" ca="1" si="22"/>
        <v>30512</v>
      </c>
      <c r="G109" s="5">
        <f t="shared" ca="1" si="23"/>
        <v>39148</v>
      </c>
      <c r="H109" s="5">
        <f t="shared" ca="1" si="24"/>
        <v>39513</v>
      </c>
      <c r="I109" t="str">
        <f t="shared" ca="1" si="25"/>
        <v>090-6658-6810</v>
      </c>
      <c r="J109" t="str">
        <f t="shared" ca="1" si="26"/>
        <v>Zheng_Wan_Bin_39148@outlook.jp.co</v>
      </c>
      <c r="K109" t="str">
        <f t="shared" ca="1" si="27"/>
        <v>普通</v>
      </c>
      <c r="L109" t="str">
        <f t="shared" ca="1" si="28"/>
        <v>有り</v>
      </c>
      <c r="M109" t="str">
        <f t="shared" ca="1" si="29"/>
        <v>5%</v>
      </c>
      <c r="N109" t="str">
        <f t="shared" ca="1" si="30"/>
        <v>有り</v>
      </c>
      <c r="O109">
        <f t="shared" ca="1" si="31"/>
        <v>595</v>
      </c>
      <c r="R109">
        <f t="shared" ca="1" si="32"/>
        <v>24</v>
      </c>
      <c r="S109">
        <f t="shared" ca="1" si="33"/>
        <v>134</v>
      </c>
      <c r="T109">
        <f t="shared" ca="1" si="34"/>
        <v>1974</v>
      </c>
      <c r="U109">
        <f t="shared" ca="1" si="35"/>
        <v>1976</v>
      </c>
      <c r="V109">
        <f t="shared" ca="1" si="36"/>
        <v>9</v>
      </c>
      <c r="W109">
        <f t="shared" ca="1" si="37"/>
        <v>2</v>
      </c>
    </row>
    <row r="110" spans="1:23">
      <c r="A110" t="s">
        <v>838</v>
      </c>
      <c r="B110" t="str">
        <f t="shared" ca="1" si="19"/>
        <v>鄭馳微</v>
      </c>
      <c r="C110" t="str">
        <f t="shared" ca="1" si="20"/>
        <v>ｼﾞｭﾖﾝ ﾁｰ ｳｴｲ</v>
      </c>
      <c r="D110" t="str">
        <f t="shared" ca="1" si="21"/>
        <v>Zheng Chi Wei</v>
      </c>
      <c r="E110" t="str" cm="1">
        <f t="array" aca="1" ref="E110" ca="1">INDIRECT(ADDRESS(RANDBETWEEN(2,16),7,1,1,"valueBase"))</f>
        <v>男性</v>
      </c>
      <c r="F110" s="5">
        <f t="shared" ca="1" si="22"/>
        <v>25067</v>
      </c>
      <c r="G110" s="5">
        <f t="shared" ca="1" si="23"/>
        <v>45163</v>
      </c>
      <c r="H110" s="5">
        <f t="shared" ca="1" si="24"/>
        <v>45893</v>
      </c>
      <c r="I110" t="str">
        <f t="shared" ca="1" si="25"/>
        <v>080-2306-3863</v>
      </c>
      <c r="J110" t="str">
        <f t="shared" ca="1" si="26"/>
        <v>Zheng_Chi_Wei_45163@outlook.jp.co</v>
      </c>
      <c r="K110" t="str">
        <f t="shared" ca="1" si="27"/>
        <v>高級</v>
      </c>
      <c r="L110" t="str">
        <f t="shared" ca="1" si="28"/>
        <v>有り</v>
      </c>
      <c r="M110" t="str">
        <f t="shared" ca="1" si="29"/>
        <v>10%</v>
      </c>
      <c r="N110" t="str">
        <f t="shared" ca="1" si="30"/>
        <v>有り</v>
      </c>
      <c r="O110">
        <f t="shared" ca="1" si="31"/>
        <v>870</v>
      </c>
      <c r="R110">
        <f t="shared" ca="1" si="32"/>
        <v>24</v>
      </c>
      <c r="S110">
        <f t="shared" ca="1" si="33"/>
        <v>161</v>
      </c>
      <c r="T110">
        <f t="shared" ca="1" si="34"/>
        <v>2010</v>
      </c>
      <c r="U110">
        <f t="shared" ca="1" si="35"/>
        <v>2019</v>
      </c>
      <c r="V110">
        <f t="shared" ca="1" si="36"/>
        <v>8</v>
      </c>
      <c r="W110">
        <f t="shared" ca="1" si="37"/>
        <v>16</v>
      </c>
    </row>
    <row r="111" spans="1:23">
      <c r="A111" t="s">
        <v>839</v>
      </c>
      <c r="B111" t="str">
        <f t="shared" ca="1" si="19"/>
        <v>馬存貿</v>
      </c>
      <c r="C111" t="str">
        <f t="shared" ca="1" si="20"/>
        <v>ﾏｰ ﾂｩﾝ ﾏｵ</v>
      </c>
      <c r="D111" t="str">
        <f t="shared" ca="1" si="21"/>
        <v>Ma Cun Mao</v>
      </c>
      <c r="E111" t="str" cm="1">
        <f t="array" aca="1" ref="E111" ca="1">INDIRECT(ADDRESS(RANDBETWEEN(2,16),7,1,1,"valueBase"))</f>
        <v>男性</v>
      </c>
      <c r="F111" s="5">
        <f t="shared" ca="1" si="22"/>
        <v>23551</v>
      </c>
      <c r="G111" s="5">
        <f t="shared" ca="1" si="23"/>
        <v>43139</v>
      </c>
      <c r="H111" s="5">
        <f t="shared" ca="1" si="24"/>
        <v>43869</v>
      </c>
      <c r="I111" t="str">
        <f t="shared" ca="1" si="25"/>
        <v>080-9078-0467</v>
      </c>
      <c r="J111" t="str">
        <f t="shared" ca="1" si="26"/>
        <v>Ma_Cun_Mao_43139@outlook.jp.co</v>
      </c>
      <c r="K111" t="str">
        <f t="shared" ca="1" si="27"/>
        <v>普通</v>
      </c>
      <c r="L111" t="str">
        <f t="shared" ca="1" si="28"/>
        <v>有り</v>
      </c>
      <c r="M111" t="str">
        <f t="shared" ca="1" si="29"/>
        <v>5%</v>
      </c>
      <c r="N111" t="str">
        <f t="shared" ca="1" si="30"/>
        <v>-</v>
      </c>
      <c r="O111" t="str">
        <f t="shared" ca="1" si="31"/>
        <v>-</v>
      </c>
      <c r="R111">
        <f t="shared" ca="1" si="32"/>
        <v>20</v>
      </c>
      <c r="S111">
        <f t="shared" ca="1" si="33"/>
        <v>192</v>
      </c>
      <c r="T111">
        <f t="shared" ca="1" si="34"/>
        <v>1998</v>
      </c>
      <c r="U111">
        <f t="shared" ca="1" si="35"/>
        <v>2007</v>
      </c>
      <c r="V111">
        <f t="shared" ca="1" si="36"/>
        <v>4</v>
      </c>
      <c r="W111">
        <f t="shared" ca="1" si="37"/>
        <v>19</v>
      </c>
    </row>
    <row r="112" spans="1:23">
      <c r="A112" t="s">
        <v>840</v>
      </c>
      <c r="B112" t="str">
        <f t="shared" ca="1" si="19"/>
        <v>郭華瑋</v>
      </c>
      <c r="C112" t="str">
        <f t="shared" ca="1" si="20"/>
        <v>ｸﾞｵ ﾎﾜ ｳｴｲ</v>
      </c>
      <c r="D112" t="str">
        <f t="shared" ca="1" si="21"/>
        <v>Guo Hua Wei</v>
      </c>
      <c r="E112" t="str" cm="1">
        <f t="array" aca="1" ref="E112" ca="1">INDIRECT(ADDRESS(RANDBETWEEN(2,16),7,1,1,"valueBase"))</f>
        <v>男性</v>
      </c>
      <c r="F112" s="5">
        <f t="shared" ca="1" si="22"/>
        <v>27795</v>
      </c>
      <c r="G112" s="5">
        <f t="shared" ca="1" si="23"/>
        <v>38292</v>
      </c>
      <c r="H112" s="5">
        <f t="shared" ca="1" si="24"/>
        <v>39387</v>
      </c>
      <c r="I112" t="str">
        <f t="shared" ca="1" si="25"/>
        <v>080-7365-6232</v>
      </c>
      <c r="J112" t="str">
        <f t="shared" ca="1" si="26"/>
        <v>Guo_Hua_Wei_38292@outlook.jp.co</v>
      </c>
      <c r="K112" t="str">
        <f t="shared" ca="1" si="27"/>
        <v>高級</v>
      </c>
      <c r="L112" t="str">
        <f t="shared" ca="1" si="28"/>
        <v>有り</v>
      </c>
      <c r="M112" t="str">
        <f t="shared" ca="1" si="29"/>
        <v>10%</v>
      </c>
      <c r="N112" t="str">
        <f t="shared" ca="1" si="30"/>
        <v>有り</v>
      </c>
      <c r="O112">
        <f t="shared" ca="1" si="31"/>
        <v>47</v>
      </c>
      <c r="R112">
        <f t="shared" ca="1" si="32"/>
        <v>19</v>
      </c>
      <c r="S112">
        <f t="shared" ca="1" si="33"/>
        <v>258</v>
      </c>
      <c r="T112">
        <f t="shared" ca="1" si="34"/>
        <v>1994</v>
      </c>
      <c r="U112">
        <f t="shared" ca="1" si="35"/>
        <v>1996</v>
      </c>
      <c r="V112">
        <f t="shared" ca="1" si="36"/>
        <v>8</v>
      </c>
      <c r="W112">
        <f t="shared" ca="1" si="37"/>
        <v>4</v>
      </c>
    </row>
    <row r="113" spans="1:23">
      <c r="A113" t="s">
        <v>841</v>
      </c>
      <c r="B113" t="str">
        <f t="shared" ca="1" si="19"/>
        <v>孫斯蘭</v>
      </c>
      <c r="C113" t="str">
        <f t="shared" ca="1" si="20"/>
        <v>ｽｩﾝ ｽｰ ﾗﾝ</v>
      </c>
      <c r="D113" t="str">
        <f t="shared" ca="1" si="21"/>
        <v>Sun Si Lan</v>
      </c>
      <c r="E113" t="str" cm="1">
        <f t="array" aca="1" ref="E113" ca="1">INDIRECT(ADDRESS(RANDBETWEEN(2,16),7,1,1,"valueBase"))</f>
        <v>女性</v>
      </c>
      <c r="F113" s="5">
        <f t="shared" ca="1" si="22"/>
        <v>36729</v>
      </c>
      <c r="G113" s="5">
        <f t="shared" ca="1" si="23"/>
        <v>44892</v>
      </c>
      <c r="H113" s="5">
        <f t="shared" ca="1" si="24"/>
        <v>45987</v>
      </c>
      <c r="I113" t="str">
        <f t="shared" ca="1" si="25"/>
        <v>080-9804-0310</v>
      </c>
      <c r="J113" t="str">
        <f t="shared" ca="1" si="26"/>
        <v>Sun_Si_Lan_44892@outlook.jp.co</v>
      </c>
      <c r="K113" t="str">
        <f t="shared" ca="1" si="27"/>
        <v>高級</v>
      </c>
      <c r="L113" t="str">
        <f t="shared" ca="1" si="28"/>
        <v>有り</v>
      </c>
      <c r="M113" t="str">
        <f t="shared" ca="1" si="29"/>
        <v>10%</v>
      </c>
      <c r="N113" t="str">
        <f t="shared" ca="1" si="30"/>
        <v>有り</v>
      </c>
      <c r="O113">
        <f t="shared" ca="1" si="31"/>
        <v>19</v>
      </c>
      <c r="R113">
        <f t="shared" ca="1" si="32"/>
        <v>13</v>
      </c>
      <c r="S113">
        <f t="shared" ca="1" si="33"/>
        <v>30</v>
      </c>
      <c r="T113">
        <f t="shared" ca="1" si="34"/>
        <v>1981</v>
      </c>
      <c r="U113">
        <f t="shared" ca="1" si="35"/>
        <v>1984</v>
      </c>
      <c r="V113">
        <f t="shared" ca="1" si="36"/>
        <v>5</v>
      </c>
      <c r="W113">
        <f t="shared" ca="1" si="37"/>
        <v>20</v>
      </c>
    </row>
    <row r="114" spans="1:23">
      <c r="A114" t="s">
        <v>842</v>
      </c>
      <c r="B114" t="str">
        <f t="shared" ca="1" si="19"/>
        <v>劉湖敏</v>
      </c>
      <c r="C114" t="str">
        <f t="shared" ca="1" si="20"/>
        <v>ﾘｳ ﾎｩ ﾐﾝ</v>
      </c>
      <c r="D114" t="str">
        <f t="shared" ca="1" si="21"/>
        <v>Liu Hu Min</v>
      </c>
      <c r="E114" t="str" cm="1">
        <f t="array" aca="1" ref="E114" ca="1">INDIRECT(ADDRESS(RANDBETWEEN(2,16),7,1,1,"valueBase"))</f>
        <v>男性</v>
      </c>
      <c r="F114" s="5">
        <f t="shared" ca="1" si="22"/>
        <v>26037</v>
      </c>
      <c r="G114" s="5">
        <f t="shared" ca="1" si="23"/>
        <v>32874</v>
      </c>
      <c r="H114" s="5">
        <f t="shared" ca="1" si="24"/>
        <v>33239</v>
      </c>
      <c r="I114" t="str">
        <f t="shared" ca="1" si="25"/>
        <v>080-5759-3041</v>
      </c>
      <c r="J114" t="str">
        <f t="shared" ca="1" si="26"/>
        <v>Liu_Hu_Min_32874@outlook.jp.co</v>
      </c>
      <c r="K114" t="str">
        <f t="shared" ca="1" si="27"/>
        <v>普通</v>
      </c>
      <c r="L114" t="str">
        <f t="shared" ca="1" si="28"/>
        <v>有り</v>
      </c>
      <c r="M114" t="str">
        <f t="shared" ca="1" si="29"/>
        <v>5%</v>
      </c>
      <c r="N114" t="str">
        <f t="shared" ca="1" si="30"/>
        <v>有り</v>
      </c>
      <c r="O114">
        <f t="shared" ca="1" si="31"/>
        <v>768</v>
      </c>
      <c r="R114">
        <f t="shared" ca="1" si="32"/>
        <v>5</v>
      </c>
      <c r="S114">
        <f t="shared" ca="1" si="33"/>
        <v>213</v>
      </c>
      <c r="T114">
        <f t="shared" ca="1" si="34"/>
        <v>2006</v>
      </c>
      <c r="U114">
        <f t="shared" ca="1" si="35"/>
        <v>2011</v>
      </c>
      <c r="V114">
        <f t="shared" ca="1" si="36"/>
        <v>10</v>
      </c>
      <c r="W114">
        <f t="shared" ca="1" si="37"/>
        <v>16</v>
      </c>
    </row>
    <row r="115" spans="1:23">
      <c r="A115" t="s">
        <v>843</v>
      </c>
      <c r="B115" t="str">
        <f t="shared" ca="1" si="19"/>
        <v>鄭騰威</v>
      </c>
      <c r="C115" t="str">
        <f t="shared" ca="1" si="20"/>
        <v>ｼﾞｭﾖﾝ ﾄｩｵﾝ ｳｴｲ</v>
      </c>
      <c r="D115" t="str">
        <f t="shared" ca="1" si="21"/>
        <v>Zheng Teng Wei</v>
      </c>
      <c r="E115" t="str" cm="1">
        <f t="array" aca="1" ref="E115" ca="1">INDIRECT(ADDRESS(RANDBETWEEN(2,16),7,1,1,"valueBase"))</f>
        <v>男性</v>
      </c>
      <c r="F115" s="5">
        <f t="shared" ca="1" si="22"/>
        <v>28736</v>
      </c>
      <c r="G115" s="5">
        <f t="shared" ca="1" si="23"/>
        <v>42238</v>
      </c>
      <c r="H115" s="5">
        <f t="shared" ca="1" si="24"/>
        <v>42603</v>
      </c>
      <c r="I115" t="str">
        <f t="shared" ca="1" si="25"/>
        <v>090-6429-1762</v>
      </c>
      <c r="J115" t="str">
        <f t="shared" ca="1" si="26"/>
        <v>Zheng_Teng_Wei_42238@outlook.jp.co</v>
      </c>
      <c r="K115" t="str">
        <f t="shared" ca="1" si="27"/>
        <v>普通</v>
      </c>
      <c r="L115" t="str">
        <f t="shared" ca="1" si="28"/>
        <v>有り</v>
      </c>
      <c r="M115" t="str">
        <f t="shared" ca="1" si="29"/>
        <v>5%</v>
      </c>
      <c r="N115" t="str">
        <f t="shared" ca="1" si="30"/>
        <v>有り</v>
      </c>
      <c r="O115">
        <f t="shared" ca="1" si="31"/>
        <v>564</v>
      </c>
      <c r="R115">
        <f t="shared" ca="1" si="32"/>
        <v>24</v>
      </c>
      <c r="S115">
        <f t="shared" ca="1" si="33"/>
        <v>173</v>
      </c>
      <c r="T115">
        <f t="shared" ca="1" si="34"/>
        <v>2003</v>
      </c>
      <c r="U115">
        <f t="shared" ca="1" si="35"/>
        <v>2009</v>
      </c>
      <c r="V115">
        <f t="shared" ca="1" si="36"/>
        <v>3</v>
      </c>
      <c r="W115">
        <f t="shared" ca="1" si="37"/>
        <v>17</v>
      </c>
    </row>
    <row r="116" spans="1:23">
      <c r="A116" t="s">
        <v>844</v>
      </c>
      <c r="B116" t="str">
        <f t="shared" ca="1" si="19"/>
        <v>梁瀚鴻</v>
      </c>
      <c r="C116" t="str">
        <f t="shared" ca="1" si="20"/>
        <v>ﾘﾔｰﾝ ﾊﾝ ﾎｰﾝ</v>
      </c>
      <c r="D116" t="str">
        <f t="shared" ca="1" si="21"/>
        <v>Liang Han Hong</v>
      </c>
      <c r="E116" t="str" cm="1">
        <f t="array" aca="1" ref="E116" ca="1">INDIRECT(ADDRESS(RANDBETWEEN(2,16),7,1,1,"valueBase"))</f>
        <v>女性</v>
      </c>
      <c r="F116" s="5">
        <f t="shared" ca="1" si="22"/>
        <v>29156</v>
      </c>
      <c r="G116" s="5">
        <f t="shared" ca="1" si="23"/>
        <v>38042</v>
      </c>
      <c r="H116" s="5">
        <f t="shared" ca="1" si="24"/>
        <v>38407</v>
      </c>
      <c r="I116" t="str">
        <f t="shared" ca="1" si="25"/>
        <v>080-1279-3451</v>
      </c>
      <c r="J116" t="str">
        <f t="shared" ca="1" si="26"/>
        <v>Liang_Han_Hong_38042@outlook.jp.co</v>
      </c>
      <c r="K116" t="str">
        <f t="shared" ca="1" si="27"/>
        <v>高級</v>
      </c>
      <c r="L116" t="str">
        <f t="shared" ca="1" si="28"/>
        <v>有り</v>
      </c>
      <c r="M116" t="str">
        <f t="shared" ca="1" si="29"/>
        <v>10%</v>
      </c>
      <c r="N116" t="str">
        <f t="shared" ca="1" si="30"/>
        <v>有り</v>
      </c>
      <c r="O116">
        <f t="shared" ca="1" si="31"/>
        <v>328</v>
      </c>
      <c r="R116">
        <f t="shared" ca="1" si="32"/>
        <v>22</v>
      </c>
      <c r="S116">
        <f t="shared" ca="1" si="33"/>
        <v>228</v>
      </c>
      <c r="T116">
        <f t="shared" ca="1" si="34"/>
        <v>1986</v>
      </c>
      <c r="U116">
        <f t="shared" ca="1" si="35"/>
        <v>1991</v>
      </c>
      <c r="V116">
        <f t="shared" ca="1" si="36"/>
        <v>7</v>
      </c>
      <c r="W116">
        <f t="shared" ca="1" si="37"/>
        <v>10</v>
      </c>
    </row>
    <row r="117" spans="1:23">
      <c r="A117" t="s">
        <v>845</v>
      </c>
      <c r="B117" t="str">
        <f t="shared" ca="1" si="19"/>
        <v>謝樂真</v>
      </c>
      <c r="C117" t="str">
        <f t="shared" ca="1" si="20"/>
        <v>ｼｴ ﾛｰｧ ｼﾞｪﾝ</v>
      </c>
      <c r="D117" t="str">
        <f t="shared" ca="1" si="21"/>
        <v>Xie Le Zhen</v>
      </c>
      <c r="E117" t="str" cm="1">
        <f t="array" aca="1" ref="E117" ca="1">INDIRECT(ADDRESS(RANDBETWEEN(2,16),7,1,1,"valueBase"))</f>
        <v>男性</v>
      </c>
      <c r="F117" s="5">
        <f t="shared" ca="1" si="22"/>
        <v>31545</v>
      </c>
      <c r="G117" s="5">
        <f t="shared" ca="1" si="23"/>
        <v>43695</v>
      </c>
      <c r="H117" s="5">
        <f t="shared" ca="1" si="24"/>
        <v>44425</v>
      </c>
      <c r="I117" t="str">
        <f t="shared" ca="1" si="25"/>
        <v>080-2930-8712</v>
      </c>
      <c r="J117" t="str">
        <f t="shared" ca="1" si="26"/>
        <v>Xie_Le Zhen_43695@outlook.jp.co</v>
      </c>
      <c r="K117" t="str">
        <f t="shared" ca="1" si="27"/>
        <v>高級</v>
      </c>
      <c r="L117" t="str">
        <f t="shared" ca="1" si="28"/>
        <v>有り</v>
      </c>
      <c r="M117" t="str">
        <f t="shared" ca="1" si="29"/>
        <v>10%</v>
      </c>
      <c r="N117" t="str">
        <f t="shared" ca="1" si="30"/>
        <v>有り</v>
      </c>
      <c r="O117">
        <f t="shared" ca="1" si="31"/>
        <v>615</v>
      </c>
      <c r="R117">
        <f t="shared" ca="1" si="32"/>
        <v>25</v>
      </c>
      <c r="S117">
        <f t="shared" ca="1" si="33"/>
        <v>147</v>
      </c>
      <c r="T117">
        <f t="shared" ca="1" si="34"/>
        <v>1985</v>
      </c>
      <c r="U117">
        <f t="shared" ca="1" si="35"/>
        <v>1997</v>
      </c>
      <c r="V117">
        <f t="shared" ca="1" si="36"/>
        <v>4</v>
      </c>
      <c r="W117">
        <f t="shared" ca="1" si="37"/>
        <v>23</v>
      </c>
    </row>
    <row r="118" spans="1:23">
      <c r="A118" t="s">
        <v>846</v>
      </c>
      <c r="B118" t="str">
        <f t="shared" ca="1" si="19"/>
        <v>郭資速</v>
      </c>
      <c r="C118" t="str">
        <f t="shared" ca="1" si="20"/>
        <v>ｸﾞｵ ｽﾞｰ ｽｩ</v>
      </c>
      <c r="D118" t="str">
        <f t="shared" ca="1" si="21"/>
        <v>Guo Zi Su</v>
      </c>
      <c r="E118" t="str" cm="1">
        <f t="array" aca="1" ref="E118" ca="1">INDIRECT(ADDRESS(RANDBETWEEN(2,16),7,1,1,"valueBase"))</f>
        <v>男性</v>
      </c>
      <c r="F118" s="5">
        <f t="shared" ca="1" si="22"/>
        <v>38033</v>
      </c>
      <c r="G118" s="5">
        <f t="shared" ca="1" si="23"/>
        <v>45265</v>
      </c>
      <c r="H118" s="5">
        <f t="shared" ca="1" si="24"/>
        <v>45995</v>
      </c>
      <c r="I118" t="str">
        <f t="shared" ca="1" si="25"/>
        <v>090-2271-2074</v>
      </c>
      <c r="J118" t="str">
        <f t="shared" ca="1" si="26"/>
        <v>Guo_Zi_Su_45265@outlook.jp.co</v>
      </c>
      <c r="K118" t="str">
        <f t="shared" ca="1" si="27"/>
        <v>高級</v>
      </c>
      <c r="L118" t="str">
        <f t="shared" ca="1" si="28"/>
        <v>有り</v>
      </c>
      <c r="M118" t="str">
        <f t="shared" ca="1" si="29"/>
        <v>10%</v>
      </c>
      <c r="N118" t="str">
        <f t="shared" ca="1" si="30"/>
        <v>-</v>
      </c>
      <c r="O118" t="str">
        <f t="shared" ca="1" si="31"/>
        <v>-</v>
      </c>
      <c r="R118">
        <f t="shared" ca="1" si="32"/>
        <v>19</v>
      </c>
      <c r="S118">
        <f t="shared" ca="1" si="33"/>
        <v>325</v>
      </c>
      <c r="T118">
        <f t="shared" ca="1" si="34"/>
        <v>1995</v>
      </c>
      <c r="U118">
        <f t="shared" ca="1" si="35"/>
        <v>2001</v>
      </c>
      <c r="V118">
        <f t="shared" ca="1" si="36"/>
        <v>3</v>
      </c>
      <c r="W118">
        <f t="shared" ca="1" si="37"/>
        <v>8</v>
      </c>
    </row>
    <row r="119" spans="1:23">
      <c r="A119" t="s">
        <v>847</v>
      </c>
      <c r="B119" t="str">
        <f t="shared" ca="1" si="19"/>
        <v>韓唯慶</v>
      </c>
      <c r="C119" t="str">
        <f t="shared" ca="1" si="20"/>
        <v>ﾊﾝ ｳｴｲ ﾁｰﾝ</v>
      </c>
      <c r="D119" t="str">
        <f t="shared" ca="1" si="21"/>
        <v>Han Wei Qing</v>
      </c>
      <c r="E119" t="str" cm="1">
        <f t="array" aca="1" ref="E119" ca="1">INDIRECT(ADDRESS(RANDBETWEEN(2,16),7,1,1,"valueBase"))</f>
        <v>女性</v>
      </c>
      <c r="F119" s="5">
        <f t="shared" ca="1" si="22"/>
        <v>27274</v>
      </c>
      <c r="G119" s="5">
        <f t="shared" ca="1" si="23"/>
        <v>34963</v>
      </c>
      <c r="H119" s="5">
        <f t="shared" ca="1" si="24"/>
        <v>35693</v>
      </c>
      <c r="I119" t="str">
        <f t="shared" ca="1" si="25"/>
        <v>090-0333-7756</v>
      </c>
      <c r="J119" t="str">
        <f t="shared" ca="1" si="26"/>
        <v>Han_Wei_Qing_34963@outlook.jp.co</v>
      </c>
      <c r="K119" t="str">
        <f t="shared" ca="1" si="27"/>
        <v>高級</v>
      </c>
      <c r="L119" t="str">
        <f t="shared" ca="1" si="28"/>
        <v>有り</v>
      </c>
      <c r="M119" t="str">
        <f t="shared" ca="1" si="29"/>
        <v>10%</v>
      </c>
      <c r="N119" t="str">
        <f t="shared" ca="1" si="30"/>
        <v>有り</v>
      </c>
      <c r="O119">
        <f t="shared" ca="1" si="31"/>
        <v>881</v>
      </c>
      <c r="R119">
        <f t="shared" ca="1" si="32"/>
        <v>26</v>
      </c>
      <c r="S119">
        <f t="shared" ca="1" si="33"/>
        <v>301</v>
      </c>
      <c r="T119">
        <f t="shared" ca="1" si="34"/>
        <v>1999</v>
      </c>
      <c r="U119">
        <f t="shared" ca="1" si="35"/>
        <v>2011</v>
      </c>
      <c r="V119">
        <f t="shared" ca="1" si="36"/>
        <v>8</v>
      </c>
      <c r="W119">
        <f t="shared" ca="1" si="37"/>
        <v>7</v>
      </c>
    </row>
    <row r="120" spans="1:23">
      <c r="A120" t="s">
        <v>848</v>
      </c>
      <c r="B120" t="str">
        <f t="shared" ca="1" si="19"/>
        <v>韓慶興</v>
      </c>
      <c r="C120" t="str">
        <f t="shared" ca="1" si="20"/>
        <v>ﾊﾝ ﾁｰﾝ ｼｰﾝ</v>
      </c>
      <c r="D120" t="str">
        <f t="shared" ca="1" si="21"/>
        <v>Han Qing Xing</v>
      </c>
      <c r="E120" t="str" cm="1">
        <f t="array" aca="1" ref="E120" ca="1">INDIRECT(ADDRESS(RANDBETWEEN(2,16),7,1,1,"valueBase"))</f>
        <v>男性</v>
      </c>
      <c r="F120" s="5">
        <f t="shared" ca="1" si="22"/>
        <v>23299</v>
      </c>
      <c r="G120" s="5">
        <f t="shared" ca="1" si="23"/>
        <v>33134</v>
      </c>
      <c r="H120" s="5">
        <f t="shared" ca="1" si="24"/>
        <v>33864</v>
      </c>
      <c r="I120" t="str">
        <f t="shared" ca="1" si="25"/>
        <v>080-5189-5394</v>
      </c>
      <c r="J120" t="str">
        <f t="shared" ca="1" si="26"/>
        <v>Han_Qing_Xing_33134@outlook.jp.co</v>
      </c>
      <c r="K120" t="str">
        <f t="shared" ca="1" si="27"/>
        <v>普通</v>
      </c>
      <c r="L120" t="str">
        <f t="shared" ca="1" si="28"/>
        <v>有り</v>
      </c>
      <c r="M120" t="str">
        <f t="shared" ca="1" si="29"/>
        <v>5%</v>
      </c>
      <c r="N120" t="str">
        <f t="shared" ca="1" si="30"/>
        <v>有り</v>
      </c>
      <c r="O120">
        <f t="shared" ca="1" si="31"/>
        <v>351</v>
      </c>
      <c r="R120">
        <f t="shared" ca="1" si="32"/>
        <v>26</v>
      </c>
      <c r="S120">
        <f t="shared" ca="1" si="33"/>
        <v>92</v>
      </c>
      <c r="T120">
        <f t="shared" ca="1" si="34"/>
        <v>2005</v>
      </c>
      <c r="U120">
        <f t="shared" ca="1" si="35"/>
        <v>2014</v>
      </c>
      <c r="V120">
        <f t="shared" ca="1" si="36"/>
        <v>5</v>
      </c>
      <c r="W120">
        <f t="shared" ca="1" si="37"/>
        <v>10</v>
      </c>
    </row>
    <row r="121" spans="1:23">
      <c r="A121" t="s">
        <v>849</v>
      </c>
      <c r="B121" t="str">
        <f t="shared" ca="1" si="19"/>
        <v>周領東</v>
      </c>
      <c r="C121" t="str">
        <f t="shared" ca="1" si="20"/>
        <v>ｼﾞｮｳ ﾘｰﾝ ﾄﾞｰﾝ</v>
      </c>
      <c r="D121" t="str">
        <f t="shared" ca="1" si="21"/>
        <v>Zhou Ling Dong</v>
      </c>
      <c r="E121" t="str" cm="1">
        <f t="array" aca="1" ref="E121" ca="1">INDIRECT(ADDRESS(RANDBETWEEN(2,16),7,1,1,"valueBase"))</f>
        <v>女性</v>
      </c>
      <c r="F121" s="5">
        <f t="shared" ca="1" si="22"/>
        <v>33286</v>
      </c>
      <c r="G121" s="5">
        <f t="shared" ca="1" si="23"/>
        <v>42738</v>
      </c>
      <c r="H121" s="5">
        <f t="shared" ca="1" si="24"/>
        <v>43468</v>
      </c>
      <c r="I121" t="str">
        <f t="shared" ca="1" si="25"/>
        <v>080-1897-2899</v>
      </c>
      <c r="J121" t="str">
        <f t="shared" ca="1" si="26"/>
        <v>Zhou_Ling_Dong_42738@outlook.jp.co</v>
      </c>
      <c r="K121" t="str">
        <f t="shared" ca="1" si="27"/>
        <v>高級</v>
      </c>
      <c r="L121" t="str">
        <f t="shared" ca="1" si="28"/>
        <v>有り</v>
      </c>
      <c r="M121" t="str">
        <f t="shared" ca="1" si="29"/>
        <v>10%</v>
      </c>
      <c r="N121" t="str">
        <f t="shared" ca="1" si="30"/>
        <v>有り</v>
      </c>
      <c r="O121">
        <f t="shared" ca="1" si="31"/>
        <v>794</v>
      </c>
      <c r="R121">
        <f t="shared" ca="1" si="32"/>
        <v>10</v>
      </c>
      <c r="S121">
        <f t="shared" ca="1" si="33"/>
        <v>94</v>
      </c>
      <c r="T121">
        <f t="shared" ca="1" si="34"/>
        <v>1999</v>
      </c>
      <c r="U121">
        <f t="shared" ca="1" si="35"/>
        <v>2008</v>
      </c>
      <c r="V121">
        <f t="shared" ca="1" si="36"/>
        <v>7</v>
      </c>
      <c r="W121">
        <f t="shared" ca="1" si="37"/>
        <v>7</v>
      </c>
    </row>
    <row r="122" spans="1:23">
      <c r="A122" t="s">
        <v>850</v>
      </c>
      <c r="B122" t="str">
        <f t="shared" ca="1" si="19"/>
        <v>謝起泉</v>
      </c>
      <c r="C122" t="str">
        <f t="shared" ca="1" si="20"/>
        <v>ｼｴ ﾁｲ ﾁｭｴﾝ</v>
      </c>
      <c r="D122" t="str">
        <f t="shared" ca="1" si="21"/>
        <v>Xie Qi Quan</v>
      </c>
      <c r="E122" t="str" cm="1">
        <f t="array" aca="1" ref="E122" ca="1">INDIRECT(ADDRESS(RANDBETWEEN(2,16),7,1,1,"valueBase"))</f>
        <v>男性</v>
      </c>
      <c r="F122" s="5">
        <f t="shared" ca="1" si="22"/>
        <v>37175</v>
      </c>
      <c r="G122" s="5">
        <f t="shared" ca="1" si="23"/>
        <v>44763</v>
      </c>
      <c r="H122" s="5">
        <f t="shared" ca="1" si="24"/>
        <v>45858</v>
      </c>
      <c r="I122" t="str">
        <f t="shared" ca="1" si="25"/>
        <v>090-3950-3936</v>
      </c>
      <c r="J122" t="str">
        <f t="shared" ca="1" si="26"/>
        <v>Xie_Qi_Quan_44763@outlook.jp.co</v>
      </c>
      <c r="K122" t="str">
        <f t="shared" ca="1" si="27"/>
        <v>普通</v>
      </c>
      <c r="L122" t="str">
        <f t="shared" ca="1" si="28"/>
        <v>有り</v>
      </c>
      <c r="M122" t="str">
        <f t="shared" ca="1" si="29"/>
        <v>5%</v>
      </c>
      <c r="N122" t="str">
        <f t="shared" ca="1" si="30"/>
        <v>-</v>
      </c>
      <c r="O122" t="str">
        <f t="shared" ca="1" si="31"/>
        <v>-</v>
      </c>
      <c r="R122">
        <f t="shared" ca="1" si="32"/>
        <v>25</v>
      </c>
      <c r="S122">
        <f t="shared" ca="1" si="33"/>
        <v>217</v>
      </c>
      <c r="T122">
        <f t="shared" ca="1" si="34"/>
        <v>1999</v>
      </c>
      <c r="U122">
        <f t="shared" ca="1" si="35"/>
        <v>2009</v>
      </c>
      <c r="V122">
        <f t="shared" ca="1" si="36"/>
        <v>2</v>
      </c>
      <c r="W122">
        <f t="shared" ca="1" si="37"/>
        <v>9</v>
      </c>
    </row>
    <row r="123" spans="1:23">
      <c r="A123" t="s">
        <v>851</v>
      </c>
      <c r="B123" t="str">
        <f t="shared" ca="1" si="19"/>
        <v>謝貴昂</v>
      </c>
      <c r="C123" t="str">
        <f t="shared" ca="1" si="20"/>
        <v>ｼｴ ｸﾞｲ ｱｰﾝ</v>
      </c>
      <c r="D123" t="str">
        <f t="shared" ca="1" si="21"/>
        <v>Xie Gui Ang</v>
      </c>
      <c r="E123" t="str" cm="1">
        <f t="array" aca="1" ref="E123" ca="1">INDIRECT(ADDRESS(RANDBETWEEN(2,16),7,1,1,"valueBase"))</f>
        <v>-</v>
      </c>
      <c r="F123" s="5">
        <f t="shared" ca="1" si="22"/>
        <v>32332</v>
      </c>
      <c r="G123" s="5">
        <f t="shared" ca="1" si="23"/>
        <v>44047</v>
      </c>
      <c r="H123" s="5">
        <f t="shared" ca="1" si="24"/>
        <v>44412</v>
      </c>
      <c r="I123" t="str">
        <f t="shared" ca="1" si="25"/>
        <v>090-3180-5407</v>
      </c>
      <c r="J123" t="str">
        <f t="shared" ca="1" si="26"/>
        <v>Xie_Gui_Ang_44047@outlook.jp.co</v>
      </c>
      <c r="K123" t="str">
        <f t="shared" ca="1" si="27"/>
        <v>普通</v>
      </c>
      <c r="L123" t="str">
        <f t="shared" ca="1" si="28"/>
        <v>有り</v>
      </c>
      <c r="M123" t="str">
        <f t="shared" ca="1" si="29"/>
        <v>5%</v>
      </c>
      <c r="N123" t="str">
        <f t="shared" ca="1" si="30"/>
        <v>有り</v>
      </c>
      <c r="O123">
        <f t="shared" ca="1" si="31"/>
        <v>415</v>
      </c>
      <c r="R123">
        <f t="shared" ca="1" si="32"/>
        <v>25</v>
      </c>
      <c r="S123">
        <f t="shared" ca="1" si="33"/>
        <v>41</v>
      </c>
      <c r="T123">
        <f t="shared" ca="1" si="34"/>
        <v>1978</v>
      </c>
      <c r="U123">
        <f t="shared" ca="1" si="35"/>
        <v>1980</v>
      </c>
      <c r="V123">
        <f t="shared" ca="1" si="36"/>
        <v>10</v>
      </c>
      <c r="W123">
        <f t="shared" ca="1" si="37"/>
        <v>16</v>
      </c>
    </row>
    <row r="124" spans="1:23">
      <c r="A124" t="s">
        <v>852</v>
      </c>
      <c r="B124" t="str">
        <f t="shared" ca="1" si="19"/>
        <v>于台亭</v>
      </c>
      <c r="C124" t="str">
        <f t="shared" ca="1" si="20"/>
        <v>ﾕｲ ﾀｲ ﾃｨｰﾝ</v>
      </c>
      <c r="D124" t="str">
        <f t="shared" ca="1" si="21"/>
        <v>Yu Tai Ting</v>
      </c>
      <c r="E124" t="str" cm="1">
        <f t="array" aca="1" ref="E124" ca="1">INDIRECT(ADDRESS(RANDBETWEEN(2,16),7,1,1,"valueBase"))</f>
        <v>女性</v>
      </c>
      <c r="F124" s="5">
        <f t="shared" ca="1" si="22"/>
        <v>23501</v>
      </c>
      <c r="G124" s="5">
        <f t="shared" ca="1" si="23"/>
        <v>41214</v>
      </c>
      <c r="H124" s="5">
        <f t="shared" ca="1" si="24"/>
        <v>42309</v>
      </c>
      <c r="I124" t="str">
        <f t="shared" ca="1" si="25"/>
        <v>090-4810-4832</v>
      </c>
      <c r="J124" t="str">
        <f t="shared" ca="1" si="26"/>
        <v>Yu_Tai_Ting_41214@outlook.jp.co</v>
      </c>
      <c r="K124" t="str">
        <f t="shared" ca="1" si="27"/>
        <v>普通</v>
      </c>
      <c r="L124" t="str">
        <f t="shared" ca="1" si="28"/>
        <v>有り</v>
      </c>
      <c r="M124" t="str">
        <f t="shared" ca="1" si="29"/>
        <v>5%</v>
      </c>
      <c r="N124" t="str">
        <f t="shared" ca="1" si="30"/>
        <v>有り</v>
      </c>
      <c r="O124">
        <f t="shared" ca="1" si="31"/>
        <v>342</v>
      </c>
      <c r="R124">
        <f t="shared" ca="1" si="32"/>
        <v>29</v>
      </c>
      <c r="S124">
        <f t="shared" ca="1" si="33"/>
        <v>283</v>
      </c>
      <c r="T124">
        <f t="shared" ca="1" si="34"/>
        <v>1986</v>
      </c>
      <c r="U124">
        <f t="shared" ca="1" si="35"/>
        <v>1998</v>
      </c>
      <c r="V124">
        <f t="shared" ca="1" si="36"/>
        <v>6</v>
      </c>
      <c r="W124">
        <f t="shared" ca="1" si="37"/>
        <v>2</v>
      </c>
    </row>
    <row r="125" spans="1:23">
      <c r="A125" t="s">
        <v>853</v>
      </c>
      <c r="B125" t="str">
        <f t="shared" ca="1" si="19"/>
        <v>黃靜慶</v>
      </c>
      <c r="C125" t="str">
        <f t="shared" ca="1" si="20"/>
        <v>ﾎﾜｰﾝ ｼﾞｰﾝ ﾁｰﾝ</v>
      </c>
      <c r="D125" t="str">
        <f t="shared" ca="1" si="21"/>
        <v>Huang Jing Qing</v>
      </c>
      <c r="E125" t="str" cm="1">
        <f t="array" aca="1" ref="E125" ca="1">INDIRECT(ADDRESS(RANDBETWEEN(2,16),7,1,1,"valueBase"))</f>
        <v>男性</v>
      </c>
      <c r="F125" s="5">
        <f t="shared" ca="1" si="22"/>
        <v>31587</v>
      </c>
      <c r="G125" s="5">
        <f t="shared" ca="1" si="23"/>
        <v>41649</v>
      </c>
      <c r="H125" s="5">
        <f t="shared" ca="1" si="24"/>
        <v>42379</v>
      </c>
      <c r="I125" t="str">
        <f t="shared" ca="1" si="25"/>
        <v>080-4085-4064</v>
      </c>
      <c r="J125" t="str">
        <f t="shared" ca="1" si="26"/>
        <v>Huang_Jing_Qing_41649@outlook.jp.co</v>
      </c>
      <c r="K125" t="str">
        <f t="shared" ca="1" si="27"/>
        <v>普通</v>
      </c>
      <c r="L125" t="str">
        <f t="shared" ca="1" si="28"/>
        <v>-</v>
      </c>
      <c r="M125" t="str">
        <f t="shared" ca="1" si="29"/>
        <v>-</v>
      </c>
      <c r="N125" t="str">
        <f t="shared" ca="1" si="30"/>
        <v>有り</v>
      </c>
      <c r="O125">
        <f t="shared" ca="1" si="31"/>
        <v>67</v>
      </c>
      <c r="R125">
        <f t="shared" ca="1" si="32"/>
        <v>9</v>
      </c>
      <c r="S125">
        <f t="shared" ca="1" si="33"/>
        <v>300</v>
      </c>
      <c r="T125">
        <f t="shared" ca="1" si="34"/>
        <v>1976</v>
      </c>
      <c r="U125">
        <f t="shared" ca="1" si="35"/>
        <v>1984</v>
      </c>
      <c r="V125">
        <f t="shared" ca="1" si="36"/>
        <v>6</v>
      </c>
      <c r="W125">
        <f t="shared" ca="1" si="37"/>
        <v>7</v>
      </c>
    </row>
    <row r="126" spans="1:23">
      <c r="A126" t="s">
        <v>854</v>
      </c>
      <c r="B126" t="str">
        <f t="shared" ca="1" si="19"/>
        <v>胡都耿</v>
      </c>
      <c r="C126" t="str">
        <f t="shared" ca="1" si="20"/>
        <v>ﾎｩ ﾄﾞｳ ｸﾞｵﾝ</v>
      </c>
      <c r="D126" t="str">
        <f t="shared" ca="1" si="21"/>
        <v>Hu Dou Geng</v>
      </c>
      <c r="E126" t="str" cm="1">
        <f t="array" aca="1" ref="E126" ca="1">INDIRECT(ADDRESS(RANDBETWEEN(2,16),7,1,1,"valueBase"))</f>
        <v>女性</v>
      </c>
      <c r="F126" s="5">
        <f t="shared" ca="1" si="22"/>
        <v>36968</v>
      </c>
      <c r="G126" s="5">
        <f t="shared" ca="1" si="23"/>
        <v>43977</v>
      </c>
      <c r="H126" s="5">
        <f t="shared" ca="1" si="24"/>
        <v>44342</v>
      </c>
      <c r="I126" t="str">
        <f t="shared" ca="1" si="25"/>
        <v>080-7162-5448</v>
      </c>
      <c r="J126" t="str">
        <f t="shared" ca="1" si="26"/>
        <v>Hu_Dou Geng_43977@outlook.jp.co</v>
      </c>
      <c r="K126" t="str">
        <f t="shared" ca="1" si="27"/>
        <v>高級</v>
      </c>
      <c r="L126" t="str">
        <f t="shared" ca="1" si="28"/>
        <v>有り</v>
      </c>
      <c r="M126" t="str">
        <f t="shared" ca="1" si="29"/>
        <v>10%</v>
      </c>
      <c r="N126" t="str">
        <f t="shared" ca="1" si="30"/>
        <v>-</v>
      </c>
      <c r="O126" t="str">
        <f t="shared" ca="1" si="31"/>
        <v>-</v>
      </c>
      <c r="R126">
        <f t="shared" ca="1" si="32"/>
        <v>14</v>
      </c>
      <c r="S126">
        <f t="shared" ca="1" si="33"/>
        <v>82</v>
      </c>
      <c r="T126">
        <f t="shared" ca="1" si="34"/>
        <v>1977</v>
      </c>
      <c r="U126">
        <f t="shared" ca="1" si="35"/>
        <v>1986</v>
      </c>
      <c r="V126">
        <f t="shared" ca="1" si="36"/>
        <v>7</v>
      </c>
      <c r="W126">
        <f t="shared" ca="1" si="37"/>
        <v>26</v>
      </c>
    </row>
    <row r="127" spans="1:23">
      <c r="A127" t="s">
        <v>855</v>
      </c>
      <c r="B127" t="str">
        <f t="shared" ca="1" si="19"/>
        <v>吳媛雲</v>
      </c>
      <c r="C127" t="str">
        <f t="shared" ca="1" si="20"/>
        <v>ｳｰ ﾕｴﾝ ﾕｲﾝ</v>
      </c>
      <c r="D127" t="str">
        <f t="shared" ca="1" si="21"/>
        <v>Wu Yuan Yun</v>
      </c>
      <c r="E127" t="str" cm="1">
        <f t="array" aca="1" ref="E127" ca="1">INDIRECT(ADDRESS(RANDBETWEEN(2,16),7,1,1,"valueBase"))</f>
        <v>男性</v>
      </c>
      <c r="F127" s="5">
        <f t="shared" ca="1" si="22"/>
        <v>35214</v>
      </c>
      <c r="G127" s="5">
        <f t="shared" ca="1" si="23"/>
        <v>43925</v>
      </c>
      <c r="H127" s="5">
        <f t="shared" ca="1" si="24"/>
        <v>44655</v>
      </c>
      <c r="I127" t="str">
        <f t="shared" ca="1" si="25"/>
        <v>090-8623-0538</v>
      </c>
      <c r="J127" t="str">
        <f t="shared" ca="1" si="26"/>
        <v>Wu_Yuan_Yun_43925@outlook.jp.co</v>
      </c>
      <c r="K127" t="str">
        <f t="shared" ca="1" si="27"/>
        <v>高級</v>
      </c>
      <c r="L127" t="str">
        <f t="shared" ca="1" si="28"/>
        <v>有り</v>
      </c>
      <c r="M127" t="str">
        <f t="shared" ca="1" si="29"/>
        <v>10%</v>
      </c>
      <c r="N127" t="str">
        <f t="shared" ca="1" si="30"/>
        <v>有り</v>
      </c>
      <c r="O127">
        <f t="shared" ca="1" si="31"/>
        <v>19</v>
      </c>
      <c r="R127">
        <f t="shared" ca="1" si="32"/>
        <v>11</v>
      </c>
      <c r="S127">
        <f t="shared" ca="1" si="33"/>
        <v>205</v>
      </c>
      <c r="T127">
        <f t="shared" ca="1" si="34"/>
        <v>2001</v>
      </c>
      <c r="U127">
        <f t="shared" ca="1" si="35"/>
        <v>2005</v>
      </c>
      <c r="V127">
        <f t="shared" ca="1" si="36"/>
        <v>12</v>
      </c>
      <c r="W127">
        <f t="shared" ca="1" si="37"/>
        <v>23</v>
      </c>
    </row>
    <row r="128" spans="1:23">
      <c r="A128" t="s">
        <v>856</v>
      </c>
      <c r="B128" t="str">
        <f t="shared" ca="1" si="19"/>
        <v>楊菏本</v>
      </c>
      <c r="C128" t="str">
        <f t="shared" ca="1" si="20"/>
        <v>ﾔｰﾝ ﾎｰｧ ﾍﾞﾝ</v>
      </c>
      <c r="D128" t="str">
        <f t="shared" ca="1" si="21"/>
        <v>Yang He Ben</v>
      </c>
      <c r="E128" t="str" cm="1">
        <f t="array" aca="1" ref="E128" ca="1">INDIRECT(ADDRESS(RANDBETWEEN(2,16),7,1,1,"valueBase"))</f>
        <v>-</v>
      </c>
      <c r="F128" s="5">
        <f t="shared" ca="1" si="22"/>
        <v>30255</v>
      </c>
      <c r="G128" s="5">
        <f t="shared" ca="1" si="23"/>
        <v>38092</v>
      </c>
      <c r="H128" s="5">
        <f t="shared" ca="1" si="24"/>
        <v>39187</v>
      </c>
      <c r="I128" t="str">
        <f t="shared" ca="1" si="25"/>
        <v>090-5642-0334</v>
      </c>
      <c r="J128" t="str">
        <f t="shared" ca="1" si="26"/>
        <v>Yang_He_Ben_38092@outlook.jp.co</v>
      </c>
      <c r="K128" t="str">
        <f t="shared" ca="1" si="27"/>
        <v>普通</v>
      </c>
      <c r="L128" t="str">
        <f t="shared" ca="1" si="28"/>
        <v>有り</v>
      </c>
      <c r="M128" t="str">
        <f t="shared" ca="1" si="29"/>
        <v>5%</v>
      </c>
      <c r="N128" t="str">
        <f t="shared" ca="1" si="30"/>
        <v>有り</v>
      </c>
      <c r="O128">
        <f t="shared" ca="1" si="31"/>
        <v>457</v>
      </c>
      <c r="R128">
        <f t="shared" ca="1" si="32"/>
        <v>7</v>
      </c>
      <c r="S128">
        <f t="shared" ca="1" si="33"/>
        <v>240</v>
      </c>
      <c r="T128">
        <f t="shared" ca="1" si="34"/>
        <v>1992</v>
      </c>
      <c r="U128">
        <f t="shared" ca="1" si="35"/>
        <v>1994</v>
      </c>
      <c r="V128">
        <f t="shared" ca="1" si="36"/>
        <v>8</v>
      </c>
      <c r="W128">
        <f t="shared" ca="1" si="37"/>
        <v>11</v>
      </c>
    </row>
    <row r="129" spans="1:23">
      <c r="A129" t="s">
        <v>857</v>
      </c>
      <c r="B129" t="str">
        <f t="shared" ca="1" si="19"/>
        <v>馬慶睿</v>
      </c>
      <c r="C129" t="str">
        <f t="shared" ca="1" si="20"/>
        <v>ﾏｰ ﾁｰﾝ ｩﾙｲ</v>
      </c>
      <c r="D129" t="str">
        <f t="shared" ca="1" si="21"/>
        <v>Ma Qing Rui</v>
      </c>
      <c r="E129" t="str" cm="1">
        <f t="array" aca="1" ref="E129" ca="1">INDIRECT(ADDRESS(RANDBETWEEN(2,16),7,1,1,"valueBase"))</f>
        <v>女性</v>
      </c>
      <c r="F129" s="5">
        <f t="shared" ca="1" si="22"/>
        <v>22471</v>
      </c>
      <c r="G129" s="5">
        <f t="shared" ca="1" si="23"/>
        <v>41966</v>
      </c>
      <c r="H129" s="5">
        <f t="shared" ca="1" si="24"/>
        <v>42696</v>
      </c>
      <c r="I129" t="str">
        <f t="shared" ca="1" si="25"/>
        <v>080-5463-2162</v>
      </c>
      <c r="J129" t="str">
        <f t="shared" ca="1" si="26"/>
        <v>Ma_Qing_Rui_41966@outlook.jp.co</v>
      </c>
      <c r="K129" t="str">
        <f t="shared" ca="1" si="27"/>
        <v>普通</v>
      </c>
      <c r="L129" t="str">
        <f t="shared" ca="1" si="28"/>
        <v>有り</v>
      </c>
      <c r="M129" t="str">
        <f t="shared" ca="1" si="29"/>
        <v>5%</v>
      </c>
      <c r="N129" t="str">
        <f t="shared" ca="1" si="30"/>
        <v>有り</v>
      </c>
      <c r="O129">
        <f t="shared" ca="1" si="31"/>
        <v>530</v>
      </c>
      <c r="R129">
        <f t="shared" ca="1" si="32"/>
        <v>20</v>
      </c>
      <c r="S129">
        <f t="shared" ca="1" si="33"/>
        <v>221</v>
      </c>
      <c r="T129">
        <f t="shared" ca="1" si="34"/>
        <v>1974</v>
      </c>
      <c r="U129">
        <f t="shared" ca="1" si="35"/>
        <v>1982</v>
      </c>
      <c r="V129">
        <f t="shared" ca="1" si="36"/>
        <v>6</v>
      </c>
      <c r="W129">
        <f t="shared" ca="1" si="37"/>
        <v>29</v>
      </c>
    </row>
    <row r="130" spans="1:23">
      <c r="A130" t="s">
        <v>858</v>
      </c>
      <c r="B130" t="str">
        <f t="shared" ca="1" si="19"/>
        <v>王浦盟</v>
      </c>
      <c r="C130" t="str">
        <f t="shared" ca="1" si="20"/>
        <v>ﾜｰﾝ ﾌﾟｩ ﾑｵﾝ</v>
      </c>
      <c r="D130" t="str">
        <f t="shared" ca="1" si="21"/>
        <v>Wang Pu Meng</v>
      </c>
      <c r="E130" t="str" cm="1">
        <f t="array" aca="1" ref="E130" ca="1">INDIRECT(ADDRESS(RANDBETWEEN(2,16),7,1,1,"valueBase"))</f>
        <v>女性</v>
      </c>
      <c r="F130" s="5">
        <f t="shared" ca="1" si="22"/>
        <v>35477</v>
      </c>
      <c r="G130" s="5">
        <f t="shared" ca="1" si="23"/>
        <v>44397</v>
      </c>
      <c r="H130" s="5">
        <f t="shared" ca="1" si="24"/>
        <v>44762</v>
      </c>
      <c r="I130" t="str">
        <f t="shared" ca="1" si="25"/>
        <v>090-8219-3531</v>
      </c>
      <c r="J130" t="str">
        <f t="shared" ca="1" si="26"/>
        <v>Wang_Pu_Meng_44397@outlook.jp.co</v>
      </c>
      <c r="K130" t="str">
        <f t="shared" ca="1" si="27"/>
        <v>普通</v>
      </c>
      <c r="L130" t="str">
        <f t="shared" ca="1" si="28"/>
        <v>-</v>
      </c>
      <c r="M130" t="str">
        <f t="shared" ca="1" si="29"/>
        <v>-</v>
      </c>
      <c r="N130" t="str">
        <f t="shared" ca="1" si="30"/>
        <v>有り</v>
      </c>
      <c r="O130">
        <f t="shared" ca="1" si="31"/>
        <v>125</v>
      </c>
      <c r="R130">
        <f t="shared" ca="1" si="32"/>
        <v>3</v>
      </c>
      <c r="S130">
        <f t="shared" ca="1" si="33"/>
        <v>46</v>
      </c>
      <c r="T130">
        <f t="shared" ca="1" si="34"/>
        <v>2008</v>
      </c>
      <c r="U130">
        <f t="shared" ca="1" si="35"/>
        <v>2016</v>
      </c>
      <c r="V130">
        <f t="shared" ca="1" si="36"/>
        <v>10</v>
      </c>
      <c r="W130">
        <f t="shared" ca="1" si="37"/>
        <v>9</v>
      </c>
    </row>
    <row r="131" spans="1:23">
      <c r="A131" t="s">
        <v>859</v>
      </c>
      <c r="B131" t="str">
        <f t="shared" ref="B131:B194" ca="1" si="38">_xlfn.CONCAT(INDIRECT(ADDRESS(R131,1,1,1,"valueBase")),INDIRECT(ADDRESS(S131,4,1,1,"valueBase")))</f>
        <v>吳謙垚</v>
      </c>
      <c r="C131" t="str">
        <f t="shared" ref="C131:C194" ca="1" si="39">_xlfn.CONCAT(INDIRECT(ADDRESS(R131,2,1,1,"valueBase")),INDIRECT(ADDRESS(S131,5,1,1,"valueBase")))</f>
        <v>ｳｰ ﾁｴﾝ ﾔｵ</v>
      </c>
      <c r="D131" t="str">
        <f t="shared" ref="D131:D194" ca="1" si="40">_xlfn.CONCAT(INDIRECT(ADDRESS(R131,3,1,1,"valueBase")),INDIRECT(ADDRESS(S131,6,1,1,"valueBase")))</f>
        <v>Wu Qian Yao</v>
      </c>
      <c r="E131" t="str" cm="1">
        <f t="array" aca="1" ref="E131" ca="1">INDIRECT(ADDRESS(RANDBETWEEN(2,16),7,1,1,"valueBase"))</f>
        <v>女性</v>
      </c>
      <c r="F131" s="5">
        <f t="shared" ref="F131:F194" ca="1" si="41">RANDBETWEEN(21916,NOW() - 6574)</f>
        <v>23539</v>
      </c>
      <c r="G131" s="5">
        <f t="shared" ref="G131:G194" ca="1" si="42">RANDBETWEEN(F131 + 6574,NOW())</f>
        <v>38348</v>
      </c>
      <c r="H131" s="5">
        <f t="shared" ref="H131:H194" ca="1" si="43">G131 + RANDBETWEEN(1,3) * 365</f>
        <v>39078</v>
      </c>
      <c r="I131" t="str">
        <f t="shared" ref="I131:I194" ca="1" si="44">CONCATENATE("0",RANDBETWEEN(8,9),"0","-",RANDBETWEEN(0,9),RANDBETWEEN(0,9),RANDBETWEEN(0,9),RANDBETWEEN(0,9),"-",RANDBETWEEN(0,9),RANDBETWEEN(0,9),RANDBETWEEN(0,9),RANDBETWEEN(0,9))</f>
        <v>080-0155-5190</v>
      </c>
      <c r="J131" t="str">
        <f t="shared" ref="J131:J194" ca="1" si="45">CONCATENATE(SUBSTITUTE(D131," ","_"),"_",SUBSTITUTE(G131,"/","_"),"@outlook.jp.co")</f>
        <v>Wu_Qian_Yao_38348@outlook.jp.co</v>
      </c>
      <c r="K131" t="str">
        <f t="shared" ref="K131:K194" ca="1" si="46">IF(RANDBETWEEN(1,10) &gt; 6,"高級","普通")</f>
        <v>普通</v>
      </c>
      <c r="L131" t="str">
        <f t="shared" ref="L131:L194" ca="1" si="47">IF(RANDBETWEEN(1,10) &gt; 8,"-","有り")</f>
        <v>有り</v>
      </c>
      <c r="M131" t="str">
        <f t="shared" ref="M131:M194" ca="1" si="48">IF(L131 = "有り",IF(K131 = "高級","10%","5%"),"-")</f>
        <v>5%</v>
      </c>
      <c r="N131" t="str">
        <f t="shared" ref="N131:N194" ca="1" si="49">IF(RANDBETWEEN(1,10) &gt; 8,"-","有り")</f>
        <v>有り</v>
      </c>
      <c r="O131">
        <f t="shared" ref="O131:O194" ca="1" si="50">IF(N131 = "有り",RANDBETWEEN(0,1000),"-")</f>
        <v>899</v>
      </c>
      <c r="R131">
        <f t="shared" ref="R131:R194" ca="1" si="51">RANDBETWEEN(2,29)</f>
        <v>11</v>
      </c>
      <c r="S131">
        <f t="shared" ref="S131:S194" ca="1" si="52">RANDBETWEEN(2,331)</f>
        <v>109</v>
      </c>
      <c r="T131">
        <f t="shared" ref="T131:T194" ca="1" si="53">RANDBETWEEN(1970,2010)</f>
        <v>1997</v>
      </c>
      <c r="U131">
        <f t="shared" ref="U131:U194" ca="1" si="54">T131 + RANDBETWEEN(1,12)</f>
        <v>2000</v>
      </c>
      <c r="V131">
        <f t="shared" ref="V131:V194" ca="1" si="55">RANDBETWEEN(1,12)</f>
        <v>4</v>
      </c>
      <c r="W131">
        <f t="shared" ref="W131:W194" ca="1" si="56">IF(V131=2,RANDBETWEEN(1,28),IF(V131=4,RANDBETWEEN(1,30),IF(V131=6,RANDBETWEEN(1,30),IF(V131=9,RANDBETWEEN(1,30),IF(V131=11,RANDBETWEEN(1,30),RANDBETWEEN(1,31))))))</f>
        <v>14</v>
      </c>
    </row>
    <row r="132" spans="1:23">
      <c r="A132" t="s">
        <v>860</v>
      </c>
      <c r="B132" t="str">
        <f t="shared" ca="1" si="38"/>
        <v>周朴雷</v>
      </c>
      <c r="C132" t="str">
        <f t="shared" ca="1" si="39"/>
        <v>ｼﾞｮｳ ﾌﾟｩ ﾚｲ</v>
      </c>
      <c r="D132" t="str">
        <f t="shared" ca="1" si="40"/>
        <v>Zhou Pu Lei</v>
      </c>
      <c r="E132" t="str" cm="1">
        <f t="array" aca="1" ref="E132" ca="1">INDIRECT(ADDRESS(RANDBETWEEN(2,16),7,1,1,"valueBase"))</f>
        <v>女性</v>
      </c>
      <c r="F132" s="5">
        <f t="shared" ca="1" si="41"/>
        <v>37609</v>
      </c>
      <c r="G132" s="5">
        <f t="shared" ca="1" si="42"/>
        <v>44297</v>
      </c>
      <c r="H132" s="5">
        <f t="shared" ca="1" si="43"/>
        <v>44662</v>
      </c>
      <c r="I132" t="str">
        <f t="shared" ca="1" si="44"/>
        <v>080-9138-1599</v>
      </c>
      <c r="J132" t="str">
        <f t="shared" ca="1" si="45"/>
        <v>Zhou_Pu Lei_44297@outlook.jp.co</v>
      </c>
      <c r="K132" t="str">
        <f t="shared" ca="1" si="46"/>
        <v>普通</v>
      </c>
      <c r="L132" t="str">
        <f t="shared" ca="1" si="47"/>
        <v>有り</v>
      </c>
      <c r="M132" t="str">
        <f t="shared" ca="1" si="48"/>
        <v>5%</v>
      </c>
      <c r="N132" t="str">
        <f t="shared" ca="1" si="49"/>
        <v>有り</v>
      </c>
      <c r="O132">
        <f t="shared" ca="1" si="50"/>
        <v>798</v>
      </c>
      <c r="R132">
        <f t="shared" ca="1" si="51"/>
        <v>10</v>
      </c>
      <c r="S132">
        <f t="shared" ca="1" si="52"/>
        <v>286</v>
      </c>
      <c r="T132">
        <f t="shared" ca="1" si="53"/>
        <v>1978</v>
      </c>
      <c r="U132">
        <f t="shared" ca="1" si="54"/>
        <v>1980</v>
      </c>
      <c r="V132">
        <f t="shared" ca="1" si="55"/>
        <v>10</v>
      </c>
      <c r="W132">
        <f t="shared" ca="1" si="56"/>
        <v>3</v>
      </c>
    </row>
    <row r="133" spans="1:23">
      <c r="A133" t="s">
        <v>861</v>
      </c>
      <c r="B133" t="str">
        <f t="shared" ca="1" si="38"/>
        <v>朱亞芬</v>
      </c>
      <c r="C133" t="str">
        <f t="shared" ca="1" si="39"/>
        <v>ｼﾞｭｳ ﾔｰ ﾌｪﾝ</v>
      </c>
      <c r="D133" t="str">
        <f t="shared" ca="1" si="40"/>
        <v>Zhu Ya Fen</v>
      </c>
      <c r="E133" t="str" cm="1">
        <f t="array" aca="1" ref="E133" ca="1">INDIRECT(ADDRESS(RANDBETWEEN(2,16),7,1,1,"valueBase"))</f>
        <v>-</v>
      </c>
      <c r="F133" s="5">
        <f t="shared" ca="1" si="41"/>
        <v>30798</v>
      </c>
      <c r="G133" s="5">
        <f t="shared" ca="1" si="42"/>
        <v>42245</v>
      </c>
      <c r="H133" s="5">
        <f t="shared" ca="1" si="43"/>
        <v>42975</v>
      </c>
      <c r="I133" t="str">
        <f t="shared" ca="1" si="44"/>
        <v>090-2688-1550</v>
      </c>
      <c r="J133" t="str">
        <f t="shared" ca="1" si="45"/>
        <v>Zhu_Ya_Fen_42245@outlook.jp.co</v>
      </c>
      <c r="K133" t="str">
        <f t="shared" ca="1" si="46"/>
        <v>普通</v>
      </c>
      <c r="L133" t="str">
        <f t="shared" ca="1" si="47"/>
        <v>有り</v>
      </c>
      <c r="M133" t="str">
        <f t="shared" ca="1" si="48"/>
        <v>5%</v>
      </c>
      <c r="N133" t="str">
        <f t="shared" ca="1" si="49"/>
        <v>有り</v>
      </c>
      <c r="O133">
        <f t="shared" ca="1" si="50"/>
        <v>166</v>
      </c>
      <c r="R133">
        <f t="shared" ca="1" si="51"/>
        <v>15</v>
      </c>
      <c r="S133">
        <f t="shared" ca="1" si="52"/>
        <v>110</v>
      </c>
      <c r="T133">
        <f t="shared" ca="1" si="53"/>
        <v>2004</v>
      </c>
      <c r="U133">
        <f t="shared" ca="1" si="54"/>
        <v>2006</v>
      </c>
      <c r="V133">
        <f t="shared" ca="1" si="55"/>
        <v>10</v>
      </c>
      <c r="W133">
        <f t="shared" ca="1" si="56"/>
        <v>26</v>
      </c>
    </row>
    <row r="134" spans="1:23">
      <c r="A134" t="s">
        <v>862</v>
      </c>
      <c r="B134" t="str">
        <f t="shared" ca="1" si="38"/>
        <v>鄭盈年</v>
      </c>
      <c r="C134" t="str">
        <f t="shared" ca="1" si="39"/>
        <v>ｼﾞｭﾖﾝ ｲｰﾝ ﾆｴﾝ</v>
      </c>
      <c r="D134" t="str">
        <f t="shared" ca="1" si="40"/>
        <v>Zheng Ying Nian</v>
      </c>
      <c r="E134" t="str" cm="1">
        <f t="array" aca="1" ref="E134" ca="1">INDIRECT(ADDRESS(RANDBETWEEN(2,16),7,1,1,"valueBase"))</f>
        <v>女性</v>
      </c>
      <c r="F134" s="5">
        <f t="shared" ca="1" si="41"/>
        <v>22268</v>
      </c>
      <c r="G134" s="5">
        <f t="shared" ca="1" si="42"/>
        <v>44131</v>
      </c>
      <c r="H134" s="5">
        <f t="shared" ca="1" si="43"/>
        <v>44861</v>
      </c>
      <c r="I134" t="str">
        <f t="shared" ca="1" si="44"/>
        <v>090-0042-6846</v>
      </c>
      <c r="J134" t="str">
        <f t="shared" ca="1" si="45"/>
        <v>Zheng_Ying_Nian_44131@outlook.jp.co</v>
      </c>
      <c r="K134" t="str">
        <f t="shared" ca="1" si="46"/>
        <v>普通</v>
      </c>
      <c r="L134" t="str">
        <f t="shared" ca="1" si="47"/>
        <v>-</v>
      </c>
      <c r="M134" t="str">
        <f t="shared" ca="1" si="48"/>
        <v>-</v>
      </c>
      <c r="N134" t="str">
        <f t="shared" ca="1" si="49"/>
        <v>有り</v>
      </c>
      <c r="O134">
        <f t="shared" ca="1" si="50"/>
        <v>694</v>
      </c>
      <c r="R134">
        <f t="shared" ca="1" si="51"/>
        <v>24</v>
      </c>
      <c r="S134">
        <f t="shared" ca="1" si="52"/>
        <v>309</v>
      </c>
      <c r="T134">
        <f t="shared" ca="1" si="53"/>
        <v>1974</v>
      </c>
      <c r="U134">
        <f t="shared" ca="1" si="54"/>
        <v>1976</v>
      </c>
      <c r="V134">
        <f t="shared" ca="1" si="55"/>
        <v>3</v>
      </c>
      <c r="W134">
        <f t="shared" ca="1" si="56"/>
        <v>10</v>
      </c>
    </row>
    <row r="135" spans="1:23">
      <c r="A135" t="s">
        <v>863</v>
      </c>
      <c r="B135" t="str">
        <f t="shared" ca="1" si="38"/>
        <v>王依思</v>
      </c>
      <c r="C135" t="str">
        <f t="shared" ca="1" si="39"/>
        <v>ﾜｰﾝ ｲｰ ｽｰ</v>
      </c>
      <c r="D135" t="str">
        <f t="shared" ca="1" si="40"/>
        <v>Wang Yi Si</v>
      </c>
      <c r="E135" t="str" cm="1">
        <f t="array" aca="1" ref="E135" ca="1">INDIRECT(ADDRESS(RANDBETWEEN(2,16),7,1,1,"valueBase"))</f>
        <v>女性</v>
      </c>
      <c r="F135" s="5">
        <f t="shared" ca="1" si="41"/>
        <v>35615</v>
      </c>
      <c r="G135" s="5">
        <f t="shared" ca="1" si="42"/>
        <v>45150</v>
      </c>
      <c r="H135" s="5">
        <f t="shared" ca="1" si="43"/>
        <v>45515</v>
      </c>
      <c r="I135" t="str">
        <f t="shared" ca="1" si="44"/>
        <v>090-0324-0599</v>
      </c>
      <c r="J135" t="str">
        <f t="shared" ca="1" si="45"/>
        <v>Wang_Yi_Si_45150@outlook.jp.co</v>
      </c>
      <c r="K135" t="str">
        <f t="shared" ca="1" si="46"/>
        <v>普通</v>
      </c>
      <c r="L135" t="str">
        <f t="shared" ca="1" si="47"/>
        <v>有り</v>
      </c>
      <c r="M135" t="str">
        <f t="shared" ca="1" si="48"/>
        <v>5%</v>
      </c>
      <c r="N135" t="str">
        <f t="shared" ca="1" si="49"/>
        <v>有り</v>
      </c>
      <c r="O135">
        <f t="shared" ca="1" si="50"/>
        <v>414</v>
      </c>
      <c r="R135">
        <f t="shared" ca="1" si="51"/>
        <v>3</v>
      </c>
      <c r="S135">
        <f t="shared" ca="1" si="52"/>
        <v>285</v>
      </c>
      <c r="T135">
        <f t="shared" ca="1" si="53"/>
        <v>1984</v>
      </c>
      <c r="U135">
        <f t="shared" ca="1" si="54"/>
        <v>1985</v>
      </c>
      <c r="V135">
        <f t="shared" ca="1" si="55"/>
        <v>2</v>
      </c>
      <c r="W135">
        <f t="shared" ca="1" si="56"/>
        <v>5</v>
      </c>
    </row>
    <row r="136" spans="1:23">
      <c r="A136" t="s">
        <v>864</v>
      </c>
      <c r="B136" t="str">
        <f t="shared" ca="1" si="38"/>
        <v>謝勤財</v>
      </c>
      <c r="C136" t="str">
        <f t="shared" ca="1" si="39"/>
        <v>ｼｴ ﾁﾝ ﾂｧｲ</v>
      </c>
      <c r="D136" t="str">
        <f t="shared" ca="1" si="40"/>
        <v>Xie Qin Cai</v>
      </c>
      <c r="E136" t="str" cm="1">
        <f t="array" aca="1" ref="E136" ca="1">INDIRECT(ADDRESS(RANDBETWEEN(2,16),7,1,1,"valueBase"))</f>
        <v>男性</v>
      </c>
      <c r="F136" s="5">
        <f t="shared" ca="1" si="41"/>
        <v>30040</v>
      </c>
      <c r="G136" s="5">
        <f t="shared" ca="1" si="42"/>
        <v>42474</v>
      </c>
      <c r="H136" s="5">
        <f t="shared" ca="1" si="43"/>
        <v>42839</v>
      </c>
      <c r="I136" t="str">
        <f t="shared" ca="1" si="44"/>
        <v>080-3321-1833</v>
      </c>
      <c r="J136" t="str">
        <f t="shared" ca="1" si="45"/>
        <v>Xie_Qin_Cai_42474@outlook.jp.co</v>
      </c>
      <c r="K136" t="str">
        <f t="shared" ca="1" si="46"/>
        <v>普通</v>
      </c>
      <c r="L136" t="str">
        <f t="shared" ca="1" si="47"/>
        <v>有り</v>
      </c>
      <c r="M136" t="str">
        <f t="shared" ca="1" si="48"/>
        <v>5%</v>
      </c>
      <c r="N136" t="str">
        <f t="shared" ca="1" si="49"/>
        <v>有り</v>
      </c>
      <c r="O136">
        <f t="shared" ca="1" si="50"/>
        <v>306</v>
      </c>
      <c r="R136">
        <f t="shared" ca="1" si="51"/>
        <v>25</v>
      </c>
      <c r="S136">
        <f t="shared" ca="1" si="52"/>
        <v>184</v>
      </c>
      <c r="T136">
        <f t="shared" ca="1" si="53"/>
        <v>1987</v>
      </c>
      <c r="U136">
        <f t="shared" ca="1" si="54"/>
        <v>1994</v>
      </c>
      <c r="V136">
        <f t="shared" ca="1" si="55"/>
        <v>4</v>
      </c>
      <c r="W136">
        <f t="shared" ca="1" si="56"/>
        <v>24</v>
      </c>
    </row>
    <row r="137" spans="1:23">
      <c r="A137" t="s">
        <v>865</v>
      </c>
      <c r="B137" t="str">
        <f t="shared" ca="1" si="38"/>
        <v>周謙毅</v>
      </c>
      <c r="C137" t="str">
        <f t="shared" ca="1" si="39"/>
        <v>ｼﾞｮｳ ﾁｴﾝ ｲｰ</v>
      </c>
      <c r="D137" t="str">
        <f t="shared" ca="1" si="40"/>
        <v>Zhou Qian Yi</v>
      </c>
      <c r="E137" t="str" cm="1">
        <f t="array" aca="1" ref="E137" ca="1">INDIRECT(ADDRESS(RANDBETWEEN(2,16),7,1,1,"valueBase"))</f>
        <v>女性</v>
      </c>
      <c r="F137" s="5">
        <f t="shared" ca="1" si="41"/>
        <v>22831</v>
      </c>
      <c r="G137" s="5">
        <f t="shared" ca="1" si="42"/>
        <v>30476</v>
      </c>
      <c r="H137" s="5">
        <f t="shared" ca="1" si="43"/>
        <v>30841</v>
      </c>
      <c r="I137" t="str">
        <f t="shared" ca="1" si="44"/>
        <v>090-3707-7139</v>
      </c>
      <c r="J137" t="str">
        <f t="shared" ca="1" si="45"/>
        <v>Zhou_Qian_Yi_30476@outlook.jp.co</v>
      </c>
      <c r="K137" t="str">
        <f t="shared" ca="1" si="46"/>
        <v>高級</v>
      </c>
      <c r="L137" t="str">
        <f t="shared" ca="1" si="47"/>
        <v>有り</v>
      </c>
      <c r="M137" t="str">
        <f t="shared" ca="1" si="48"/>
        <v>10%</v>
      </c>
      <c r="N137" t="str">
        <f t="shared" ca="1" si="49"/>
        <v>有り</v>
      </c>
      <c r="O137">
        <f t="shared" ca="1" si="50"/>
        <v>177</v>
      </c>
      <c r="R137">
        <f t="shared" ca="1" si="51"/>
        <v>10</v>
      </c>
      <c r="S137">
        <f t="shared" ca="1" si="52"/>
        <v>99</v>
      </c>
      <c r="T137">
        <f t="shared" ca="1" si="53"/>
        <v>1997</v>
      </c>
      <c r="U137">
        <f t="shared" ca="1" si="54"/>
        <v>2004</v>
      </c>
      <c r="V137">
        <f t="shared" ca="1" si="55"/>
        <v>9</v>
      </c>
      <c r="W137">
        <f t="shared" ca="1" si="56"/>
        <v>26</v>
      </c>
    </row>
    <row r="138" spans="1:23">
      <c r="A138" t="s">
        <v>866</v>
      </c>
      <c r="B138" t="str">
        <f t="shared" ca="1" si="38"/>
        <v>張菏飛</v>
      </c>
      <c r="C138" t="str">
        <f t="shared" ca="1" si="39"/>
        <v>ｼﾞｬｰﾝ ﾎｰｧ ﾌｪｲ</v>
      </c>
      <c r="D138" t="str">
        <f t="shared" ca="1" si="40"/>
        <v>Zhang He Fei</v>
      </c>
      <c r="E138" t="str" cm="1">
        <f t="array" aca="1" ref="E138" ca="1">INDIRECT(ADDRESS(RANDBETWEEN(2,16),7,1,1,"valueBase"))</f>
        <v>女性</v>
      </c>
      <c r="F138" s="5">
        <f t="shared" ca="1" si="41"/>
        <v>27198</v>
      </c>
      <c r="G138" s="5">
        <f t="shared" ca="1" si="42"/>
        <v>43300</v>
      </c>
      <c r="H138" s="5">
        <f t="shared" ca="1" si="43"/>
        <v>44030</v>
      </c>
      <c r="I138" t="str">
        <f t="shared" ca="1" si="44"/>
        <v>080-3116-9059</v>
      </c>
      <c r="J138" t="str">
        <f t="shared" ca="1" si="45"/>
        <v>Zhang_He_Fei_43300@outlook.jp.co</v>
      </c>
      <c r="K138" t="str">
        <f t="shared" ca="1" si="46"/>
        <v>普通</v>
      </c>
      <c r="L138" t="str">
        <f t="shared" ca="1" si="47"/>
        <v>-</v>
      </c>
      <c r="M138" t="str">
        <f t="shared" ca="1" si="48"/>
        <v>-</v>
      </c>
      <c r="N138" t="str">
        <f t="shared" ca="1" si="49"/>
        <v>有り</v>
      </c>
      <c r="O138">
        <f t="shared" ca="1" si="50"/>
        <v>74</v>
      </c>
      <c r="R138">
        <f t="shared" ca="1" si="51"/>
        <v>4</v>
      </c>
      <c r="S138">
        <f t="shared" ca="1" si="52"/>
        <v>66</v>
      </c>
      <c r="T138">
        <f t="shared" ca="1" si="53"/>
        <v>2003</v>
      </c>
      <c r="U138">
        <f t="shared" ca="1" si="54"/>
        <v>2007</v>
      </c>
      <c r="V138">
        <f t="shared" ca="1" si="55"/>
        <v>5</v>
      </c>
      <c r="W138">
        <f t="shared" ca="1" si="56"/>
        <v>16</v>
      </c>
    </row>
    <row r="139" spans="1:23">
      <c r="A139" t="s">
        <v>867</v>
      </c>
      <c r="B139" t="str">
        <f t="shared" ca="1" si="38"/>
        <v>馮鋒逸</v>
      </c>
      <c r="C139" t="str">
        <f t="shared" ca="1" si="39"/>
        <v>ﾌｵﾝ ﾌｵﾝ ｲｰ</v>
      </c>
      <c r="D139" t="str">
        <f t="shared" ca="1" si="40"/>
        <v>Feng Feng Yi</v>
      </c>
      <c r="E139" t="str" cm="1">
        <f t="array" aca="1" ref="E139" ca="1">INDIRECT(ADDRESS(RANDBETWEEN(2,16),7,1,1,"valueBase"))</f>
        <v>男性</v>
      </c>
      <c r="F139" s="5">
        <f t="shared" ca="1" si="41"/>
        <v>32081</v>
      </c>
      <c r="G139" s="5">
        <f t="shared" ca="1" si="42"/>
        <v>40242</v>
      </c>
      <c r="H139" s="5">
        <f t="shared" ca="1" si="43"/>
        <v>40607</v>
      </c>
      <c r="I139" t="str">
        <f t="shared" ca="1" si="44"/>
        <v>080-9763-8956</v>
      </c>
      <c r="J139" t="str">
        <f t="shared" ca="1" si="45"/>
        <v>Feng_Feng_Yi_40242@outlook.jp.co</v>
      </c>
      <c r="K139" t="str">
        <f t="shared" ca="1" si="46"/>
        <v>普通</v>
      </c>
      <c r="L139" t="str">
        <f t="shared" ca="1" si="47"/>
        <v>-</v>
      </c>
      <c r="M139" t="str">
        <f t="shared" ca="1" si="48"/>
        <v>-</v>
      </c>
      <c r="N139" t="str">
        <f t="shared" ca="1" si="49"/>
        <v>有り</v>
      </c>
      <c r="O139">
        <f t="shared" ca="1" si="50"/>
        <v>264</v>
      </c>
      <c r="R139">
        <f t="shared" ca="1" si="51"/>
        <v>28</v>
      </c>
      <c r="S139">
        <f t="shared" ca="1" si="52"/>
        <v>45</v>
      </c>
      <c r="T139">
        <f t="shared" ca="1" si="53"/>
        <v>1993</v>
      </c>
      <c r="U139">
        <f t="shared" ca="1" si="54"/>
        <v>1998</v>
      </c>
      <c r="V139">
        <f t="shared" ca="1" si="55"/>
        <v>3</v>
      </c>
      <c r="W139">
        <f t="shared" ca="1" si="56"/>
        <v>25</v>
      </c>
    </row>
    <row r="140" spans="1:23">
      <c r="A140" t="s">
        <v>868</v>
      </c>
      <c r="B140" t="str">
        <f t="shared" ca="1" si="38"/>
        <v>郭泓唯</v>
      </c>
      <c r="C140" t="str">
        <f t="shared" ca="1" si="39"/>
        <v>ｸﾞｵ ﾎｰﾝ ｳｴｲ</v>
      </c>
      <c r="D140" t="str">
        <f t="shared" ca="1" si="40"/>
        <v>Guo Hong Wei</v>
      </c>
      <c r="E140" t="str" cm="1">
        <f t="array" aca="1" ref="E140" ca="1">INDIRECT(ADDRESS(RANDBETWEEN(2,16),7,1,1,"valueBase"))</f>
        <v>男性</v>
      </c>
      <c r="F140" s="5">
        <f t="shared" ca="1" si="41"/>
        <v>26406</v>
      </c>
      <c r="G140" s="5">
        <f t="shared" ca="1" si="42"/>
        <v>44427</v>
      </c>
      <c r="H140" s="5">
        <f t="shared" ca="1" si="43"/>
        <v>44792</v>
      </c>
      <c r="I140" t="str">
        <f t="shared" ca="1" si="44"/>
        <v>090-8567-9377</v>
      </c>
      <c r="J140" t="str">
        <f t="shared" ca="1" si="45"/>
        <v>Guo_Hong_Wei_44427@outlook.jp.co</v>
      </c>
      <c r="K140" t="str">
        <f t="shared" ca="1" si="46"/>
        <v>高級</v>
      </c>
      <c r="L140" t="str">
        <f t="shared" ca="1" si="47"/>
        <v>有り</v>
      </c>
      <c r="M140" t="str">
        <f t="shared" ca="1" si="48"/>
        <v>10%</v>
      </c>
      <c r="N140" t="str">
        <f t="shared" ca="1" si="49"/>
        <v>有り</v>
      </c>
      <c r="O140">
        <f t="shared" ca="1" si="50"/>
        <v>80</v>
      </c>
      <c r="R140">
        <f t="shared" ca="1" si="51"/>
        <v>19</v>
      </c>
      <c r="S140">
        <f t="shared" ca="1" si="52"/>
        <v>242</v>
      </c>
      <c r="T140">
        <f t="shared" ca="1" si="53"/>
        <v>1986</v>
      </c>
      <c r="U140">
        <f t="shared" ca="1" si="54"/>
        <v>1989</v>
      </c>
      <c r="V140">
        <f t="shared" ca="1" si="55"/>
        <v>3</v>
      </c>
      <c r="W140">
        <f t="shared" ca="1" si="56"/>
        <v>16</v>
      </c>
    </row>
    <row r="141" spans="1:23">
      <c r="A141" t="s">
        <v>869</v>
      </c>
      <c r="B141" t="str">
        <f t="shared" ca="1" si="38"/>
        <v>馮禾博</v>
      </c>
      <c r="C141" t="str">
        <f t="shared" ca="1" si="39"/>
        <v>ﾌｵﾝ ﾎｰｧ ﾎﾞｰ</v>
      </c>
      <c r="D141" t="str">
        <f t="shared" ca="1" si="40"/>
        <v>Feng He Bo</v>
      </c>
      <c r="E141" t="str" cm="1">
        <f t="array" aca="1" ref="E141" ca="1">INDIRECT(ADDRESS(RANDBETWEEN(2,16),7,1,1,"valueBase"))</f>
        <v>女性</v>
      </c>
      <c r="F141" s="5">
        <f t="shared" ca="1" si="41"/>
        <v>31110</v>
      </c>
      <c r="G141" s="5">
        <f t="shared" ca="1" si="42"/>
        <v>44242</v>
      </c>
      <c r="H141" s="5">
        <f t="shared" ca="1" si="43"/>
        <v>44607</v>
      </c>
      <c r="I141" t="str">
        <f t="shared" ca="1" si="44"/>
        <v>090-8866-4049</v>
      </c>
      <c r="J141" t="str">
        <f t="shared" ca="1" si="45"/>
        <v>Feng_He_Bo_44242@outlook.jp.co</v>
      </c>
      <c r="K141" t="str">
        <f t="shared" ca="1" si="46"/>
        <v>普通</v>
      </c>
      <c r="L141" t="str">
        <f t="shared" ca="1" si="47"/>
        <v>有り</v>
      </c>
      <c r="M141" t="str">
        <f t="shared" ca="1" si="48"/>
        <v>5%</v>
      </c>
      <c r="N141" t="str">
        <f t="shared" ca="1" si="49"/>
        <v>有り</v>
      </c>
      <c r="O141">
        <f t="shared" ca="1" si="50"/>
        <v>424</v>
      </c>
      <c r="R141">
        <f t="shared" ca="1" si="51"/>
        <v>28</v>
      </c>
      <c r="S141">
        <f t="shared" ca="1" si="52"/>
        <v>271</v>
      </c>
      <c r="T141">
        <f t="shared" ca="1" si="53"/>
        <v>1982</v>
      </c>
      <c r="U141">
        <f t="shared" ca="1" si="54"/>
        <v>1989</v>
      </c>
      <c r="V141">
        <f t="shared" ca="1" si="55"/>
        <v>2</v>
      </c>
      <c r="W141">
        <f t="shared" ca="1" si="56"/>
        <v>5</v>
      </c>
    </row>
    <row r="142" spans="1:23">
      <c r="A142" t="s">
        <v>870</v>
      </c>
      <c r="B142" t="str">
        <f t="shared" ca="1" si="38"/>
        <v>周晟輝</v>
      </c>
      <c r="C142" t="str">
        <f t="shared" ca="1" si="39"/>
        <v>ｼﾞｮｳ ｼｭﾖﾝ ﾎｩｲ</v>
      </c>
      <c r="D142" t="str">
        <f t="shared" ca="1" si="40"/>
        <v>Zhou Sheng Hui</v>
      </c>
      <c r="E142" t="str" cm="1">
        <f t="array" aca="1" ref="E142" ca="1">INDIRECT(ADDRESS(RANDBETWEEN(2,16),7,1,1,"valueBase"))</f>
        <v>女性</v>
      </c>
      <c r="F142" s="5">
        <f t="shared" ca="1" si="41"/>
        <v>38084</v>
      </c>
      <c r="G142" s="5">
        <f t="shared" ca="1" si="42"/>
        <v>44914</v>
      </c>
      <c r="H142" s="5">
        <f t="shared" ca="1" si="43"/>
        <v>45644</v>
      </c>
      <c r="I142" t="str">
        <f t="shared" ca="1" si="44"/>
        <v>090-3225-9212</v>
      </c>
      <c r="J142" t="str">
        <f t="shared" ca="1" si="45"/>
        <v>Zhou_Sheng_Hui_44914@outlook.jp.co</v>
      </c>
      <c r="K142" t="str">
        <f t="shared" ca="1" si="46"/>
        <v>高級</v>
      </c>
      <c r="L142" t="str">
        <f t="shared" ca="1" si="47"/>
        <v>有り</v>
      </c>
      <c r="M142" t="str">
        <f t="shared" ca="1" si="48"/>
        <v>10%</v>
      </c>
      <c r="N142" t="str">
        <f t="shared" ca="1" si="49"/>
        <v>有り</v>
      </c>
      <c r="O142">
        <f t="shared" ca="1" si="50"/>
        <v>856</v>
      </c>
      <c r="R142">
        <f t="shared" ca="1" si="51"/>
        <v>10</v>
      </c>
      <c r="S142">
        <f t="shared" ca="1" si="52"/>
        <v>303</v>
      </c>
      <c r="T142">
        <f t="shared" ca="1" si="53"/>
        <v>2002</v>
      </c>
      <c r="U142">
        <f t="shared" ca="1" si="54"/>
        <v>2003</v>
      </c>
      <c r="V142">
        <f t="shared" ca="1" si="55"/>
        <v>5</v>
      </c>
      <c r="W142">
        <f t="shared" ca="1" si="56"/>
        <v>19</v>
      </c>
    </row>
    <row r="143" spans="1:23">
      <c r="A143" t="s">
        <v>871</v>
      </c>
      <c r="B143" t="str">
        <f t="shared" ca="1" si="38"/>
        <v>黃緣杭</v>
      </c>
      <c r="C143" t="str">
        <f t="shared" ca="1" si="39"/>
        <v>ﾎﾜｰﾝ ﾕｴﾝ ﾊｰﾝ</v>
      </c>
      <c r="D143" t="str">
        <f t="shared" ca="1" si="40"/>
        <v>Huang Yuan Hang</v>
      </c>
      <c r="E143" t="str" cm="1">
        <f t="array" aca="1" ref="E143" ca="1">INDIRECT(ADDRESS(RANDBETWEEN(2,16),7,1,1,"valueBase"))</f>
        <v>女性</v>
      </c>
      <c r="F143" s="5">
        <f t="shared" ca="1" si="41"/>
        <v>28035</v>
      </c>
      <c r="G143" s="5">
        <f t="shared" ca="1" si="42"/>
        <v>35044</v>
      </c>
      <c r="H143" s="5">
        <f t="shared" ca="1" si="43"/>
        <v>35774</v>
      </c>
      <c r="I143" t="str">
        <f t="shared" ca="1" si="44"/>
        <v>090-3645-9836</v>
      </c>
      <c r="J143" t="str">
        <f t="shared" ca="1" si="45"/>
        <v>Huang_Yuan_Hang_35044@outlook.jp.co</v>
      </c>
      <c r="K143" t="str">
        <f t="shared" ca="1" si="46"/>
        <v>普通</v>
      </c>
      <c r="L143" t="str">
        <f t="shared" ca="1" si="47"/>
        <v>有り</v>
      </c>
      <c r="M143" t="str">
        <f t="shared" ca="1" si="48"/>
        <v>5%</v>
      </c>
      <c r="N143" t="str">
        <f t="shared" ca="1" si="49"/>
        <v>有り</v>
      </c>
      <c r="O143">
        <f t="shared" ca="1" si="50"/>
        <v>236</v>
      </c>
      <c r="R143">
        <f t="shared" ca="1" si="51"/>
        <v>9</v>
      </c>
      <c r="S143">
        <f t="shared" ca="1" si="52"/>
        <v>311</v>
      </c>
      <c r="T143">
        <f t="shared" ca="1" si="53"/>
        <v>1999</v>
      </c>
      <c r="U143">
        <f t="shared" ca="1" si="54"/>
        <v>2011</v>
      </c>
      <c r="V143">
        <f t="shared" ca="1" si="55"/>
        <v>11</v>
      </c>
      <c r="W143">
        <f t="shared" ca="1" si="56"/>
        <v>17</v>
      </c>
    </row>
    <row r="144" spans="1:23">
      <c r="A144" t="s">
        <v>872</v>
      </c>
      <c r="B144" t="str">
        <f t="shared" ca="1" si="38"/>
        <v>郭憶友</v>
      </c>
      <c r="C144" t="str">
        <f t="shared" ca="1" si="39"/>
        <v>ｸﾞｵ ｲｰ ﾖｳ</v>
      </c>
      <c r="D144" t="str">
        <f t="shared" ca="1" si="40"/>
        <v>Guo Yi You</v>
      </c>
      <c r="E144" t="str" cm="1">
        <f t="array" aca="1" ref="E144" ca="1">INDIRECT(ADDRESS(RANDBETWEEN(2,16),7,1,1,"valueBase"))</f>
        <v>女性</v>
      </c>
      <c r="F144" s="5">
        <f t="shared" ca="1" si="41"/>
        <v>24826</v>
      </c>
      <c r="G144" s="5">
        <f t="shared" ca="1" si="42"/>
        <v>32227</v>
      </c>
      <c r="H144" s="5">
        <f t="shared" ca="1" si="43"/>
        <v>32957</v>
      </c>
      <c r="I144" t="str">
        <f t="shared" ca="1" si="44"/>
        <v>080-0155-2768</v>
      </c>
      <c r="J144" t="str">
        <f t="shared" ca="1" si="45"/>
        <v>Guo_Yi_You_32227@outlook.jp.co</v>
      </c>
      <c r="K144" t="str">
        <f t="shared" ca="1" si="46"/>
        <v>普通</v>
      </c>
      <c r="L144" t="str">
        <f t="shared" ca="1" si="47"/>
        <v>有り</v>
      </c>
      <c r="M144" t="str">
        <f t="shared" ca="1" si="48"/>
        <v>5%</v>
      </c>
      <c r="N144" t="str">
        <f t="shared" ca="1" si="49"/>
        <v>有り</v>
      </c>
      <c r="O144">
        <f t="shared" ca="1" si="50"/>
        <v>708</v>
      </c>
      <c r="R144">
        <f t="shared" ca="1" si="51"/>
        <v>19</v>
      </c>
      <c r="S144">
        <f t="shared" ca="1" si="52"/>
        <v>219</v>
      </c>
      <c r="T144">
        <f t="shared" ca="1" si="53"/>
        <v>1987</v>
      </c>
      <c r="U144">
        <f t="shared" ca="1" si="54"/>
        <v>1992</v>
      </c>
      <c r="V144">
        <f t="shared" ca="1" si="55"/>
        <v>4</v>
      </c>
      <c r="W144">
        <f t="shared" ca="1" si="56"/>
        <v>4</v>
      </c>
    </row>
    <row r="145" spans="1:23">
      <c r="A145" t="s">
        <v>873</v>
      </c>
      <c r="B145" t="str">
        <f t="shared" ca="1" si="38"/>
        <v>朱複仟</v>
      </c>
      <c r="C145" t="str">
        <f t="shared" ca="1" si="39"/>
        <v>ｼﾞｭｳ ﾌｩ ﾁｴﾝ</v>
      </c>
      <c r="D145" t="str">
        <f t="shared" ca="1" si="40"/>
        <v>Zhu Fu Qian</v>
      </c>
      <c r="E145" t="str" cm="1">
        <f t="array" aca="1" ref="E145" ca="1">INDIRECT(ADDRESS(RANDBETWEEN(2,16),7,1,1,"valueBase"))</f>
        <v>女性</v>
      </c>
      <c r="F145" s="5">
        <f t="shared" ca="1" si="41"/>
        <v>35946</v>
      </c>
      <c r="G145" s="5">
        <f t="shared" ca="1" si="42"/>
        <v>43685</v>
      </c>
      <c r="H145" s="5">
        <f t="shared" ca="1" si="43"/>
        <v>44050</v>
      </c>
      <c r="I145" t="str">
        <f t="shared" ca="1" si="44"/>
        <v>080-5941-4849</v>
      </c>
      <c r="J145" t="str">
        <f t="shared" ca="1" si="45"/>
        <v>Zhu_Fu_Qian_43685@outlook.jp.co</v>
      </c>
      <c r="K145" t="str">
        <f t="shared" ca="1" si="46"/>
        <v>普通</v>
      </c>
      <c r="L145" t="str">
        <f t="shared" ca="1" si="47"/>
        <v>有り</v>
      </c>
      <c r="M145" t="str">
        <f t="shared" ca="1" si="48"/>
        <v>5%</v>
      </c>
      <c r="N145" t="str">
        <f t="shared" ca="1" si="49"/>
        <v>-</v>
      </c>
      <c r="O145" t="str">
        <f t="shared" ca="1" si="50"/>
        <v>-</v>
      </c>
      <c r="R145">
        <f t="shared" ca="1" si="51"/>
        <v>15</v>
      </c>
      <c r="S145">
        <f t="shared" ca="1" si="52"/>
        <v>175</v>
      </c>
      <c r="T145">
        <f t="shared" ca="1" si="53"/>
        <v>1993</v>
      </c>
      <c r="U145">
        <f t="shared" ca="1" si="54"/>
        <v>2004</v>
      </c>
      <c r="V145">
        <f t="shared" ca="1" si="55"/>
        <v>8</v>
      </c>
      <c r="W145">
        <f t="shared" ca="1" si="56"/>
        <v>22</v>
      </c>
    </row>
    <row r="146" spans="1:23">
      <c r="A146" t="s">
        <v>874</v>
      </c>
      <c r="B146" t="str">
        <f t="shared" ca="1" si="38"/>
        <v>謝群昌</v>
      </c>
      <c r="C146" t="str">
        <f t="shared" ca="1" si="39"/>
        <v>ｼｴ ﾁｭｲﾝ ﾁｬｰﾝ</v>
      </c>
      <c r="D146" t="str">
        <f t="shared" ca="1" si="40"/>
        <v>Xie Qun Chang</v>
      </c>
      <c r="E146" t="str" cm="1">
        <f t="array" aca="1" ref="E146" ca="1">INDIRECT(ADDRESS(RANDBETWEEN(2,16),7,1,1,"valueBase"))</f>
        <v>男性</v>
      </c>
      <c r="F146" s="5">
        <f t="shared" ca="1" si="41"/>
        <v>30253</v>
      </c>
      <c r="G146" s="5">
        <f t="shared" ca="1" si="42"/>
        <v>40919</v>
      </c>
      <c r="H146" s="5">
        <f t="shared" ca="1" si="43"/>
        <v>42014</v>
      </c>
      <c r="I146" t="str">
        <f t="shared" ca="1" si="44"/>
        <v>090-6163-7034</v>
      </c>
      <c r="J146" t="str">
        <f t="shared" ca="1" si="45"/>
        <v>Xie_Qun_Chang_40919@outlook.jp.co</v>
      </c>
      <c r="K146" t="str">
        <f t="shared" ca="1" si="46"/>
        <v>高級</v>
      </c>
      <c r="L146" t="str">
        <f t="shared" ca="1" si="47"/>
        <v>有り</v>
      </c>
      <c r="M146" t="str">
        <f t="shared" ca="1" si="48"/>
        <v>10%</v>
      </c>
      <c r="N146" t="str">
        <f t="shared" ca="1" si="49"/>
        <v>有り</v>
      </c>
      <c r="O146">
        <f t="shared" ca="1" si="50"/>
        <v>628</v>
      </c>
      <c r="R146">
        <f t="shared" ca="1" si="51"/>
        <v>25</v>
      </c>
      <c r="S146">
        <f t="shared" ca="1" si="52"/>
        <v>211</v>
      </c>
      <c r="T146">
        <f t="shared" ca="1" si="53"/>
        <v>1989</v>
      </c>
      <c r="U146">
        <f t="shared" ca="1" si="54"/>
        <v>2000</v>
      </c>
      <c r="V146">
        <f t="shared" ca="1" si="55"/>
        <v>2</v>
      </c>
      <c r="W146">
        <f t="shared" ca="1" si="56"/>
        <v>23</v>
      </c>
    </row>
    <row r="147" spans="1:23">
      <c r="A147" t="s">
        <v>875</v>
      </c>
      <c r="B147" t="str">
        <f t="shared" ca="1" si="38"/>
        <v>高萌至</v>
      </c>
      <c r="C147" t="str">
        <f t="shared" ca="1" si="39"/>
        <v>ｶﾞｵ ﾑｵﾝ ｼﾞｰ</v>
      </c>
      <c r="D147" t="str">
        <f t="shared" ca="1" si="40"/>
        <v>Gao Meng Zhi</v>
      </c>
      <c r="E147" t="str" cm="1">
        <f t="array" aca="1" ref="E147" ca="1">INDIRECT(ADDRESS(RANDBETWEEN(2,16),7,1,1,"valueBase"))</f>
        <v>女性</v>
      </c>
      <c r="F147" s="5">
        <f t="shared" ca="1" si="41"/>
        <v>29549</v>
      </c>
      <c r="G147" s="5">
        <f t="shared" ca="1" si="42"/>
        <v>40416</v>
      </c>
      <c r="H147" s="5">
        <f t="shared" ca="1" si="43"/>
        <v>41511</v>
      </c>
      <c r="I147" t="str">
        <f t="shared" ca="1" si="44"/>
        <v>080-3650-4372</v>
      </c>
      <c r="J147" t="str">
        <f t="shared" ca="1" si="45"/>
        <v>Gao_Meng_Zhi_40416@outlook.jp.co</v>
      </c>
      <c r="K147" t="str">
        <f t="shared" ca="1" si="46"/>
        <v>高級</v>
      </c>
      <c r="L147" t="str">
        <f t="shared" ca="1" si="47"/>
        <v>-</v>
      </c>
      <c r="M147" t="str">
        <f t="shared" ca="1" si="48"/>
        <v>-</v>
      </c>
      <c r="N147" t="str">
        <f t="shared" ca="1" si="49"/>
        <v>有り</v>
      </c>
      <c r="O147">
        <f t="shared" ca="1" si="50"/>
        <v>489</v>
      </c>
      <c r="R147">
        <f t="shared" ca="1" si="51"/>
        <v>16</v>
      </c>
      <c r="S147">
        <f t="shared" ca="1" si="52"/>
        <v>139</v>
      </c>
      <c r="T147">
        <f t="shared" ca="1" si="53"/>
        <v>1990</v>
      </c>
      <c r="U147">
        <f t="shared" ca="1" si="54"/>
        <v>2001</v>
      </c>
      <c r="V147">
        <f t="shared" ca="1" si="55"/>
        <v>4</v>
      </c>
      <c r="W147">
        <f t="shared" ca="1" si="56"/>
        <v>12</v>
      </c>
    </row>
    <row r="148" spans="1:23">
      <c r="A148" t="s">
        <v>876</v>
      </c>
      <c r="B148" t="str">
        <f t="shared" ca="1" si="38"/>
        <v>陳赫佑</v>
      </c>
      <c r="C148" t="str">
        <f t="shared" ca="1" si="39"/>
        <v>ﾁｪﾝ ﾎｰｧ ﾖｳ</v>
      </c>
      <c r="D148" t="str">
        <f t="shared" ca="1" si="40"/>
        <v>Chen He You</v>
      </c>
      <c r="E148" t="str" cm="1">
        <f t="array" aca="1" ref="E148" ca="1">INDIRECT(ADDRESS(RANDBETWEEN(2,16),7,1,1,"valueBase"))</f>
        <v>男性</v>
      </c>
      <c r="F148" s="5">
        <f t="shared" ca="1" si="41"/>
        <v>25994</v>
      </c>
      <c r="G148" s="5">
        <f t="shared" ca="1" si="42"/>
        <v>43889</v>
      </c>
      <c r="H148" s="5">
        <f t="shared" ca="1" si="43"/>
        <v>44619</v>
      </c>
      <c r="I148" t="str">
        <f t="shared" ca="1" si="44"/>
        <v>090-3098-1596</v>
      </c>
      <c r="J148" t="str">
        <f t="shared" ca="1" si="45"/>
        <v>Chen_He_You_43889@outlook.jp.co</v>
      </c>
      <c r="K148" t="str">
        <f t="shared" ca="1" si="46"/>
        <v>高級</v>
      </c>
      <c r="L148" t="str">
        <f t="shared" ca="1" si="47"/>
        <v>有り</v>
      </c>
      <c r="M148" t="str">
        <f t="shared" ca="1" si="48"/>
        <v>10%</v>
      </c>
      <c r="N148" t="str">
        <f t="shared" ca="1" si="49"/>
        <v>有り</v>
      </c>
      <c r="O148">
        <f t="shared" ca="1" si="50"/>
        <v>348</v>
      </c>
      <c r="R148">
        <f t="shared" ca="1" si="51"/>
        <v>6</v>
      </c>
      <c r="S148">
        <f t="shared" ca="1" si="52"/>
        <v>208</v>
      </c>
      <c r="T148">
        <f t="shared" ca="1" si="53"/>
        <v>2000</v>
      </c>
      <c r="U148">
        <f t="shared" ca="1" si="54"/>
        <v>2009</v>
      </c>
      <c r="V148">
        <f t="shared" ca="1" si="55"/>
        <v>5</v>
      </c>
      <c r="W148">
        <f t="shared" ca="1" si="56"/>
        <v>28</v>
      </c>
    </row>
    <row r="149" spans="1:23">
      <c r="A149" t="s">
        <v>877</v>
      </c>
      <c r="B149" t="str">
        <f t="shared" ca="1" si="38"/>
        <v>于領俊</v>
      </c>
      <c r="C149" t="str">
        <f t="shared" ca="1" si="39"/>
        <v>ﾕｲ ﾘｰﾝ ｼﾞｭｲﾝ</v>
      </c>
      <c r="D149" t="str">
        <f t="shared" ca="1" si="40"/>
        <v>Yu Ling Jun</v>
      </c>
      <c r="E149" t="str" cm="1">
        <f t="array" aca="1" ref="E149" ca="1">INDIRECT(ADDRESS(RANDBETWEEN(2,16),7,1,1,"valueBase"))</f>
        <v>-</v>
      </c>
      <c r="F149" s="5">
        <f t="shared" ca="1" si="41"/>
        <v>34895</v>
      </c>
      <c r="G149" s="5">
        <f t="shared" ca="1" si="42"/>
        <v>43951</v>
      </c>
      <c r="H149" s="5">
        <f t="shared" ca="1" si="43"/>
        <v>44681</v>
      </c>
      <c r="I149" t="str">
        <f t="shared" ca="1" si="44"/>
        <v>080-9038-0116</v>
      </c>
      <c r="J149" t="str">
        <f t="shared" ca="1" si="45"/>
        <v>Yu_Ling_Jun_43951@outlook.jp.co</v>
      </c>
      <c r="K149" t="str">
        <f t="shared" ca="1" si="46"/>
        <v>普通</v>
      </c>
      <c r="L149" t="str">
        <f t="shared" ca="1" si="47"/>
        <v>有り</v>
      </c>
      <c r="M149" t="str">
        <f t="shared" ca="1" si="48"/>
        <v>5%</v>
      </c>
      <c r="N149" t="str">
        <f t="shared" ca="1" si="49"/>
        <v>有り</v>
      </c>
      <c r="O149">
        <f t="shared" ca="1" si="50"/>
        <v>808</v>
      </c>
      <c r="R149">
        <f t="shared" ca="1" si="51"/>
        <v>29</v>
      </c>
      <c r="S149">
        <f t="shared" ca="1" si="52"/>
        <v>106</v>
      </c>
      <c r="T149">
        <f t="shared" ca="1" si="53"/>
        <v>1976</v>
      </c>
      <c r="U149">
        <f t="shared" ca="1" si="54"/>
        <v>1987</v>
      </c>
      <c r="V149">
        <f t="shared" ca="1" si="55"/>
        <v>2</v>
      </c>
      <c r="W149">
        <f t="shared" ca="1" si="56"/>
        <v>21</v>
      </c>
    </row>
    <row r="150" spans="1:23">
      <c r="A150" t="s">
        <v>878</v>
      </c>
      <c r="B150" t="str">
        <f t="shared" ca="1" si="38"/>
        <v>吳悅協</v>
      </c>
      <c r="C150" t="str">
        <f t="shared" ca="1" si="39"/>
        <v>ｳｰ ﾕｴ ｼｴ</v>
      </c>
      <c r="D150" t="str">
        <f t="shared" ca="1" si="40"/>
        <v>Wu Yue Xie</v>
      </c>
      <c r="E150" t="str" cm="1">
        <f t="array" aca="1" ref="E150" ca="1">INDIRECT(ADDRESS(RANDBETWEEN(2,16),7,1,1,"valueBase"))</f>
        <v>女性</v>
      </c>
      <c r="F150" s="5">
        <f t="shared" ca="1" si="41"/>
        <v>35620</v>
      </c>
      <c r="G150" s="5">
        <f t="shared" ca="1" si="42"/>
        <v>43084</v>
      </c>
      <c r="H150" s="5">
        <f t="shared" ca="1" si="43"/>
        <v>44179</v>
      </c>
      <c r="I150" t="str">
        <f t="shared" ca="1" si="44"/>
        <v>090-5309-9699</v>
      </c>
      <c r="J150" t="str">
        <f t="shared" ca="1" si="45"/>
        <v>Wu_Yue_Xie_43084@outlook.jp.co</v>
      </c>
      <c r="K150" t="str">
        <f t="shared" ca="1" si="46"/>
        <v>高級</v>
      </c>
      <c r="L150" t="str">
        <f t="shared" ca="1" si="47"/>
        <v>-</v>
      </c>
      <c r="M150" t="str">
        <f t="shared" ca="1" si="48"/>
        <v>-</v>
      </c>
      <c r="N150" t="str">
        <f t="shared" ca="1" si="49"/>
        <v>有り</v>
      </c>
      <c r="O150">
        <f t="shared" ca="1" si="50"/>
        <v>933</v>
      </c>
      <c r="R150">
        <f t="shared" ca="1" si="51"/>
        <v>11</v>
      </c>
      <c r="S150">
        <f t="shared" ca="1" si="52"/>
        <v>49</v>
      </c>
      <c r="T150">
        <f t="shared" ca="1" si="53"/>
        <v>2004</v>
      </c>
      <c r="U150">
        <f t="shared" ca="1" si="54"/>
        <v>2016</v>
      </c>
      <c r="V150">
        <f t="shared" ca="1" si="55"/>
        <v>8</v>
      </c>
      <c r="W150">
        <f t="shared" ca="1" si="56"/>
        <v>21</v>
      </c>
    </row>
    <row r="151" spans="1:23">
      <c r="A151" t="s">
        <v>879</v>
      </c>
      <c r="B151" t="str">
        <f t="shared" ca="1" si="38"/>
        <v>林祖彥</v>
      </c>
      <c r="C151" t="str">
        <f t="shared" ca="1" si="39"/>
        <v>ﾘﾝ ｽﾞｩ ｲｴﾝ</v>
      </c>
      <c r="D151" t="str">
        <f t="shared" ca="1" si="40"/>
        <v>Lin Zu Yan</v>
      </c>
      <c r="E151" t="str" cm="1">
        <f t="array" aca="1" ref="E151" ca="1">INDIRECT(ADDRESS(RANDBETWEEN(2,16),7,1,1,"valueBase"))</f>
        <v>男性</v>
      </c>
      <c r="F151" s="5">
        <f t="shared" ca="1" si="41"/>
        <v>30974</v>
      </c>
      <c r="G151" s="5">
        <f t="shared" ca="1" si="42"/>
        <v>37564</v>
      </c>
      <c r="H151" s="5">
        <f t="shared" ca="1" si="43"/>
        <v>38294</v>
      </c>
      <c r="I151" t="str">
        <f t="shared" ca="1" si="44"/>
        <v>080-1707-2808</v>
      </c>
      <c r="J151" t="str">
        <f t="shared" ca="1" si="45"/>
        <v>Lin_Zu_Yan_37564@outlook.jp.co</v>
      </c>
      <c r="K151" t="str">
        <f t="shared" ca="1" si="46"/>
        <v>普通</v>
      </c>
      <c r="L151" t="str">
        <f t="shared" ca="1" si="47"/>
        <v>有り</v>
      </c>
      <c r="M151" t="str">
        <f t="shared" ca="1" si="48"/>
        <v>5%</v>
      </c>
      <c r="N151" t="str">
        <f t="shared" ca="1" si="49"/>
        <v>有り</v>
      </c>
      <c r="O151">
        <f t="shared" ca="1" si="50"/>
        <v>878</v>
      </c>
      <c r="R151">
        <f t="shared" ca="1" si="51"/>
        <v>17</v>
      </c>
      <c r="S151">
        <f t="shared" ca="1" si="52"/>
        <v>224</v>
      </c>
      <c r="T151">
        <f t="shared" ca="1" si="53"/>
        <v>1994</v>
      </c>
      <c r="U151">
        <f t="shared" ca="1" si="54"/>
        <v>2001</v>
      </c>
      <c r="V151">
        <f t="shared" ca="1" si="55"/>
        <v>5</v>
      </c>
      <c r="W151">
        <f t="shared" ca="1" si="56"/>
        <v>8</v>
      </c>
    </row>
    <row r="152" spans="1:23">
      <c r="A152" t="s">
        <v>880</v>
      </c>
      <c r="B152" t="str">
        <f t="shared" ca="1" si="38"/>
        <v>孫厚道</v>
      </c>
      <c r="C152" t="str">
        <f t="shared" ca="1" si="39"/>
        <v>ｽｩﾝ ﾎｳ ﾀﾞｵ</v>
      </c>
      <c r="D152" t="str">
        <f t="shared" ca="1" si="40"/>
        <v>Sun Hou Dao</v>
      </c>
      <c r="E152" t="str" cm="1">
        <f t="array" aca="1" ref="E152" ca="1">INDIRECT(ADDRESS(RANDBETWEEN(2,16),7,1,1,"valueBase"))</f>
        <v>男性</v>
      </c>
      <c r="F152" s="5">
        <f t="shared" ca="1" si="41"/>
        <v>35101</v>
      </c>
      <c r="G152" s="5">
        <f t="shared" ca="1" si="42"/>
        <v>42998</v>
      </c>
      <c r="H152" s="5">
        <f t="shared" ca="1" si="43"/>
        <v>44093</v>
      </c>
      <c r="I152" t="str">
        <f t="shared" ca="1" si="44"/>
        <v>080-3954-2850</v>
      </c>
      <c r="J152" t="str">
        <f t="shared" ca="1" si="45"/>
        <v>Sun_Hou_Dao_42998@outlook.jp.co</v>
      </c>
      <c r="K152" t="str">
        <f t="shared" ca="1" si="46"/>
        <v>普通</v>
      </c>
      <c r="L152" t="str">
        <f t="shared" ca="1" si="47"/>
        <v>有り</v>
      </c>
      <c r="M152" t="str">
        <f t="shared" ca="1" si="48"/>
        <v>5%</v>
      </c>
      <c r="N152" t="str">
        <f t="shared" ca="1" si="49"/>
        <v>有り</v>
      </c>
      <c r="O152">
        <f t="shared" ca="1" si="50"/>
        <v>30</v>
      </c>
      <c r="R152">
        <f t="shared" ca="1" si="51"/>
        <v>13</v>
      </c>
      <c r="S152">
        <f t="shared" ca="1" si="52"/>
        <v>302</v>
      </c>
      <c r="T152">
        <f t="shared" ca="1" si="53"/>
        <v>2003</v>
      </c>
      <c r="U152">
        <f t="shared" ca="1" si="54"/>
        <v>2015</v>
      </c>
      <c r="V152">
        <f t="shared" ca="1" si="55"/>
        <v>5</v>
      </c>
      <c r="W152">
        <f t="shared" ca="1" si="56"/>
        <v>6</v>
      </c>
    </row>
    <row r="153" spans="1:23">
      <c r="A153" t="s">
        <v>881</v>
      </c>
      <c r="B153" t="str">
        <f t="shared" ca="1" si="38"/>
        <v>高倫惠</v>
      </c>
      <c r="C153" t="str">
        <f t="shared" ca="1" si="39"/>
        <v>ｶﾞｵ ﾙﾝ ﾎｩｲ</v>
      </c>
      <c r="D153" t="str">
        <f t="shared" ca="1" si="40"/>
        <v>Gao Lun Hui</v>
      </c>
      <c r="E153" t="str" cm="1">
        <f t="array" aca="1" ref="E153" ca="1">INDIRECT(ADDRESS(RANDBETWEEN(2,16),7,1,1,"valueBase"))</f>
        <v>女性</v>
      </c>
      <c r="F153" s="5">
        <f t="shared" ca="1" si="41"/>
        <v>37465</v>
      </c>
      <c r="G153" s="5">
        <f t="shared" ca="1" si="42"/>
        <v>44306</v>
      </c>
      <c r="H153" s="5">
        <f t="shared" ca="1" si="43"/>
        <v>44671</v>
      </c>
      <c r="I153" t="str">
        <f t="shared" ca="1" si="44"/>
        <v>090-1606-9866</v>
      </c>
      <c r="J153" t="str">
        <f t="shared" ca="1" si="45"/>
        <v>Gao_Lun_Hui_44306@outlook.jp.co</v>
      </c>
      <c r="K153" t="str">
        <f t="shared" ca="1" si="46"/>
        <v>高級</v>
      </c>
      <c r="L153" t="str">
        <f t="shared" ca="1" si="47"/>
        <v>有り</v>
      </c>
      <c r="M153" t="str">
        <f t="shared" ca="1" si="48"/>
        <v>10%</v>
      </c>
      <c r="N153" t="str">
        <f t="shared" ca="1" si="49"/>
        <v>有り</v>
      </c>
      <c r="O153">
        <f t="shared" ca="1" si="50"/>
        <v>936</v>
      </c>
      <c r="R153">
        <f t="shared" ca="1" si="51"/>
        <v>16</v>
      </c>
      <c r="S153">
        <f t="shared" ca="1" si="52"/>
        <v>131</v>
      </c>
      <c r="T153">
        <f t="shared" ca="1" si="53"/>
        <v>1990</v>
      </c>
      <c r="U153">
        <f t="shared" ca="1" si="54"/>
        <v>1995</v>
      </c>
      <c r="V153">
        <f t="shared" ca="1" si="55"/>
        <v>12</v>
      </c>
      <c r="W153">
        <f t="shared" ca="1" si="56"/>
        <v>2</v>
      </c>
    </row>
    <row r="154" spans="1:23">
      <c r="A154" t="s">
        <v>882</v>
      </c>
      <c r="B154" t="str">
        <f t="shared" ca="1" si="38"/>
        <v>羅資圓</v>
      </c>
      <c r="C154" t="str">
        <f t="shared" ca="1" si="39"/>
        <v>ﾙｵ ｽﾞｰ ﾕｴﾝ</v>
      </c>
      <c r="D154" t="str">
        <f t="shared" ca="1" si="40"/>
        <v>Luo Zi Yuan</v>
      </c>
      <c r="E154" t="str" cm="1">
        <f t="array" aca="1" ref="E154" ca="1">INDIRECT(ADDRESS(RANDBETWEEN(2,16),7,1,1,"valueBase"))</f>
        <v>女性</v>
      </c>
      <c r="F154" s="5">
        <f t="shared" ca="1" si="41"/>
        <v>37641</v>
      </c>
      <c r="G154" s="5">
        <f t="shared" ca="1" si="42"/>
        <v>45056</v>
      </c>
      <c r="H154" s="5">
        <f t="shared" ca="1" si="43"/>
        <v>45786</v>
      </c>
      <c r="I154" t="str">
        <f t="shared" ca="1" si="44"/>
        <v>080-4186-9787</v>
      </c>
      <c r="J154" t="str">
        <f t="shared" ca="1" si="45"/>
        <v>Luo_Zi_Yuan_45056@outlook.jp.co</v>
      </c>
      <c r="K154" t="str">
        <f t="shared" ca="1" si="46"/>
        <v>普通</v>
      </c>
      <c r="L154" t="str">
        <f t="shared" ca="1" si="47"/>
        <v>有り</v>
      </c>
      <c r="M154" t="str">
        <f t="shared" ca="1" si="48"/>
        <v>5%</v>
      </c>
      <c r="N154" t="str">
        <f t="shared" ca="1" si="49"/>
        <v>有り</v>
      </c>
      <c r="O154">
        <f t="shared" ca="1" si="50"/>
        <v>623</v>
      </c>
      <c r="R154">
        <f t="shared" ca="1" si="51"/>
        <v>21</v>
      </c>
      <c r="S154">
        <f t="shared" ca="1" si="52"/>
        <v>151</v>
      </c>
      <c r="T154">
        <f t="shared" ca="1" si="53"/>
        <v>2000</v>
      </c>
      <c r="U154">
        <f t="shared" ca="1" si="54"/>
        <v>2006</v>
      </c>
      <c r="V154">
        <f t="shared" ca="1" si="55"/>
        <v>12</v>
      </c>
      <c r="W154">
        <f t="shared" ca="1" si="56"/>
        <v>14</v>
      </c>
    </row>
    <row r="155" spans="1:23">
      <c r="A155" t="s">
        <v>883</v>
      </c>
      <c r="B155" t="str">
        <f t="shared" ca="1" si="38"/>
        <v>趙德基</v>
      </c>
      <c r="C155" t="str">
        <f t="shared" ca="1" si="39"/>
        <v>ｼﾞｬｵ ﾄﾞｰｧ ｼﾞｰ</v>
      </c>
      <c r="D155" t="str">
        <f t="shared" ca="1" si="40"/>
        <v>Zhao De Ji</v>
      </c>
      <c r="E155" t="str" cm="1">
        <f t="array" aca="1" ref="E155" ca="1">INDIRECT(ADDRESS(RANDBETWEEN(2,16),7,1,1,"valueBase"))</f>
        <v>男性</v>
      </c>
      <c r="F155" s="5">
        <f t="shared" ca="1" si="41"/>
        <v>23520</v>
      </c>
      <c r="G155" s="5">
        <f t="shared" ca="1" si="42"/>
        <v>43907</v>
      </c>
      <c r="H155" s="5">
        <f t="shared" ca="1" si="43"/>
        <v>44637</v>
      </c>
      <c r="I155" t="str">
        <f t="shared" ca="1" si="44"/>
        <v>080-4550-0905</v>
      </c>
      <c r="J155" t="str">
        <f t="shared" ca="1" si="45"/>
        <v>Zhao_De_Ji_43907@outlook.jp.co</v>
      </c>
      <c r="K155" t="str">
        <f t="shared" ca="1" si="46"/>
        <v>高級</v>
      </c>
      <c r="L155" t="str">
        <f t="shared" ca="1" si="47"/>
        <v>-</v>
      </c>
      <c r="M155" t="str">
        <f t="shared" ca="1" si="48"/>
        <v>-</v>
      </c>
      <c r="N155" t="str">
        <f t="shared" ca="1" si="49"/>
        <v>有り</v>
      </c>
      <c r="O155">
        <f t="shared" ca="1" si="50"/>
        <v>912</v>
      </c>
      <c r="R155">
        <f t="shared" ca="1" si="51"/>
        <v>8</v>
      </c>
      <c r="S155">
        <f t="shared" ca="1" si="52"/>
        <v>181</v>
      </c>
      <c r="T155">
        <f t="shared" ca="1" si="53"/>
        <v>1999</v>
      </c>
      <c r="U155">
        <f t="shared" ca="1" si="54"/>
        <v>2007</v>
      </c>
      <c r="V155">
        <f t="shared" ca="1" si="55"/>
        <v>10</v>
      </c>
      <c r="W155">
        <f t="shared" ca="1" si="56"/>
        <v>9</v>
      </c>
    </row>
    <row r="156" spans="1:23">
      <c r="A156" t="s">
        <v>884</v>
      </c>
      <c r="B156" t="str">
        <f t="shared" ca="1" si="38"/>
        <v>朱眾碼</v>
      </c>
      <c r="C156" t="str">
        <f t="shared" ca="1" si="39"/>
        <v>ｼﾞｭｳ ｼﾞｮｰﾝ ﾏｰ</v>
      </c>
      <c r="D156" t="str">
        <f t="shared" ca="1" si="40"/>
        <v>Zhu Zhong Ma</v>
      </c>
      <c r="E156" t="str" cm="1">
        <f t="array" aca="1" ref="E156" ca="1">INDIRECT(ADDRESS(RANDBETWEEN(2,16),7,1,1,"valueBase"))</f>
        <v>男性</v>
      </c>
      <c r="F156" s="5">
        <f t="shared" ca="1" si="41"/>
        <v>28417</v>
      </c>
      <c r="G156" s="5">
        <f t="shared" ca="1" si="42"/>
        <v>39205</v>
      </c>
      <c r="H156" s="5">
        <f t="shared" ca="1" si="43"/>
        <v>40300</v>
      </c>
      <c r="I156" t="str">
        <f t="shared" ca="1" si="44"/>
        <v>080-6456-0218</v>
      </c>
      <c r="J156" t="str">
        <f t="shared" ca="1" si="45"/>
        <v>Zhu_Zhong_Ma_39205@outlook.jp.co</v>
      </c>
      <c r="K156" t="str">
        <f t="shared" ca="1" si="46"/>
        <v>高級</v>
      </c>
      <c r="L156" t="str">
        <f t="shared" ca="1" si="47"/>
        <v>有り</v>
      </c>
      <c r="M156" t="str">
        <f t="shared" ca="1" si="48"/>
        <v>10%</v>
      </c>
      <c r="N156" t="str">
        <f t="shared" ca="1" si="49"/>
        <v>有り</v>
      </c>
      <c r="O156">
        <f t="shared" ca="1" si="50"/>
        <v>778</v>
      </c>
      <c r="R156">
        <f t="shared" ca="1" si="51"/>
        <v>15</v>
      </c>
      <c r="S156">
        <f t="shared" ca="1" si="52"/>
        <v>160</v>
      </c>
      <c r="T156">
        <f t="shared" ca="1" si="53"/>
        <v>1993</v>
      </c>
      <c r="U156">
        <f t="shared" ca="1" si="54"/>
        <v>1995</v>
      </c>
      <c r="V156">
        <f t="shared" ca="1" si="55"/>
        <v>11</v>
      </c>
      <c r="W156">
        <f t="shared" ca="1" si="56"/>
        <v>25</v>
      </c>
    </row>
    <row r="157" spans="1:23">
      <c r="A157" t="s">
        <v>885</v>
      </c>
      <c r="B157" t="str">
        <f t="shared" ca="1" si="38"/>
        <v>朱祖彥</v>
      </c>
      <c r="C157" t="str">
        <f t="shared" ca="1" si="39"/>
        <v>ｼﾞｭｳ ｽﾞｩ ｲｴﾝ</v>
      </c>
      <c r="D157" t="str">
        <f t="shared" ca="1" si="40"/>
        <v>Zhu Zu Yan</v>
      </c>
      <c r="E157" t="str" cm="1">
        <f t="array" aca="1" ref="E157" ca="1">INDIRECT(ADDRESS(RANDBETWEEN(2,16),7,1,1,"valueBase"))</f>
        <v>女性</v>
      </c>
      <c r="F157" s="5">
        <f t="shared" ca="1" si="41"/>
        <v>26165</v>
      </c>
      <c r="G157" s="5">
        <f t="shared" ca="1" si="42"/>
        <v>44934</v>
      </c>
      <c r="H157" s="5">
        <f t="shared" ca="1" si="43"/>
        <v>45664</v>
      </c>
      <c r="I157" t="str">
        <f t="shared" ca="1" si="44"/>
        <v>080-5913-4872</v>
      </c>
      <c r="J157" t="str">
        <f t="shared" ca="1" si="45"/>
        <v>Zhu_Zu_Yan_44934@outlook.jp.co</v>
      </c>
      <c r="K157" t="str">
        <f t="shared" ca="1" si="46"/>
        <v>高級</v>
      </c>
      <c r="L157" t="str">
        <f t="shared" ca="1" si="47"/>
        <v>有り</v>
      </c>
      <c r="M157" t="str">
        <f t="shared" ca="1" si="48"/>
        <v>10%</v>
      </c>
      <c r="N157" t="str">
        <f t="shared" ca="1" si="49"/>
        <v>-</v>
      </c>
      <c r="O157" t="str">
        <f t="shared" ca="1" si="50"/>
        <v>-</v>
      </c>
      <c r="R157">
        <f t="shared" ca="1" si="51"/>
        <v>15</v>
      </c>
      <c r="S157">
        <f t="shared" ca="1" si="52"/>
        <v>224</v>
      </c>
      <c r="T157">
        <f t="shared" ca="1" si="53"/>
        <v>1974</v>
      </c>
      <c r="U157">
        <f t="shared" ca="1" si="54"/>
        <v>1981</v>
      </c>
      <c r="V157">
        <f t="shared" ca="1" si="55"/>
        <v>8</v>
      </c>
      <c r="W157">
        <f t="shared" ca="1" si="56"/>
        <v>28</v>
      </c>
    </row>
    <row r="158" spans="1:23">
      <c r="A158" t="s">
        <v>886</v>
      </c>
      <c r="B158" t="str">
        <f t="shared" ca="1" si="38"/>
        <v>高鋒逸</v>
      </c>
      <c r="C158" t="str">
        <f t="shared" ca="1" si="39"/>
        <v>ｶﾞｵ ﾌｵﾝ ｲｰ</v>
      </c>
      <c r="D158" t="str">
        <f t="shared" ca="1" si="40"/>
        <v>Gao Feng Yi</v>
      </c>
      <c r="E158" t="str" cm="1">
        <f t="array" aca="1" ref="E158" ca="1">INDIRECT(ADDRESS(RANDBETWEEN(2,16),7,1,1,"valueBase"))</f>
        <v>女性</v>
      </c>
      <c r="F158" s="5">
        <f t="shared" ca="1" si="41"/>
        <v>26589</v>
      </c>
      <c r="G158" s="5">
        <f t="shared" ca="1" si="42"/>
        <v>41110</v>
      </c>
      <c r="H158" s="5">
        <f t="shared" ca="1" si="43"/>
        <v>41475</v>
      </c>
      <c r="I158" t="str">
        <f t="shared" ca="1" si="44"/>
        <v>090-7969-5697</v>
      </c>
      <c r="J158" t="str">
        <f t="shared" ca="1" si="45"/>
        <v>Gao_Feng_Yi_41110@outlook.jp.co</v>
      </c>
      <c r="K158" t="str">
        <f t="shared" ca="1" si="46"/>
        <v>普通</v>
      </c>
      <c r="L158" t="str">
        <f t="shared" ca="1" si="47"/>
        <v>有り</v>
      </c>
      <c r="M158" t="str">
        <f t="shared" ca="1" si="48"/>
        <v>5%</v>
      </c>
      <c r="N158" t="str">
        <f t="shared" ca="1" si="49"/>
        <v>有り</v>
      </c>
      <c r="O158">
        <f t="shared" ca="1" si="50"/>
        <v>182</v>
      </c>
      <c r="R158">
        <f t="shared" ca="1" si="51"/>
        <v>16</v>
      </c>
      <c r="S158">
        <f t="shared" ca="1" si="52"/>
        <v>45</v>
      </c>
      <c r="T158">
        <f t="shared" ca="1" si="53"/>
        <v>2003</v>
      </c>
      <c r="U158">
        <f t="shared" ca="1" si="54"/>
        <v>2015</v>
      </c>
      <c r="V158">
        <f t="shared" ca="1" si="55"/>
        <v>10</v>
      </c>
      <c r="W158">
        <f t="shared" ca="1" si="56"/>
        <v>20</v>
      </c>
    </row>
    <row r="159" spans="1:23">
      <c r="A159" t="s">
        <v>887</v>
      </c>
      <c r="B159" t="str">
        <f t="shared" ca="1" si="38"/>
        <v>于聰晨</v>
      </c>
      <c r="C159" t="str">
        <f t="shared" ca="1" si="39"/>
        <v>ﾕｲ ｯｵｰﾝ ﾁｪﾝ</v>
      </c>
      <c r="D159" t="str">
        <f t="shared" ca="1" si="40"/>
        <v>Yu Cong Chen</v>
      </c>
      <c r="E159" t="str" cm="1">
        <f t="array" aca="1" ref="E159" ca="1">INDIRECT(ADDRESS(RANDBETWEEN(2,16),7,1,1,"valueBase"))</f>
        <v>男性</v>
      </c>
      <c r="F159" s="5">
        <f t="shared" ca="1" si="41"/>
        <v>37941</v>
      </c>
      <c r="G159" s="5">
        <f t="shared" ca="1" si="42"/>
        <v>45010</v>
      </c>
      <c r="H159" s="5">
        <f t="shared" ca="1" si="43"/>
        <v>45375</v>
      </c>
      <c r="I159" t="str">
        <f t="shared" ca="1" si="44"/>
        <v>090-2020-0962</v>
      </c>
      <c r="J159" t="str">
        <f t="shared" ca="1" si="45"/>
        <v>Yu_Cong_Chen_45010@outlook.jp.co</v>
      </c>
      <c r="K159" t="str">
        <f t="shared" ca="1" si="46"/>
        <v>普通</v>
      </c>
      <c r="L159" t="str">
        <f t="shared" ca="1" si="47"/>
        <v>有り</v>
      </c>
      <c r="M159" t="str">
        <f t="shared" ca="1" si="48"/>
        <v>5%</v>
      </c>
      <c r="N159" t="str">
        <f t="shared" ca="1" si="49"/>
        <v>-</v>
      </c>
      <c r="O159" t="str">
        <f t="shared" ca="1" si="50"/>
        <v>-</v>
      </c>
      <c r="R159">
        <f t="shared" ca="1" si="51"/>
        <v>29</v>
      </c>
      <c r="S159">
        <f t="shared" ca="1" si="52"/>
        <v>262</v>
      </c>
      <c r="T159">
        <f t="shared" ca="1" si="53"/>
        <v>1983</v>
      </c>
      <c r="U159">
        <f t="shared" ca="1" si="54"/>
        <v>1995</v>
      </c>
      <c r="V159">
        <f t="shared" ca="1" si="55"/>
        <v>4</v>
      </c>
      <c r="W159">
        <f t="shared" ca="1" si="56"/>
        <v>17</v>
      </c>
    </row>
    <row r="160" spans="1:23">
      <c r="A160" t="s">
        <v>888</v>
      </c>
      <c r="B160" t="str">
        <f t="shared" ca="1" si="38"/>
        <v>周光菏</v>
      </c>
      <c r="C160" t="str">
        <f t="shared" ca="1" si="39"/>
        <v>ｼﾞｮｳ ｸﾞﾜｰﾝ ﾎｰｧ</v>
      </c>
      <c r="D160" t="str">
        <f t="shared" ca="1" si="40"/>
        <v>Zhou Guang He</v>
      </c>
      <c r="E160" t="str" cm="1">
        <f t="array" aca="1" ref="E160" ca="1">INDIRECT(ADDRESS(RANDBETWEEN(2,16),7,1,1,"valueBase"))</f>
        <v>女性</v>
      </c>
      <c r="F160" s="5">
        <f t="shared" ca="1" si="41"/>
        <v>30818</v>
      </c>
      <c r="G160" s="5">
        <f t="shared" ca="1" si="42"/>
        <v>41250</v>
      </c>
      <c r="H160" s="5">
        <f t="shared" ca="1" si="43"/>
        <v>42345</v>
      </c>
      <c r="I160" t="str">
        <f t="shared" ca="1" si="44"/>
        <v>080-8475-5530</v>
      </c>
      <c r="J160" t="str">
        <f t="shared" ca="1" si="45"/>
        <v>Zhou_Guang_He_41250@outlook.jp.co</v>
      </c>
      <c r="K160" t="str">
        <f t="shared" ca="1" si="46"/>
        <v>普通</v>
      </c>
      <c r="L160" t="str">
        <f t="shared" ca="1" si="47"/>
        <v>有り</v>
      </c>
      <c r="M160" t="str">
        <f t="shared" ca="1" si="48"/>
        <v>5%</v>
      </c>
      <c r="N160" t="str">
        <f t="shared" ca="1" si="49"/>
        <v>有り</v>
      </c>
      <c r="O160">
        <f t="shared" ca="1" si="50"/>
        <v>134</v>
      </c>
      <c r="R160">
        <f t="shared" ca="1" si="51"/>
        <v>10</v>
      </c>
      <c r="S160">
        <f t="shared" ca="1" si="52"/>
        <v>277</v>
      </c>
      <c r="T160">
        <f t="shared" ca="1" si="53"/>
        <v>1981</v>
      </c>
      <c r="U160">
        <f t="shared" ca="1" si="54"/>
        <v>1989</v>
      </c>
      <c r="V160">
        <f t="shared" ca="1" si="55"/>
        <v>4</v>
      </c>
      <c r="W160">
        <f t="shared" ca="1" si="56"/>
        <v>9</v>
      </c>
    </row>
    <row r="161" spans="1:23">
      <c r="A161" t="s">
        <v>889</v>
      </c>
      <c r="B161" t="str">
        <f t="shared" ca="1" si="38"/>
        <v>馬優遷</v>
      </c>
      <c r="C161" t="str">
        <f t="shared" ca="1" si="39"/>
        <v>ﾏｰ ﾖｳ ﾁｴﾝ</v>
      </c>
      <c r="D161" t="str">
        <f t="shared" ca="1" si="40"/>
        <v>Ma You Qian</v>
      </c>
      <c r="E161" t="str" cm="1">
        <f t="array" aca="1" ref="E161" ca="1">INDIRECT(ADDRESS(RANDBETWEEN(2,16),7,1,1,"valueBase"))</f>
        <v>-</v>
      </c>
      <c r="F161" s="5">
        <f t="shared" ca="1" si="41"/>
        <v>31415</v>
      </c>
      <c r="G161" s="5">
        <f t="shared" ca="1" si="42"/>
        <v>38015</v>
      </c>
      <c r="H161" s="5">
        <f t="shared" ca="1" si="43"/>
        <v>38380</v>
      </c>
      <c r="I161" t="str">
        <f t="shared" ca="1" si="44"/>
        <v>080-9694-2461</v>
      </c>
      <c r="J161" t="str">
        <f t="shared" ca="1" si="45"/>
        <v>Ma_You_Qian_38015@outlook.jp.co</v>
      </c>
      <c r="K161" t="str">
        <f t="shared" ca="1" si="46"/>
        <v>普通</v>
      </c>
      <c r="L161" t="str">
        <f t="shared" ca="1" si="47"/>
        <v>有り</v>
      </c>
      <c r="M161" t="str">
        <f t="shared" ca="1" si="48"/>
        <v>5%</v>
      </c>
      <c r="N161" t="str">
        <f t="shared" ca="1" si="49"/>
        <v>有り</v>
      </c>
      <c r="O161">
        <f t="shared" ca="1" si="50"/>
        <v>887</v>
      </c>
      <c r="R161">
        <f t="shared" ca="1" si="51"/>
        <v>20</v>
      </c>
      <c r="S161">
        <f t="shared" ca="1" si="52"/>
        <v>24</v>
      </c>
      <c r="T161">
        <f t="shared" ca="1" si="53"/>
        <v>1983</v>
      </c>
      <c r="U161">
        <f t="shared" ca="1" si="54"/>
        <v>1993</v>
      </c>
      <c r="V161">
        <f t="shared" ca="1" si="55"/>
        <v>2</v>
      </c>
      <c r="W161">
        <f t="shared" ca="1" si="56"/>
        <v>1</v>
      </c>
    </row>
    <row r="162" spans="1:23">
      <c r="A162" t="s">
        <v>890</v>
      </c>
      <c r="B162" t="str">
        <f t="shared" ca="1" si="38"/>
        <v>林彥臨</v>
      </c>
      <c r="C162" t="str">
        <f t="shared" ca="1" si="39"/>
        <v>ﾘﾝ ｲｴﾝ ﾘﾝ</v>
      </c>
      <c r="D162" t="str">
        <f t="shared" ca="1" si="40"/>
        <v>Lin Yan Lin</v>
      </c>
      <c r="E162" t="str" cm="1">
        <f t="array" aca="1" ref="E162" ca="1">INDIRECT(ADDRESS(RANDBETWEEN(2,16),7,1,1,"valueBase"))</f>
        <v>男性</v>
      </c>
      <c r="F162" s="5">
        <f t="shared" ca="1" si="41"/>
        <v>34670</v>
      </c>
      <c r="G162" s="5">
        <f t="shared" ca="1" si="42"/>
        <v>43094</v>
      </c>
      <c r="H162" s="5">
        <f t="shared" ca="1" si="43"/>
        <v>44189</v>
      </c>
      <c r="I162" t="str">
        <f t="shared" ca="1" si="44"/>
        <v>090-1780-2856</v>
      </c>
      <c r="J162" t="str">
        <f t="shared" ca="1" si="45"/>
        <v>Lin_Yan_Lin_43094@outlook.jp.co</v>
      </c>
      <c r="K162" t="str">
        <f t="shared" ca="1" si="46"/>
        <v>高級</v>
      </c>
      <c r="L162" t="str">
        <f t="shared" ca="1" si="47"/>
        <v>有り</v>
      </c>
      <c r="M162" t="str">
        <f t="shared" ca="1" si="48"/>
        <v>10%</v>
      </c>
      <c r="N162" t="str">
        <f t="shared" ca="1" si="49"/>
        <v>-</v>
      </c>
      <c r="O162" t="str">
        <f t="shared" ca="1" si="50"/>
        <v>-</v>
      </c>
      <c r="R162">
        <f t="shared" ca="1" si="51"/>
        <v>17</v>
      </c>
      <c r="S162">
        <f t="shared" ca="1" si="52"/>
        <v>12</v>
      </c>
      <c r="T162">
        <f t="shared" ca="1" si="53"/>
        <v>2002</v>
      </c>
      <c r="U162">
        <f t="shared" ca="1" si="54"/>
        <v>2005</v>
      </c>
      <c r="V162">
        <f t="shared" ca="1" si="55"/>
        <v>2</v>
      </c>
      <c r="W162">
        <f t="shared" ca="1" si="56"/>
        <v>12</v>
      </c>
    </row>
    <row r="163" spans="1:23">
      <c r="A163" t="s">
        <v>891</v>
      </c>
      <c r="B163" t="str">
        <f t="shared" ca="1" si="38"/>
        <v>馮哲巧</v>
      </c>
      <c r="C163" t="str">
        <f t="shared" ca="1" si="39"/>
        <v>ﾌｵﾝ ｼﾞｮｰｧ ﾁﾔｵ</v>
      </c>
      <c r="D163" t="str">
        <f t="shared" ca="1" si="40"/>
        <v>Feng Zhe Qiao</v>
      </c>
      <c r="E163" t="str" cm="1">
        <f t="array" aca="1" ref="E163" ca="1">INDIRECT(ADDRESS(RANDBETWEEN(2,16),7,1,1,"valueBase"))</f>
        <v>女性</v>
      </c>
      <c r="F163" s="5">
        <f t="shared" ca="1" si="41"/>
        <v>36924</v>
      </c>
      <c r="G163" s="5">
        <f t="shared" ca="1" si="42"/>
        <v>43992</v>
      </c>
      <c r="H163" s="5">
        <f t="shared" ca="1" si="43"/>
        <v>45087</v>
      </c>
      <c r="I163" t="str">
        <f t="shared" ca="1" si="44"/>
        <v>090-8955-4333</v>
      </c>
      <c r="J163" t="str">
        <f t="shared" ca="1" si="45"/>
        <v>Feng_Zhe_Qiao_43992@outlook.jp.co</v>
      </c>
      <c r="K163" t="str">
        <f t="shared" ca="1" si="46"/>
        <v>高級</v>
      </c>
      <c r="L163" t="str">
        <f t="shared" ca="1" si="47"/>
        <v>有り</v>
      </c>
      <c r="M163" t="str">
        <f t="shared" ca="1" si="48"/>
        <v>10%</v>
      </c>
      <c r="N163" t="str">
        <f t="shared" ca="1" si="49"/>
        <v>-</v>
      </c>
      <c r="O163" t="str">
        <f t="shared" ca="1" si="50"/>
        <v>-</v>
      </c>
      <c r="R163">
        <f t="shared" ca="1" si="51"/>
        <v>28</v>
      </c>
      <c r="S163">
        <f t="shared" ca="1" si="52"/>
        <v>281</v>
      </c>
      <c r="T163">
        <f t="shared" ca="1" si="53"/>
        <v>1972</v>
      </c>
      <c r="U163">
        <f t="shared" ca="1" si="54"/>
        <v>1975</v>
      </c>
      <c r="V163">
        <f t="shared" ca="1" si="55"/>
        <v>3</v>
      </c>
      <c r="W163">
        <f t="shared" ca="1" si="56"/>
        <v>19</v>
      </c>
    </row>
    <row r="164" spans="1:23">
      <c r="A164" t="s">
        <v>892</v>
      </c>
      <c r="B164" t="str">
        <f t="shared" ca="1" si="38"/>
        <v>朱巍竹</v>
      </c>
      <c r="C164" t="str">
        <f t="shared" ca="1" si="39"/>
        <v>ｼﾞｭｳ ｳｴｲ ｼﾞｭｳ</v>
      </c>
      <c r="D164" t="str">
        <f t="shared" ca="1" si="40"/>
        <v>Zhu Wei Zhu</v>
      </c>
      <c r="E164" t="str" cm="1">
        <f t="array" aca="1" ref="E164" ca="1">INDIRECT(ADDRESS(RANDBETWEEN(2,16),7,1,1,"valueBase"))</f>
        <v>男性</v>
      </c>
      <c r="F164" s="5">
        <f t="shared" ca="1" si="41"/>
        <v>22043</v>
      </c>
      <c r="G164" s="5">
        <f t="shared" ca="1" si="42"/>
        <v>28671</v>
      </c>
      <c r="H164" s="5">
        <f t="shared" ca="1" si="43"/>
        <v>29036</v>
      </c>
      <c r="I164" t="str">
        <f t="shared" ca="1" si="44"/>
        <v>090-8857-6223</v>
      </c>
      <c r="J164" t="str">
        <f t="shared" ca="1" si="45"/>
        <v>Zhu_Wei_Zhu_28671@outlook.jp.co</v>
      </c>
      <c r="K164" t="str">
        <f t="shared" ca="1" si="46"/>
        <v>普通</v>
      </c>
      <c r="L164" t="str">
        <f t="shared" ca="1" si="47"/>
        <v>-</v>
      </c>
      <c r="M164" t="str">
        <f t="shared" ca="1" si="48"/>
        <v>-</v>
      </c>
      <c r="N164" t="str">
        <f t="shared" ca="1" si="49"/>
        <v>有り</v>
      </c>
      <c r="O164">
        <f t="shared" ca="1" si="50"/>
        <v>3</v>
      </c>
      <c r="R164">
        <f t="shared" ca="1" si="51"/>
        <v>15</v>
      </c>
      <c r="S164">
        <f t="shared" ca="1" si="52"/>
        <v>238</v>
      </c>
      <c r="T164">
        <f t="shared" ca="1" si="53"/>
        <v>1972</v>
      </c>
      <c r="U164">
        <f t="shared" ca="1" si="54"/>
        <v>1982</v>
      </c>
      <c r="V164">
        <f t="shared" ca="1" si="55"/>
        <v>3</v>
      </c>
      <c r="W164">
        <f t="shared" ca="1" si="56"/>
        <v>1</v>
      </c>
    </row>
    <row r="165" spans="1:23">
      <c r="A165" t="s">
        <v>893</v>
      </c>
      <c r="B165" t="str">
        <f t="shared" ca="1" si="38"/>
        <v>林彥達</v>
      </c>
      <c r="C165" t="str">
        <f t="shared" ca="1" si="39"/>
        <v>ﾘﾝ ｲｴﾝ ﾀﾞｰ</v>
      </c>
      <c r="D165" t="str">
        <f t="shared" ca="1" si="40"/>
        <v>Lin Yan Da</v>
      </c>
      <c r="E165" t="str" cm="1">
        <f t="array" aca="1" ref="E165" ca="1">INDIRECT(ADDRESS(RANDBETWEEN(2,16),7,1,1,"valueBase"))</f>
        <v>女性</v>
      </c>
      <c r="F165" s="5">
        <f t="shared" ca="1" si="41"/>
        <v>25815</v>
      </c>
      <c r="G165" s="5">
        <f t="shared" ca="1" si="42"/>
        <v>43826</v>
      </c>
      <c r="H165" s="5">
        <f t="shared" ca="1" si="43"/>
        <v>44556</v>
      </c>
      <c r="I165" t="str">
        <f t="shared" ca="1" si="44"/>
        <v>080-3236-9116</v>
      </c>
      <c r="J165" t="str">
        <f t="shared" ca="1" si="45"/>
        <v>Lin_Yan_Da_43826@outlook.jp.co</v>
      </c>
      <c r="K165" t="str">
        <f t="shared" ca="1" si="46"/>
        <v>普通</v>
      </c>
      <c r="L165" t="str">
        <f t="shared" ca="1" si="47"/>
        <v>有り</v>
      </c>
      <c r="M165" t="str">
        <f t="shared" ca="1" si="48"/>
        <v>5%</v>
      </c>
      <c r="N165" t="str">
        <f t="shared" ca="1" si="49"/>
        <v>有り</v>
      </c>
      <c r="O165">
        <f t="shared" ca="1" si="50"/>
        <v>576</v>
      </c>
      <c r="R165">
        <f t="shared" ca="1" si="51"/>
        <v>17</v>
      </c>
      <c r="S165">
        <f t="shared" ca="1" si="52"/>
        <v>312</v>
      </c>
      <c r="T165">
        <f t="shared" ca="1" si="53"/>
        <v>1975</v>
      </c>
      <c r="U165">
        <f t="shared" ca="1" si="54"/>
        <v>1981</v>
      </c>
      <c r="V165">
        <f t="shared" ca="1" si="55"/>
        <v>3</v>
      </c>
      <c r="W165">
        <f t="shared" ca="1" si="56"/>
        <v>2</v>
      </c>
    </row>
    <row r="166" spans="1:23">
      <c r="A166" t="s">
        <v>894</v>
      </c>
      <c r="B166" t="str">
        <f t="shared" ca="1" si="38"/>
        <v>朱忠本</v>
      </c>
      <c r="C166" t="str">
        <f t="shared" ca="1" si="39"/>
        <v>ｼﾞｭｳ ｼﾞｮｰﾝ ﾍﾞﾝ</v>
      </c>
      <c r="D166" t="str">
        <f t="shared" ca="1" si="40"/>
        <v>Zhu Zhong Ben</v>
      </c>
      <c r="E166" t="str" cm="1">
        <f t="array" aca="1" ref="E166" ca="1">INDIRECT(ADDRESS(RANDBETWEEN(2,16),7,1,1,"valueBase"))</f>
        <v>女性</v>
      </c>
      <c r="F166" s="5">
        <f t="shared" ca="1" si="41"/>
        <v>23617</v>
      </c>
      <c r="G166" s="5">
        <f t="shared" ca="1" si="42"/>
        <v>42064</v>
      </c>
      <c r="H166" s="5">
        <f t="shared" ca="1" si="43"/>
        <v>43159</v>
      </c>
      <c r="I166" t="str">
        <f t="shared" ca="1" si="44"/>
        <v>090-6528-7090</v>
      </c>
      <c r="J166" t="str">
        <f t="shared" ca="1" si="45"/>
        <v>Zhu_Zhong_Ben_42064@outlook.jp.co</v>
      </c>
      <c r="K166" t="str">
        <f t="shared" ca="1" si="46"/>
        <v>普通</v>
      </c>
      <c r="L166" t="str">
        <f t="shared" ca="1" si="47"/>
        <v>有り</v>
      </c>
      <c r="M166" t="str">
        <f t="shared" ca="1" si="48"/>
        <v>5%</v>
      </c>
      <c r="N166" t="str">
        <f t="shared" ca="1" si="49"/>
        <v>有り</v>
      </c>
      <c r="O166">
        <f t="shared" ca="1" si="50"/>
        <v>182</v>
      </c>
      <c r="R166">
        <f t="shared" ca="1" si="51"/>
        <v>15</v>
      </c>
      <c r="S166">
        <f t="shared" ca="1" si="52"/>
        <v>212</v>
      </c>
      <c r="T166">
        <f t="shared" ca="1" si="53"/>
        <v>2005</v>
      </c>
      <c r="U166">
        <f t="shared" ca="1" si="54"/>
        <v>2015</v>
      </c>
      <c r="V166">
        <f t="shared" ca="1" si="55"/>
        <v>7</v>
      </c>
      <c r="W166">
        <f t="shared" ca="1" si="56"/>
        <v>26</v>
      </c>
    </row>
    <row r="167" spans="1:23">
      <c r="A167" t="s">
        <v>895</v>
      </c>
      <c r="B167" t="str">
        <f t="shared" ca="1" si="38"/>
        <v>唐影真</v>
      </c>
      <c r="C167" t="str">
        <f t="shared" ca="1" si="39"/>
        <v>ﾀｰﾝ ｲｰﾝ ｼﾞｪﾝ</v>
      </c>
      <c r="D167" t="str">
        <f t="shared" ca="1" si="40"/>
        <v>Tang Ying Zhen</v>
      </c>
      <c r="E167" t="str" cm="1">
        <f t="array" aca="1" ref="E167" ca="1">INDIRECT(ADDRESS(RANDBETWEEN(2,16),7,1,1,"valueBase"))</f>
        <v>男性</v>
      </c>
      <c r="F167" s="5">
        <f t="shared" ca="1" si="41"/>
        <v>31057</v>
      </c>
      <c r="G167" s="5">
        <f t="shared" ca="1" si="42"/>
        <v>38140</v>
      </c>
      <c r="H167" s="5">
        <f t="shared" ca="1" si="43"/>
        <v>38870</v>
      </c>
      <c r="I167" t="str">
        <f t="shared" ca="1" si="44"/>
        <v>080-3372-9286</v>
      </c>
      <c r="J167" t="str">
        <f t="shared" ca="1" si="45"/>
        <v>Tang_Ying_Zhen_38140@outlook.jp.co</v>
      </c>
      <c r="K167" t="str">
        <f t="shared" ca="1" si="46"/>
        <v>普通</v>
      </c>
      <c r="L167" t="str">
        <f t="shared" ca="1" si="47"/>
        <v>-</v>
      </c>
      <c r="M167" t="str">
        <f t="shared" ca="1" si="48"/>
        <v>-</v>
      </c>
      <c r="N167" t="str">
        <f t="shared" ca="1" si="49"/>
        <v>-</v>
      </c>
      <c r="O167" t="str">
        <f t="shared" ca="1" si="50"/>
        <v>-</v>
      </c>
      <c r="R167">
        <f t="shared" ca="1" si="51"/>
        <v>27</v>
      </c>
      <c r="S167">
        <f t="shared" ca="1" si="52"/>
        <v>140</v>
      </c>
      <c r="T167">
        <f t="shared" ca="1" si="53"/>
        <v>1970</v>
      </c>
      <c r="U167">
        <f t="shared" ca="1" si="54"/>
        <v>1974</v>
      </c>
      <c r="V167">
        <f t="shared" ca="1" si="55"/>
        <v>6</v>
      </c>
      <c r="W167">
        <f t="shared" ca="1" si="56"/>
        <v>5</v>
      </c>
    </row>
    <row r="168" spans="1:23">
      <c r="A168" t="s">
        <v>896</v>
      </c>
      <c r="B168" t="str">
        <f t="shared" ca="1" si="38"/>
        <v>孫厚道</v>
      </c>
      <c r="C168" t="str">
        <f t="shared" ca="1" si="39"/>
        <v>ｽｩﾝ ﾎｳ ﾀﾞｵ</v>
      </c>
      <c r="D168" t="str">
        <f t="shared" ca="1" si="40"/>
        <v>Sun Hou Dao</v>
      </c>
      <c r="E168" t="str" cm="1">
        <f t="array" aca="1" ref="E168" ca="1">INDIRECT(ADDRESS(RANDBETWEEN(2,16),7,1,1,"valueBase"))</f>
        <v>男性</v>
      </c>
      <c r="F168" s="5">
        <f t="shared" ca="1" si="41"/>
        <v>29172</v>
      </c>
      <c r="G168" s="5">
        <f t="shared" ca="1" si="42"/>
        <v>43142</v>
      </c>
      <c r="H168" s="5">
        <f t="shared" ca="1" si="43"/>
        <v>44237</v>
      </c>
      <c r="I168" t="str">
        <f t="shared" ca="1" si="44"/>
        <v>080-8571-4097</v>
      </c>
      <c r="J168" t="str">
        <f t="shared" ca="1" si="45"/>
        <v>Sun_Hou_Dao_43142@outlook.jp.co</v>
      </c>
      <c r="K168" t="str">
        <f t="shared" ca="1" si="46"/>
        <v>普通</v>
      </c>
      <c r="L168" t="str">
        <f t="shared" ca="1" si="47"/>
        <v>有り</v>
      </c>
      <c r="M168" t="str">
        <f t="shared" ca="1" si="48"/>
        <v>5%</v>
      </c>
      <c r="N168" t="str">
        <f t="shared" ca="1" si="49"/>
        <v>有り</v>
      </c>
      <c r="O168">
        <f t="shared" ca="1" si="50"/>
        <v>515</v>
      </c>
      <c r="R168">
        <f t="shared" ca="1" si="51"/>
        <v>13</v>
      </c>
      <c r="S168">
        <f t="shared" ca="1" si="52"/>
        <v>302</v>
      </c>
      <c r="T168">
        <f t="shared" ca="1" si="53"/>
        <v>1990</v>
      </c>
      <c r="U168">
        <f t="shared" ca="1" si="54"/>
        <v>1993</v>
      </c>
      <c r="V168">
        <f t="shared" ca="1" si="55"/>
        <v>2</v>
      </c>
      <c r="W168">
        <f t="shared" ca="1" si="56"/>
        <v>24</v>
      </c>
    </row>
    <row r="169" spans="1:23">
      <c r="A169" t="s">
        <v>897</v>
      </c>
      <c r="B169" t="str">
        <f t="shared" ca="1" si="38"/>
        <v>徐輝駿</v>
      </c>
      <c r="C169" t="str">
        <f t="shared" ca="1" si="39"/>
        <v>ｼｭｲ ﾎｩｲ ｼﾞｭｲﾝ</v>
      </c>
      <c r="D169" t="str">
        <f t="shared" ca="1" si="40"/>
        <v>Xu Hui Jun</v>
      </c>
      <c r="E169" t="str" cm="1">
        <f t="array" aca="1" ref="E169" ca="1">INDIRECT(ADDRESS(RANDBETWEEN(2,16),7,1,1,"valueBase"))</f>
        <v>男性</v>
      </c>
      <c r="F169" s="5">
        <f t="shared" ca="1" si="41"/>
        <v>29644</v>
      </c>
      <c r="G169" s="5">
        <f t="shared" ca="1" si="42"/>
        <v>40084</v>
      </c>
      <c r="H169" s="5">
        <f t="shared" ca="1" si="43"/>
        <v>40449</v>
      </c>
      <c r="I169" t="str">
        <f t="shared" ca="1" si="44"/>
        <v>080-5766-4370</v>
      </c>
      <c r="J169" t="str">
        <f t="shared" ca="1" si="45"/>
        <v>Xu_Hui_Jun_40084@outlook.jp.co</v>
      </c>
      <c r="K169" t="str">
        <f t="shared" ca="1" si="46"/>
        <v>高級</v>
      </c>
      <c r="L169" t="str">
        <f t="shared" ca="1" si="47"/>
        <v>有り</v>
      </c>
      <c r="M169" t="str">
        <f t="shared" ca="1" si="48"/>
        <v>10%</v>
      </c>
      <c r="N169" t="str">
        <f t="shared" ca="1" si="49"/>
        <v>-</v>
      </c>
      <c r="O169" t="str">
        <f t="shared" ca="1" si="50"/>
        <v>-</v>
      </c>
      <c r="R169">
        <f t="shared" ca="1" si="51"/>
        <v>12</v>
      </c>
      <c r="S169">
        <f t="shared" ca="1" si="52"/>
        <v>73</v>
      </c>
      <c r="T169">
        <f t="shared" ca="1" si="53"/>
        <v>1999</v>
      </c>
      <c r="U169">
        <f t="shared" ca="1" si="54"/>
        <v>2009</v>
      </c>
      <c r="V169">
        <f t="shared" ca="1" si="55"/>
        <v>12</v>
      </c>
      <c r="W169">
        <f t="shared" ca="1" si="56"/>
        <v>23</v>
      </c>
    </row>
    <row r="170" spans="1:23">
      <c r="A170" t="s">
        <v>898</v>
      </c>
      <c r="B170" t="str">
        <f t="shared" ca="1" si="38"/>
        <v>韓旋衡</v>
      </c>
      <c r="C170" t="str">
        <f t="shared" ca="1" si="39"/>
        <v>ﾊﾝ ｼｭｴﾝ ﾎｩｵﾝ</v>
      </c>
      <c r="D170" t="str">
        <f t="shared" ca="1" si="40"/>
        <v>Han Xuan Heng</v>
      </c>
      <c r="E170" t="str" cm="1">
        <f t="array" aca="1" ref="E170" ca="1">INDIRECT(ADDRESS(RANDBETWEEN(2,16),7,1,1,"valueBase"))</f>
        <v>女性</v>
      </c>
      <c r="F170" s="5">
        <f t="shared" ca="1" si="41"/>
        <v>30599</v>
      </c>
      <c r="G170" s="5">
        <f t="shared" ca="1" si="42"/>
        <v>43485</v>
      </c>
      <c r="H170" s="5">
        <f t="shared" ca="1" si="43"/>
        <v>44580</v>
      </c>
      <c r="I170" t="str">
        <f t="shared" ca="1" si="44"/>
        <v>090-7357-4938</v>
      </c>
      <c r="J170" t="str">
        <f t="shared" ca="1" si="45"/>
        <v>Han_Xuan_Heng_43485@outlook.jp.co</v>
      </c>
      <c r="K170" t="str">
        <f t="shared" ca="1" si="46"/>
        <v>普通</v>
      </c>
      <c r="L170" t="str">
        <f t="shared" ca="1" si="47"/>
        <v>有り</v>
      </c>
      <c r="M170" t="str">
        <f t="shared" ca="1" si="48"/>
        <v>5%</v>
      </c>
      <c r="N170" t="str">
        <f t="shared" ca="1" si="49"/>
        <v>有り</v>
      </c>
      <c r="O170">
        <f t="shared" ca="1" si="50"/>
        <v>362</v>
      </c>
      <c r="R170">
        <f t="shared" ca="1" si="51"/>
        <v>26</v>
      </c>
      <c r="S170">
        <f t="shared" ca="1" si="52"/>
        <v>232</v>
      </c>
      <c r="T170">
        <f t="shared" ca="1" si="53"/>
        <v>2001</v>
      </c>
      <c r="U170">
        <f t="shared" ca="1" si="54"/>
        <v>2004</v>
      </c>
      <c r="V170">
        <f t="shared" ca="1" si="55"/>
        <v>12</v>
      </c>
      <c r="W170">
        <f t="shared" ca="1" si="56"/>
        <v>31</v>
      </c>
    </row>
    <row r="171" spans="1:23">
      <c r="A171" t="s">
        <v>899</v>
      </c>
      <c r="B171" t="str">
        <f t="shared" ca="1" si="38"/>
        <v>鄭依思</v>
      </c>
      <c r="C171" t="str">
        <f t="shared" ca="1" si="39"/>
        <v>ｼﾞｭﾖﾝ ｲｰ ｽｰ</v>
      </c>
      <c r="D171" t="str">
        <f t="shared" ca="1" si="40"/>
        <v>Zheng Yi Si</v>
      </c>
      <c r="E171" t="str" cm="1">
        <f t="array" aca="1" ref="E171" ca="1">INDIRECT(ADDRESS(RANDBETWEEN(2,16),7,1,1,"valueBase"))</f>
        <v>女性</v>
      </c>
      <c r="F171" s="5">
        <f t="shared" ca="1" si="41"/>
        <v>34724</v>
      </c>
      <c r="G171" s="5">
        <f t="shared" ca="1" si="42"/>
        <v>44584</v>
      </c>
      <c r="H171" s="5">
        <f t="shared" ca="1" si="43"/>
        <v>45314</v>
      </c>
      <c r="I171" t="str">
        <f t="shared" ca="1" si="44"/>
        <v>080-8722-6575</v>
      </c>
      <c r="J171" t="str">
        <f t="shared" ca="1" si="45"/>
        <v>Zheng_Yi_Si_44584@outlook.jp.co</v>
      </c>
      <c r="K171" t="str">
        <f t="shared" ca="1" si="46"/>
        <v>普通</v>
      </c>
      <c r="L171" t="str">
        <f t="shared" ca="1" si="47"/>
        <v>-</v>
      </c>
      <c r="M171" t="str">
        <f t="shared" ca="1" si="48"/>
        <v>-</v>
      </c>
      <c r="N171" t="str">
        <f t="shared" ca="1" si="49"/>
        <v>有り</v>
      </c>
      <c r="O171">
        <f t="shared" ca="1" si="50"/>
        <v>614</v>
      </c>
      <c r="R171">
        <f t="shared" ca="1" si="51"/>
        <v>24</v>
      </c>
      <c r="S171">
        <f t="shared" ca="1" si="52"/>
        <v>285</v>
      </c>
      <c r="T171">
        <f t="shared" ca="1" si="53"/>
        <v>1970</v>
      </c>
      <c r="U171">
        <f t="shared" ca="1" si="54"/>
        <v>1981</v>
      </c>
      <c r="V171">
        <f t="shared" ca="1" si="55"/>
        <v>2</v>
      </c>
      <c r="W171">
        <f t="shared" ca="1" si="56"/>
        <v>18</v>
      </c>
    </row>
    <row r="172" spans="1:23">
      <c r="A172" t="s">
        <v>900</v>
      </c>
      <c r="B172" t="str">
        <f t="shared" ca="1" si="38"/>
        <v>周影真</v>
      </c>
      <c r="C172" t="str">
        <f t="shared" ca="1" si="39"/>
        <v>ｼﾞｮｳ ｲｰﾝ ｼﾞｪﾝ</v>
      </c>
      <c r="D172" t="str">
        <f t="shared" ca="1" si="40"/>
        <v>Zhou Ying Zhen</v>
      </c>
      <c r="E172" t="str" cm="1">
        <f t="array" aca="1" ref="E172" ca="1">INDIRECT(ADDRESS(RANDBETWEEN(2,16),7,1,1,"valueBase"))</f>
        <v>男性</v>
      </c>
      <c r="F172" s="5">
        <f t="shared" ca="1" si="41"/>
        <v>25270</v>
      </c>
      <c r="G172" s="5">
        <f t="shared" ca="1" si="42"/>
        <v>40285</v>
      </c>
      <c r="H172" s="5">
        <f t="shared" ca="1" si="43"/>
        <v>41015</v>
      </c>
      <c r="I172" t="str">
        <f t="shared" ca="1" si="44"/>
        <v>080-9004-8445</v>
      </c>
      <c r="J172" t="str">
        <f t="shared" ca="1" si="45"/>
        <v>Zhou_Ying_Zhen_40285@outlook.jp.co</v>
      </c>
      <c r="K172" t="str">
        <f t="shared" ca="1" si="46"/>
        <v>普通</v>
      </c>
      <c r="L172" t="str">
        <f t="shared" ca="1" si="47"/>
        <v>有り</v>
      </c>
      <c r="M172" t="str">
        <f t="shared" ca="1" si="48"/>
        <v>5%</v>
      </c>
      <c r="N172" t="str">
        <f t="shared" ca="1" si="49"/>
        <v>有り</v>
      </c>
      <c r="O172">
        <f t="shared" ca="1" si="50"/>
        <v>958</v>
      </c>
      <c r="R172">
        <f t="shared" ca="1" si="51"/>
        <v>10</v>
      </c>
      <c r="S172">
        <f t="shared" ca="1" si="52"/>
        <v>140</v>
      </c>
      <c r="T172">
        <f t="shared" ca="1" si="53"/>
        <v>1990</v>
      </c>
      <c r="U172">
        <f t="shared" ca="1" si="54"/>
        <v>1995</v>
      </c>
      <c r="V172">
        <f t="shared" ca="1" si="55"/>
        <v>6</v>
      </c>
      <c r="W172">
        <f t="shared" ca="1" si="56"/>
        <v>19</v>
      </c>
    </row>
    <row r="173" spans="1:23">
      <c r="A173" t="s">
        <v>901</v>
      </c>
      <c r="B173" t="str">
        <f t="shared" ca="1" si="38"/>
        <v>吳維繼</v>
      </c>
      <c r="C173" t="str">
        <f t="shared" ca="1" si="39"/>
        <v>ｳｰ ｳｴｲ ｼﾞｰ</v>
      </c>
      <c r="D173" t="str">
        <f t="shared" ca="1" si="40"/>
        <v>Wu Wei Ji</v>
      </c>
      <c r="E173" t="str" cm="1">
        <f t="array" aca="1" ref="E173" ca="1">INDIRECT(ADDRESS(RANDBETWEEN(2,16),7,1,1,"valueBase"))</f>
        <v>男性</v>
      </c>
      <c r="F173" s="5">
        <f t="shared" ca="1" si="41"/>
        <v>34619</v>
      </c>
      <c r="G173" s="5">
        <f t="shared" ca="1" si="42"/>
        <v>42495</v>
      </c>
      <c r="H173" s="5">
        <f t="shared" ca="1" si="43"/>
        <v>43590</v>
      </c>
      <c r="I173" t="str">
        <f t="shared" ca="1" si="44"/>
        <v>080-9889-8681</v>
      </c>
      <c r="J173" t="str">
        <f t="shared" ca="1" si="45"/>
        <v>Wu_Wei_Ji_42495@outlook.jp.co</v>
      </c>
      <c r="K173" t="str">
        <f t="shared" ca="1" si="46"/>
        <v>高級</v>
      </c>
      <c r="L173" t="str">
        <f t="shared" ca="1" si="47"/>
        <v>-</v>
      </c>
      <c r="M173" t="str">
        <f t="shared" ca="1" si="48"/>
        <v>-</v>
      </c>
      <c r="N173" t="str">
        <f t="shared" ca="1" si="49"/>
        <v>有り</v>
      </c>
      <c r="O173">
        <f t="shared" ca="1" si="50"/>
        <v>427</v>
      </c>
      <c r="R173">
        <f t="shared" ca="1" si="51"/>
        <v>11</v>
      </c>
      <c r="S173">
        <f t="shared" ca="1" si="52"/>
        <v>330</v>
      </c>
      <c r="T173">
        <f t="shared" ca="1" si="53"/>
        <v>2000</v>
      </c>
      <c r="U173">
        <f t="shared" ca="1" si="54"/>
        <v>2001</v>
      </c>
      <c r="V173">
        <f t="shared" ca="1" si="55"/>
        <v>3</v>
      </c>
      <c r="W173">
        <f t="shared" ca="1" si="56"/>
        <v>8</v>
      </c>
    </row>
    <row r="174" spans="1:23">
      <c r="A174" t="s">
        <v>902</v>
      </c>
      <c r="B174" t="str">
        <f t="shared" ca="1" si="38"/>
        <v>羅略連</v>
      </c>
      <c r="C174" t="str">
        <f t="shared" ca="1" si="39"/>
        <v>ﾙｵ lüe ﾘｴﾝ</v>
      </c>
      <c r="D174" t="str">
        <f t="shared" ca="1" si="40"/>
        <v>Luo Lüe Lian</v>
      </c>
      <c r="E174" t="str" cm="1">
        <f t="array" aca="1" ref="E174" ca="1">INDIRECT(ADDRESS(RANDBETWEEN(2,16),7,1,1,"valueBase"))</f>
        <v>男性</v>
      </c>
      <c r="F174" s="5">
        <f t="shared" ca="1" si="41"/>
        <v>29837</v>
      </c>
      <c r="G174" s="5">
        <f t="shared" ca="1" si="42"/>
        <v>37551</v>
      </c>
      <c r="H174" s="5">
        <f t="shared" ca="1" si="43"/>
        <v>38646</v>
      </c>
      <c r="I174" t="str">
        <f t="shared" ca="1" si="44"/>
        <v>090-4659-5616</v>
      </c>
      <c r="J174" t="str">
        <f t="shared" ca="1" si="45"/>
        <v>Luo_Lüe_Lian_37551@outlook.jp.co</v>
      </c>
      <c r="K174" t="str">
        <f t="shared" ca="1" si="46"/>
        <v>普通</v>
      </c>
      <c r="L174" t="str">
        <f t="shared" ca="1" si="47"/>
        <v>有り</v>
      </c>
      <c r="M174" t="str">
        <f t="shared" ca="1" si="48"/>
        <v>5%</v>
      </c>
      <c r="N174" t="str">
        <f t="shared" ca="1" si="49"/>
        <v>有り</v>
      </c>
      <c r="O174">
        <f t="shared" ca="1" si="50"/>
        <v>47</v>
      </c>
      <c r="R174">
        <f t="shared" ca="1" si="51"/>
        <v>21</v>
      </c>
      <c r="S174">
        <f t="shared" ca="1" si="52"/>
        <v>135</v>
      </c>
      <c r="T174">
        <f t="shared" ca="1" si="53"/>
        <v>1972</v>
      </c>
      <c r="U174">
        <f t="shared" ca="1" si="54"/>
        <v>1982</v>
      </c>
      <c r="V174">
        <f t="shared" ca="1" si="55"/>
        <v>7</v>
      </c>
      <c r="W174">
        <f t="shared" ca="1" si="56"/>
        <v>20</v>
      </c>
    </row>
    <row r="175" spans="1:23">
      <c r="A175" t="s">
        <v>903</v>
      </c>
      <c r="B175" t="str">
        <f t="shared" ca="1" si="38"/>
        <v>胡皓浚</v>
      </c>
      <c r="C175" t="str">
        <f t="shared" ca="1" si="39"/>
        <v>ﾎｩ ﾊｵ ｼﾞｭｲﾝ</v>
      </c>
      <c r="D175" t="str">
        <f t="shared" ca="1" si="40"/>
        <v>Hu Hao Jun</v>
      </c>
      <c r="E175" t="str" cm="1">
        <f t="array" aca="1" ref="E175" ca="1">INDIRECT(ADDRESS(RANDBETWEEN(2,16),7,1,1,"valueBase"))</f>
        <v>女性</v>
      </c>
      <c r="F175" s="5">
        <f t="shared" ca="1" si="41"/>
        <v>30816</v>
      </c>
      <c r="G175" s="5">
        <f t="shared" ca="1" si="42"/>
        <v>45232</v>
      </c>
      <c r="H175" s="5">
        <f t="shared" ca="1" si="43"/>
        <v>46327</v>
      </c>
      <c r="I175" t="str">
        <f t="shared" ca="1" si="44"/>
        <v>080-3176-0625</v>
      </c>
      <c r="J175" t="str">
        <f t="shared" ca="1" si="45"/>
        <v>Hu_Hao Jun_45232@outlook.jp.co</v>
      </c>
      <c r="K175" t="str">
        <f t="shared" ca="1" si="46"/>
        <v>高級</v>
      </c>
      <c r="L175" t="str">
        <f t="shared" ca="1" si="47"/>
        <v>-</v>
      </c>
      <c r="M175" t="str">
        <f t="shared" ca="1" si="48"/>
        <v>-</v>
      </c>
      <c r="N175" t="str">
        <f t="shared" ca="1" si="49"/>
        <v>有り</v>
      </c>
      <c r="O175">
        <f t="shared" ca="1" si="50"/>
        <v>616</v>
      </c>
      <c r="R175">
        <f t="shared" ca="1" si="51"/>
        <v>14</v>
      </c>
      <c r="S175">
        <f t="shared" ca="1" si="52"/>
        <v>320</v>
      </c>
      <c r="T175">
        <f t="shared" ca="1" si="53"/>
        <v>2008</v>
      </c>
      <c r="U175">
        <f t="shared" ca="1" si="54"/>
        <v>2019</v>
      </c>
      <c r="V175">
        <f t="shared" ca="1" si="55"/>
        <v>3</v>
      </c>
      <c r="W175">
        <f t="shared" ca="1" si="56"/>
        <v>27</v>
      </c>
    </row>
    <row r="176" spans="1:23">
      <c r="A176" t="s">
        <v>904</v>
      </c>
      <c r="B176" t="str">
        <f t="shared" ca="1" si="38"/>
        <v>王潤頓</v>
      </c>
      <c r="C176" t="str">
        <f t="shared" ca="1" si="39"/>
        <v>ﾜｰﾝ ｩﾙﾝ ﾄﾞｩﾝ</v>
      </c>
      <c r="D176" t="str">
        <f t="shared" ca="1" si="40"/>
        <v>Wang Run Dun</v>
      </c>
      <c r="E176" t="str" cm="1">
        <f t="array" aca="1" ref="E176" ca="1">INDIRECT(ADDRESS(RANDBETWEEN(2,16),7,1,1,"valueBase"))</f>
        <v>男性</v>
      </c>
      <c r="F176" s="5">
        <f t="shared" ca="1" si="41"/>
        <v>37163</v>
      </c>
      <c r="G176" s="5">
        <f t="shared" ca="1" si="42"/>
        <v>43889</v>
      </c>
      <c r="H176" s="5">
        <f t="shared" ca="1" si="43"/>
        <v>44619</v>
      </c>
      <c r="I176" t="str">
        <f t="shared" ca="1" si="44"/>
        <v>090-5262-1690</v>
      </c>
      <c r="J176" t="str">
        <f t="shared" ca="1" si="45"/>
        <v>Wang_Run Dun_43889@outlook.jp.co</v>
      </c>
      <c r="K176" t="str">
        <f t="shared" ca="1" si="46"/>
        <v>普通</v>
      </c>
      <c r="L176" t="str">
        <f t="shared" ca="1" si="47"/>
        <v>有り</v>
      </c>
      <c r="M176" t="str">
        <f t="shared" ca="1" si="48"/>
        <v>5%</v>
      </c>
      <c r="N176" t="str">
        <f t="shared" ca="1" si="49"/>
        <v>-</v>
      </c>
      <c r="O176" t="str">
        <f t="shared" ca="1" si="50"/>
        <v>-</v>
      </c>
      <c r="R176">
        <f t="shared" ca="1" si="51"/>
        <v>3</v>
      </c>
      <c r="S176">
        <f t="shared" ca="1" si="52"/>
        <v>144</v>
      </c>
      <c r="T176">
        <f t="shared" ca="1" si="53"/>
        <v>2010</v>
      </c>
      <c r="U176">
        <f t="shared" ca="1" si="54"/>
        <v>2021</v>
      </c>
      <c r="V176">
        <f t="shared" ca="1" si="55"/>
        <v>9</v>
      </c>
      <c r="W176">
        <f t="shared" ca="1" si="56"/>
        <v>12</v>
      </c>
    </row>
    <row r="177" spans="1:23">
      <c r="A177" t="s">
        <v>905</v>
      </c>
      <c r="B177" t="str">
        <f t="shared" ca="1" si="38"/>
        <v>徐才雅</v>
      </c>
      <c r="C177" t="str">
        <f t="shared" ca="1" si="39"/>
        <v>ｼｭｲ ﾂｧｲ ﾔｰ</v>
      </c>
      <c r="D177" t="str">
        <f t="shared" ca="1" si="40"/>
        <v>Xu Cai Ya</v>
      </c>
      <c r="E177" t="str" cm="1">
        <f t="array" aca="1" ref="E177" ca="1">INDIRECT(ADDRESS(RANDBETWEEN(2,16),7,1,1,"valueBase"))</f>
        <v>男性</v>
      </c>
      <c r="F177" s="5">
        <f t="shared" ca="1" si="41"/>
        <v>29514</v>
      </c>
      <c r="G177" s="5">
        <f t="shared" ca="1" si="42"/>
        <v>39451</v>
      </c>
      <c r="H177" s="5">
        <f t="shared" ca="1" si="43"/>
        <v>40181</v>
      </c>
      <c r="I177" t="str">
        <f t="shared" ca="1" si="44"/>
        <v>080-3099-1081</v>
      </c>
      <c r="J177" t="str">
        <f t="shared" ca="1" si="45"/>
        <v>Xu_Cai_Ya_39451@outlook.jp.co</v>
      </c>
      <c r="K177" t="str">
        <f t="shared" ca="1" si="46"/>
        <v>高級</v>
      </c>
      <c r="L177" t="str">
        <f t="shared" ca="1" si="47"/>
        <v>有り</v>
      </c>
      <c r="M177" t="str">
        <f t="shared" ca="1" si="48"/>
        <v>10%</v>
      </c>
      <c r="N177" t="str">
        <f t="shared" ca="1" si="49"/>
        <v>有り</v>
      </c>
      <c r="O177">
        <f t="shared" ca="1" si="50"/>
        <v>604</v>
      </c>
      <c r="R177">
        <f t="shared" ca="1" si="51"/>
        <v>12</v>
      </c>
      <c r="S177">
        <f t="shared" ca="1" si="52"/>
        <v>146</v>
      </c>
      <c r="T177">
        <f t="shared" ca="1" si="53"/>
        <v>2005</v>
      </c>
      <c r="U177">
        <f t="shared" ca="1" si="54"/>
        <v>2011</v>
      </c>
      <c r="V177">
        <f t="shared" ca="1" si="55"/>
        <v>11</v>
      </c>
      <c r="W177">
        <f t="shared" ca="1" si="56"/>
        <v>18</v>
      </c>
    </row>
    <row r="178" spans="1:23">
      <c r="A178" t="s">
        <v>906</v>
      </c>
      <c r="B178" t="str">
        <f t="shared" ca="1" si="38"/>
        <v>高德基</v>
      </c>
      <c r="C178" t="str">
        <f t="shared" ca="1" si="39"/>
        <v>ｶﾞｵ ﾄﾞｰｧ ｼﾞｰ</v>
      </c>
      <c r="D178" t="str">
        <f t="shared" ca="1" si="40"/>
        <v>Gao De Ji</v>
      </c>
      <c r="E178" t="str" cm="1">
        <f t="array" aca="1" ref="E178" ca="1">INDIRECT(ADDRESS(RANDBETWEEN(2,16),7,1,1,"valueBase"))</f>
        <v>-</v>
      </c>
      <c r="F178" s="5">
        <f t="shared" ca="1" si="41"/>
        <v>37409</v>
      </c>
      <c r="G178" s="5">
        <f t="shared" ca="1" si="42"/>
        <v>45398</v>
      </c>
      <c r="H178" s="5">
        <f t="shared" ca="1" si="43"/>
        <v>46128</v>
      </c>
      <c r="I178" t="str">
        <f t="shared" ca="1" si="44"/>
        <v>080-0066-0691</v>
      </c>
      <c r="J178" t="str">
        <f t="shared" ca="1" si="45"/>
        <v>Gao_De_Ji_45398@outlook.jp.co</v>
      </c>
      <c r="K178" t="str">
        <f t="shared" ca="1" si="46"/>
        <v>普通</v>
      </c>
      <c r="L178" t="str">
        <f t="shared" ca="1" si="47"/>
        <v>有り</v>
      </c>
      <c r="M178" t="str">
        <f t="shared" ca="1" si="48"/>
        <v>5%</v>
      </c>
      <c r="N178" t="str">
        <f t="shared" ca="1" si="49"/>
        <v>-</v>
      </c>
      <c r="O178" t="str">
        <f t="shared" ca="1" si="50"/>
        <v>-</v>
      </c>
      <c r="R178">
        <f t="shared" ca="1" si="51"/>
        <v>16</v>
      </c>
      <c r="S178">
        <f t="shared" ca="1" si="52"/>
        <v>181</v>
      </c>
      <c r="T178">
        <f t="shared" ca="1" si="53"/>
        <v>1986</v>
      </c>
      <c r="U178">
        <f t="shared" ca="1" si="54"/>
        <v>1996</v>
      </c>
      <c r="V178">
        <f t="shared" ca="1" si="55"/>
        <v>6</v>
      </c>
      <c r="W178">
        <f t="shared" ca="1" si="56"/>
        <v>12</v>
      </c>
    </row>
    <row r="179" spans="1:23">
      <c r="A179" t="s">
        <v>907</v>
      </c>
      <c r="B179" t="str">
        <f t="shared" ca="1" si="38"/>
        <v>何樂真</v>
      </c>
      <c r="C179" t="str">
        <f t="shared" ca="1" si="39"/>
        <v>ﾎｰｧ ﾛｰｧ ｼﾞｪﾝ</v>
      </c>
      <c r="D179" t="str">
        <f t="shared" ca="1" si="40"/>
        <v>He Le Zhen</v>
      </c>
      <c r="E179" t="str" cm="1">
        <f t="array" aca="1" ref="E179" ca="1">INDIRECT(ADDRESS(RANDBETWEEN(2,16),7,1,1,"valueBase"))</f>
        <v>女性</v>
      </c>
      <c r="F179" s="5">
        <f t="shared" ca="1" si="41"/>
        <v>21963</v>
      </c>
      <c r="G179" s="5">
        <f t="shared" ca="1" si="42"/>
        <v>42535</v>
      </c>
      <c r="H179" s="5">
        <f t="shared" ca="1" si="43"/>
        <v>43630</v>
      </c>
      <c r="I179" t="str">
        <f t="shared" ca="1" si="44"/>
        <v>080-0762-5591</v>
      </c>
      <c r="J179" t="str">
        <f t="shared" ca="1" si="45"/>
        <v>He_Le Zhen_42535@outlook.jp.co</v>
      </c>
      <c r="K179" t="str">
        <f t="shared" ca="1" si="46"/>
        <v>普通</v>
      </c>
      <c r="L179" t="str">
        <f t="shared" ca="1" si="47"/>
        <v>有り</v>
      </c>
      <c r="M179" t="str">
        <f t="shared" ca="1" si="48"/>
        <v>5%</v>
      </c>
      <c r="N179" t="str">
        <f t="shared" ca="1" si="49"/>
        <v>有り</v>
      </c>
      <c r="O179">
        <f t="shared" ca="1" si="50"/>
        <v>787</v>
      </c>
      <c r="R179">
        <f t="shared" ca="1" si="51"/>
        <v>18</v>
      </c>
      <c r="S179">
        <f t="shared" ca="1" si="52"/>
        <v>147</v>
      </c>
      <c r="T179">
        <f t="shared" ca="1" si="53"/>
        <v>1986</v>
      </c>
      <c r="U179">
        <f t="shared" ca="1" si="54"/>
        <v>1992</v>
      </c>
      <c r="V179">
        <f t="shared" ca="1" si="55"/>
        <v>7</v>
      </c>
      <c r="W179">
        <f t="shared" ca="1" si="56"/>
        <v>15</v>
      </c>
    </row>
    <row r="180" spans="1:23">
      <c r="A180" t="s">
        <v>908</v>
      </c>
      <c r="B180" t="str">
        <f t="shared" ca="1" si="38"/>
        <v>唐鋒逸</v>
      </c>
      <c r="C180" t="str">
        <f t="shared" ca="1" si="39"/>
        <v>ﾀｰﾝ ﾌｵﾝ ｲｰ</v>
      </c>
      <c r="D180" t="str">
        <f t="shared" ca="1" si="40"/>
        <v>Tang Feng Yi</v>
      </c>
      <c r="E180" t="str" cm="1">
        <f t="array" aca="1" ref="E180" ca="1">INDIRECT(ADDRESS(RANDBETWEEN(2,16),7,1,1,"valueBase"))</f>
        <v>-</v>
      </c>
      <c r="F180" s="5">
        <f t="shared" ca="1" si="41"/>
        <v>29935</v>
      </c>
      <c r="G180" s="5">
        <f t="shared" ca="1" si="42"/>
        <v>41169</v>
      </c>
      <c r="H180" s="5">
        <f t="shared" ca="1" si="43"/>
        <v>42264</v>
      </c>
      <c r="I180" t="str">
        <f t="shared" ca="1" si="44"/>
        <v>090-7724-9167</v>
      </c>
      <c r="J180" t="str">
        <f t="shared" ca="1" si="45"/>
        <v>Tang_Feng_Yi_41169@outlook.jp.co</v>
      </c>
      <c r="K180" t="str">
        <f t="shared" ca="1" si="46"/>
        <v>普通</v>
      </c>
      <c r="L180" t="str">
        <f t="shared" ca="1" si="47"/>
        <v>有り</v>
      </c>
      <c r="M180" t="str">
        <f t="shared" ca="1" si="48"/>
        <v>5%</v>
      </c>
      <c r="N180" t="str">
        <f t="shared" ca="1" si="49"/>
        <v>-</v>
      </c>
      <c r="O180" t="str">
        <f t="shared" ca="1" si="50"/>
        <v>-</v>
      </c>
      <c r="R180">
        <f t="shared" ca="1" si="51"/>
        <v>27</v>
      </c>
      <c r="S180">
        <f t="shared" ca="1" si="52"/>
        <v>45</v>
      </c>
      <c r="T180">
        <f t="shared" ca="1" si="53"/>
        <v>1977</v>
      </c>
      <c r="U180">
        <f t="shared" ca="1" si="54"/>
        <v>1986</v>
      </c>
      <c r="V180">
        <f t="shared" ca="1" si="55"/>
        <v>12</v>
      </c>
      <c r="W180">
        <f t="shared" ca="1" si="56"/>
        <v>20</v>
      </c>
    </row>
    <row r="181" spans="1:23">
      <c r="A181" t="s">
        <v>909</v>
      </c>
      <c r="B181" t="str">
        <f t="shared" ca="1" si="38"/>
        <v>馮珍雪</v>
      </c>
      <c r="C181" t="str">
        <f t="shared" ca="1" si="39"/>
        <v>ﾌｵﾝ ｼﾞｪﾝ ｼｭｴ</v>
      </c>
      <c r="D181" t="str">
        <f t="shared" ca="1" si="40"/>
        <v>Feng Zhen Xue</v>
      </c>
      <c r="E181" t="str" cm="1">
        <f t="array" aca="1" ref="E181" ca="1">INDIRECT(ADDRESS(RANDBETWEEN(2,16),7,1,1,"valueBase"))</f>
        <v>女性</v>
      </c>
      <c r="F181" s="5">
        <f t="shared" ca="1" si="41"/>
        <v>26474</v>
      </c>
      <c r="G181" s="5">
        <f t="shared" ca="1" si="42"/>
        <v>38750</v>
      </c>
      <c r="H181" s="5">
        <f t="shared" ca="1" si="43"/>
        <v>39115</v>
      </c>
      <c r="I181" t="str">
        <f t="shared" ca="1" si="44"/>
        <v>080-5030-7954</v>
      </c>
      <c r="J181" t="str">
        <f t="shared" ca="1" si="45"/>
        <v>Feng_Zhen_Xue_38750@outlook.jp.co</v>
      </c>
      <c r="K181" t="str">
        <f t="shared" ca="1" si="46"/>
        <v>普通</v>
      </c>
      <c r="L181" t="str">
        <f t="shared" ca="1" si="47"/>
        <v>有り</v>
      </c>
      <c r="M181" t="str">
        <f t="shared" ca="1" si="48"/>
        <v>5%</v>
      </c>
      <c r="N181" t="str">
        <f t="shared" ca="1" si="49"/>
        <v>有り</v>
      </c>
      <c r="O181">
        <f t="shared" ca="1" si="50"/>
        <v>620</v>
      </c>
      <c r="R181">
        <f t="shared" ca="1" si="51"/>
        <v>28</v>
      </c>
      <c r="S181">
        <f t="shared" ca="1" si="52"/>
        <v>78</v>
      </c>
      <c r="T181">
        <f t="shared" ca="1" si="53"/>
        <v>1983</v>
      </c>
      <c r="U181">
        <f t="shared" ca="1" si="54"/>
        <v>1984</v>
      </c>
      <c r="V181">
        <f t="shared" ca="1" si="55"/>
        <v>10</v>
      </c>
      <c r="W181">
        <f t="shared" ca="1" si="56"/>
        <v>12</v>
      </c>
    </row>
    <row r="182" spans="1:23">
      <c r="A182" t="s">
        <v>910</v>
      </c>
      <c r="B182" t="str">
        <f t="shared" ca="1" si="38"/>
        <v>吳彤媛</v>
      </c>
      <c r="C182" t="str">
        <f t="shared" ca="1" si="39"/>
        <v>ｳｰ ﾄｰﾝ ﾕｴﾝ</v>
      </c>
      <c r="D182" t="str">
        <f t="shared" ca="1" si="40"/>
        <v>Wu Tong Yuan</v>
      </c>
      <c r="E182" t="str" cm="1">
        <f t="array" aca="1" ref="E182" ca="1">INDIRECT(ADDRESS(RANDBETWEEN(2,16),7,1,1,"valueBase"))</f>
        <v>女性</v>
      </c>
      <c r="F182" s="5">
        <f t="shared" ca="1" si="41"/>
        <v>38622</v>
      </c>
      <c r="G182" s="5">
        <f t="shared" ca="1" si="42"/>
        <v>45272</v>
      </c>
      <c r="H182" s="5">
        <f t="shared" ca="1" si="43"/>
        <v>45637</v>
      </c>
      <c r="I182" t="str">
        <f t="shared" ca="1" si="44"/>
        <v>080-0801-3799</v>
      </c>
      <c r="J182" t="str">
        <f t="shared" ca="1" si="45"/>
        <v>Wu_Tong_Yuan_45272@outlook.jp.co</v>
      </c>
      <c r="K182" t="str">
        <f t="shared" ca="1" si="46"/>
        <v>高級</v>
      </c>
      <c r="L182" t="str">
        <f t="shared" ca="1" si="47"/>
        <v>有り</v>
      </c>
      <c r="M182" t="str">
        <f t="shared" ca="1" si="48"/>
        <v>10%</v>
      </c>
      <c r="N182" t="str">
        <f t="shared" ca="1" si="49"/>
        <v>有り</v>
      </c>
      <c r="O182">
        <f t="shared" ca="1" si="50"/>
        <v>726</v>
      </c>
      <c r="R182">
        <f t="shared" ca="1" si="51"/>
        <v>11</v>
      </c>
      <c r="S182">
        <f t="shared" ca="1" si="52"/>
        <v>245</v>
      </c>
      <c r="T182">
        <f t="shared" ca="1" si="53"/>
        <v>1991</v>
      </c>
      <c r="U182">
        <f t="shared" ca="1" si="54"/>
        <v>1992</v>
      </c>
      <c r="V182">
        <f t="shared" ca="1" si="55"/>
        <v>1</v>
      </c>
      <c r="W182">
        <f t="shared" ca="1" si="56"/>
        <v>14</v>
      </c>
    </row>
    <row r="183" spans="1:23">
      <c r="A183" t="s">
        <v>911</v>
      </c>
      <c r="B183" t="str">
        <f t="shared" ca="1" si="38"/>
        <v>馮系迅</v>
      </c>
      <c r="C183" t="str">
        <f t="shared" ca="1" si="39"/>
        <v>ﾌｵﾝ ｼｲ ｼｭｲﾝ</v>
      </c>
      <c r="D183" t="str">
        <f t="shared" ca="1" si="40"/>
        <v>Feng Xi Xun</v>
      </c>
      <c r="E183" t="str" cm="1">
        <f t="array" aca="1" ref="E183" ca="1">INDIRECT(ADDRESS(RANDBETWEEN(2,16),7,1,1,"valueBase"))</f>
        <v>-</v>
      </c>
      <c r="F183" s="5">
        <f t="shared" ca="1" si="41"/>
        <v>38145</v>
      </c>
      <c r="G183" s="5">
        <f t="shared" ca="1" si="42"/>
        <v>44719</v>
      </c>
      <c r="H183" s="5">
        <f t="shared" ca="1" si="43"/>
        <v>45084</v>
      </c>
      <c r="I183" t="str">
        <f t="shared" ca="1" si="44"/>
        <v>080-9548-8845</v>
      </c>
      <c r="J183" t="str">
        <f t="shared" ca="1" si="45"/>
        <v>Feng_Xi Xun_44719@outlook.jp.co</v>
      </c>
      <c r="K183" t="str">
        <f t="shared" ca="1" si="46"/>
        <v>高級</v>
      </c>
      <c r="L183" t="str">
        <f t="shared" ca="1" si="47"/>
        <v>有り</v>
      </c>
      <c r="M183" t="str">
        <f t="shared" ca="1" si="48"/>
        <v>10%</v>
      </c>
      <c r="N183" t="str">
        <f t="shared" ca="1" si="49"/>
        <v>有り</v>
      </c>
      <c r="O183">
        <f t="shared" ca="1" si="50"/>
        <v>371</v>
      </c>
      <c r="R183">
        <f t="shared" ca="1" si="51"/>
        <v>28</v>
      </c>
      <c r="S183">
        <f t="shared" ca="1" si="52"/>
        <v>284</v>
      </c>
      <c r="T183">
        <f t="shared" ca="1" si="53"/>
        <v>1977</v>
      </c>
      <c r="U183">
        <f t="shared" ca="1" si="54"/>
        <v>1986</v>
      </c>
      <c r="V183">
        <f t="shared" ca="1" si="55"/>
        <v>11</v>
      </c>
      <c r="W183">
        <f t="shared" ca="1" si="56"/>
        <v>7</v>
      </c>
    </row>
    <row r="184" spans="1:23">
      <c r="A184" t="s">
        <v>912</v>
      </c>
      <c r="B184" t="str">
        <f t="shared" ca="1" si="38"/>
        <v>吳浚微</v>
      </c>
      <c r="C184" t="str">
        <f t="shared" ca="1" si="39"/>
        <v>ｳｰ ｼﾞｭｲﾝ ｳｴｲ</v>
      </c>
      <c r="D184" t="str">
        <f t="shared" ca="1" si="40"/>
        <v>Wu Jun Wei</v>
      </c>
      <c r="E184" t="str" cm="1">
        <f t="array" aca="1" ref="E184" ca="1">INDIRECT(ADDRESS(RANDBETWEEN(2,16),7,1,1,"valueBase"))</f>
        <v>男性</v>
      </c>
      <c r="F184" s="5">
        <f t="shared" ca="1" si="41"/>
        <v>24828</v>
      </c>
      <c r="G184" s="5">
        <f t="shared" ca="1" si="42"/>
        <v>37040</v>
      </c>
      <c r="H184" s="5">
        <f t="shared" ca="1" si="43"/>
        <v>37770</v>
      </c>
      <c r="I184" t="str">
        <f t="shared" ca="1" si="44"/>
        <v>080-7629-5513</v>
      </c>
      <c r="J184" t="str">
        <f t="shared" ca="1" si="45"/>
        <v>Wu_Jun Wei_37040@outlook.jp.co</v>
      </c>
      <c r="K184" t="str">
        <f t="shared" ca="1" si="46"/>
        <v>普通</v>
      </c>
      <c r="L184" t="str">
        <f t="shared" ca="1" si="47"/>
        <v>有り</v>
      </c>
      <c r="M184" t="str">
        <f t="shared" ca="1" si="48"/>
        <v>5%</v>
      </c>
      <c r="N184" t="str">
        <f t="shared" ca="1" si="49"/>
        <v>有り</v>
      </c>
      <c r="O184">
        <f t="shared" ca="1" si="50"/>
        <v>603</v>
      </c>
      <c r="R184">
        <f t="shared" ca="1" si="51"/>
        <v>11</v>
      </c>
      <c r="S184">
        <f t="shared" ca="1" si="52"/>
        <v>296</v>
      </c>
      <c r="T184">
        <f t="shared" ca="1" si="53"/>
        <v>1973</v>
      </c>
      <c r="U184">
        <f t="shared" ca="1" si="54"/>
        <v>1981</v>
      </c>
      <c r="V184">
        <f t="shared" ca="1" si="55"/>
        <v>5</v>
      </c>
      <c r="W184">
        <f t="shared" ca="1" si="56"/>
        <v>5</v>
      </c>
    </row>
    <row r="185" spans="1:23">
      <c r="A185" t="s">
        <v>913</v>
      </c>
      <c r="B185" t="str">
        <f t="shared" ca="1" si="38"/>
        <v>林祖彥</v>
      </c>
      <c r="C185" t="str">
        <f t="shared" ca="1" si="39"/>
        <v>ﾘﾝ ｽﾞｩ ｲｴﾝ</v>
      </c>
      <c r="D185" t="str">
        <f t="shared" ca="1" si="40"/>
        <v>Lin Zu Yan</v>
      </c>
      <c r="E185" t="str" cm="1">
        <f t="array" aca="1" ref="E185" ca="1">INDIRECT(ADDRESS(RANDBETWEEN(2,16),7,1,1,"valueBase"))</f>
        <v>男性</v>
      </c>
      <c r="F185" s="5">
        <f t="shared" ca="1" si="41"/>
        <v>32069</v>
      </c>
      <c r="G185" s="5">
        <f t="shared" ca="1" si="42"/>
        <v>39026</v>
      </c>
      <c r="H185" s="5">
        <f t="shared" ca="1" si="43"/>
        <v>39391</v>
      </c>
      <c r="I185" t="str">
        <f t="shared" ca="1" si="44"/>
        <v>090-0507-4695</v>
      </c>
      <c r="J185" t="str">
        <f t="shared" ca="1" si="45"/>
        <v>Lin_Zu_Yan_39026@outlook.jp.co</v>
      </c>
      <c r="K185" t="str">
        <f t="shared" ca="1" si="46"/>
        <v>高級</v>
      </c>
      <c r="L185" t="str">
        <f t="shared" ca="1" si="47"/>
        <v>有り</v>
      </c>
      <c r="M185" t="str">
        <f t="shared" ca="1" si="48"/>
        <v>10%</v>
      </c>
      <c r="N185" t="str">
        <f t="shared" ca="1" si="49"/>
        <v>有り</v>
      </c>
      <c r="O185">
        <f t="shared" ca="1" si="50"/>
        <v>455</v>
      </c>
      <c r="R185">
        <f t="shared" ca="1" si="51"/>
        <v>17</v>
      </c>
      <c r="S185">
        <f t="shared" ca="1" si="52"/>
        <v>224</v>
      </c>
      <c r="T185">
        <f t="shared" ca="1" si="53"/>
        <v>1970</v>
      </c>
      <c r="U185">
        <f t="shared" ca="1" si="54"/>
        <v>1977</v>
      </c>
      <c r="V185">
        <f t="shared" ca="1" si="55"/>
        <v>8</v>
      </c>
      <c r="W185">
        <f t="shared" ca="1" si="56"/>
        <v>13</v>
      </c>
    </row>
    <row r="186" spans="1:23">
      <c r="A186" t="s">
        <v>914</v>
      </c>
      <c r="B186" t="str">
        <f t="shared" ca="1" si="38"/>
        <v>張秀髮</v>
      </c>
      <c r="C186" t="str">
        <f t="shared" ca="1" si="39"/>
        <v>ｼﾞｬｰﾝ ｼｳ ﾌｧｰ</v>
      </c>
      <c r="D186" t="str">
        <f t="shared" ca="1" si="40"/>
        <v>Zhang Xiu Fa</v>
      </c>
      <c r="E186" t="str" cm="1">
        <f t="array" aca="1" ref="E186" ca="1">INDIRECT(ADDRESS(RANDBETWEEN(2,16),7,1,1,"valueBase"))</f>
        <v>女性</v>
      </c>
      <c r="F186" s="5">
        <f t="shared" ca="1" si="41"/>
        <v>27248</v>
      </c>
      <c r="G186" s="5">
        <f t="shared" ca="1" si="42"/>
        <v>34789</v>
      </c>
      <c r="H186" s="5">
        <f t="shared" ca="1" si="43"/>
        <v>35519</v>
      </c>
      <c r="I186" t="str">
        <f t="shared" ca="1" si="44"/>
        <v>080-8775-1228</v>
      </c>
      <c r="J186" t="str">
        <f t="shared" ca="1" si="45"/>
        <v>Zhang_Xiu_Fa_34789@outlook.jp.co</v>
      </c>
      <c r="K186" t="str">
        <f t="shared" ca="1" si="46"/>
        <v>普通</v>
      </c>
      <c r="L186" t="str">
        <f t="shared" ca="1" si="47"/>
        <v>-</v>
      </c>
      <c r="M186" t="str">
        <f t="shared" ca="1" si="48"/>
        <v>-</v>
      </c>
      <c r="N186" t="str">
        <f t="shared" ca="1" si="49"/>
        <v>有り</v>
      </c>
      <c r="O186">
        <f t="shared" ca="1" si="50"/>
        <v>24</v>
      </c>
      <c r="R186">
        <f t="shared" ca="1" si="51"/>
        <v>4</v>
      </c>
      <c r="S186">
        <f t="shared" ca="1" si="52"/>
        <v>91</v>
      </c>
      <c r="T186">
        <f t="shared" ca="1" si="53"/>
        <v>1997</v>
      </c>
      <c r="U186">
        <f t="shared" ca="1" si="54"/>
        <v>2004</v>
      </c>
      <c r="V186">
        <f t="shared" ca="1" si="55"/>
        <v>2</v>
      </c>
      <c r="W186">
        <f t="shared" ca="1" si="56"/>
        <v>19</v>
      </c>
    </row>
    <row r="187" spans="1:23">
      <c r="A187" t="s">
        <v>915</v>
      </c>
      <c r="B187" t="str">
        <f t="shared" ca="1" si="38"/>
        <v>高電爾</v>
      </c>
      <c r="C187" t="str">
        <f t="shared" ca="1" si="39"/>
        <v>ｶﾞｵ ﾃﾞｨｴﾝ ｱﾙ</v>
      </c>
      <c r="D187" t="str">
        <f t="shared" ca="1" si="40"/>
        <v>Gao Dian Er</v>
      </c>
      <c r="E187" t="str" cm="1">
        <f t="array" aca="1" ref="E187" ca="1">INDIRECT(ADDRESS(RANDBETWEEN(2,16),7,1,1,"valueBase"))</f>
        <v>男性</v>
      </c>
      <c r="F187" s="5">
        <f t="shared" ca="1" si="41"/>
        <v>33603</v>
      </c>
      <c r="G187" s="5">
        <f t="shared" ca="1" si="42"/>
        <v>40601</v>
      </c>
      <c r="H187" s="5">
        <f t="shared" ca="1" si="43"/>
        <v>40966</v>
      </c>
      <c r="I187" t="str">
        <f t="shared" ca="1" si="44"/>
        <v>090-1031-4226</v>
      </c>
      <c r="J187" t="str">
        <f t="shared" ca="1" si="45"/>
        <v>Gao_Dian_Er_40601@outlook.jp.co</v>
      </c>
      <c r="K187" t="str">
        <f t="shared" ca="1" si="46"/>
        <v>高級</v>
      </c>
      <c r="L187" t="str">
        <f t="shared" ca="1" si="47"/>
        <v>有り</v>
      </c>
      <c r="M187" t="str">
        <f t="shared" ca="1" si="48"/>
        <v>10%</v>
      </c>
      <c r="N187" t="str">
        <f t="shared" ca="1" si="49"/>
        <v>有り</v>
      </c>
      <c r="O187">
        <f t="shared" ca="1" si="50"/>
        <v>916</v>
      </c>
      <c r="R187">
        <f t="shared" ca="1" si="51"/>
        <v>16</v>
      </c>
      <c r="S187">
        <f t="shared" ca="1" si="52"/>
        <v>202</v>
      </c>
      <c r="T187">
        <f t="shared" ca="1" si="53"/>
        <v>2010</v>
      </c>
      <c r="U187">
        <f t="shared" ca="1" si="54"/>
        <v>2019</v>
      </c>
      <c r="V187">
        <f t="shared" ca="1" si="55"/>
        <v>7</v>
      </c>
      <c r="W187">
        <f t="shared" ca="1" si="56"/>
        <v>8</v>
      </c>
    </row>
    <row r="188" spans="1:23">
      <c r="A188" t="s">
        <v>916</v>
      </c>
      <c r="B188" t="str">
        <f t="shared" ca="1" si="38"/>
        <v>宋偉榮</v>
      </c>
      <c r="C188" t="str">
        <f t="shared" ca="1" si="39"/>
        <v>ｿｰﾝ ｳｴｲ ｩﾛｰﾝ</v>
      </c>
      <c r="D188" t="str">
        <f t="shared" ca="1" si="40"/>
        <v>Song Wei Rong</v>
      </c>
      <c r="E188" t="str" cm="1">
        <f t="array" aca="1" ref="E188" ca="1">INDIRECT(ADDRESS(RANDBETWEEN(2,16),7,1,1,"valueBase"))</f>
        <v>男性</v>
      </c>
      <c r="F188" s="5">
        <f t="shared" ca="1" si="41"/>
        <v>21953</v>
      </c>
      <c r="G188" s="5">
        <f t="shared" ca="1" si="42"/>
        <v>32519</v>
      </c>
      <c r="H188" s="5">
        <f t="shared" ca="1" si="43"/>
        <v>32884</v>
      </c>
      <c r="I188" t="str">
        <f t="shared" ca="1" si="44"/>
        <v>080-4092-9544</v>
      </c>
      <c r="J188" t="str">
        <f t="shared" ca="1" si="45"/>
        <v>Song_Wei_Rong_32519@outlook.jp.co</v>
      </c>
      <c r="K188" t="str">
        <f t="shared" ca="1" si="46"/>
        <v>普通</v>
      </c>
      <c r="L188" t="str">
        <f t="shared" ca="1" si="47"/>
        <v>有り</v>
      </c>
      <c r="M188" t="str">
        <f t="shared" ca="1" si="48"/>
        <v>5%</v>
      </c>
      <c r="N188" t="str">
        <f t="shared" ca="1" si="49"/>
        <v>有り</v>
      </c>
      <c r="O188">
        <f t="shared" ca="1" si="50"/>
        <v>171</v>
      </c>
      <c r="R188">
        <f t="shared" ca="1" si="51"/>
        <v>23</v>
      </c>
      <c r="S188">
        <f t="shared" ca="1" si="52"/>
        <v>265</v>
      </c>
      <c r="T188">
        <f t="shared" ca="1" si="53"/>
        <v>1981</v>
      </c>
      <c r="U188">
        <f t="shared" ca="1" si="54"/>
        <v>1984</v>
      </c>
      <c r="V188">
        <f t="shared" ca="1" si="55"/>
        <v>6</v>
      </c>
      <c r="W188">
        <f t="shared" ca="1" si="56"/>
        <v>16</v>
      </c>
    </row>
    <row r="189" spans="1:23">
      <c r="A189" t="s">
        <v>917</v>
      </c>
      <c r="B189" t="str">
        <f t="shared" ca="1" si="38"/>
        <v>唐天達</v>
      </c>
      <c r="C189" t="str">
        <f t="shared" ca="1" si="39"/>
        <v>ﾀｰﾝ ﾃｨｴﾝ ﾀﾞｰ</v>
      </c>
      <c r="D189" t="str">
        <f t="shared" ca="1" si="40"/>
        <v>Tang Tian Da</v>
      </c>
      <c r="E189" t="str" cm="1">
        <f t="array" aca="1" ref="E189" ca="1">INDIRECT(ADDRESS(RANDBETWEEN(2,16),7,1,1,"valueBase"))</f>
        <v>-</v>
      </c>
      <c r="F189" s="5">
        <f t="shared" ca="1" si="41"/>
        <v>34910</v>
      </c>
      <c r="G189" s="5">
        <f t="shared" ca="1" si="42"/>
        <v>45304</v>
      </c>
      <c r="H189" s="5">
        <f t="shared" ca="1" si="43"/>
        <v>46034</v>
      </c>
      <c r="I189" t="str">
        <f t="shared" ca="1" si="44"/>
        <v>090-6840-7558</v>
      </c>
      <c r="J189" t="str">
        <f t="shared" ca="1" si="45"/>
        <v>Tang_Tian_Da_45304@outlook.jp.co</v>
      </c>
      <c r="K189" t="str">
        <f t="shared" ca="1" si="46"/>
        <v>普通</v>
      </c>
      <c r="L189" t="str">
        <f t="shared" ca="1" si="47"/>
        <v>有り</v>
      </c>
      <c r="M189" t="str">
        <f t="shared" ca="1" si="48"/>
        <v>5%</v>
      </c>
      <c r="N189" t="str">
        <f t="shared" ca="1" si="49"/>
        <v>有り</v>
      </c>
      <c r="O189">
        <f t="shared" ca="1" si="50"/>
        <v>662</v>
      </c>
      <c r="R189">
        <f t="shared" ca="1" si="51"/>
        <v>27</v>
      </c>
      <c r="S189">
        <f t="shared" ca="1" si="52"/>
        <v>176</v>
      </c>
      <c r="T189">
        <f t="shared" ca="1" si="53"/>
        <v>1980</v>
      </c>
      <c r="U189">
        <f t="shared" ca="1" si="54"/>
        <v>1988</v>
      </c>
      <c r="V189">
        <f t="shared" ca="1" si="55"/>
        <v>7</v>
      </c>
      <c r="W189">
        <f t="shared" ca="1" si="56"/>
        <v>25</v>
      </c>
    </row>
    <row r="190" spans="1:23">
      <c r="A190" t="s">
        <v>918</v>
      </c>
      <c r="B190" t="str">
        <f t="shared" ca="1" si="38"/>
        <v>張鳳梅</v>
      </c>
      <c r="C190" t="str">
        <f t="shared" ca="1" si="39"/>
        <v>ｼﾞｬｰﾝ ﾌｵﾝ ﾒｲ</v>
      </c>
      <c r="D190" t="str">
        <f t="shared" ca="1" si="40"/>
        <v>Zhang Feng Mei</v>
      </c>
      <c r="E190" t="str" cm="1">
        <f t="array" aca="1" ref="E190" ca="1">INDIRECT(ADDRESS(RANDBETWEEN(2,16),7,1,1,"valueBase"))</f>
        <v>女性</v>
      </c>
      <c r="F190" s="5">
        <f t="shared" ca="1" si="41"/>
        <v>35414</v>
      </c>
      <c r="G190" s="5">
        <f t="shared" ca="1" si="42"/>
        <v>44262</v>
      </c>
      <c r="H190" s="5">
        <f t="shared" ca="1" si="43"/>
        <v>45357</v>
      </c>
      <c r="I190" t="str">
        <f t="shared" ca="1" si="44"/>
        <v>080-2722-4046</v>
      </c>
      <c r="J190" t="str">
        <f t="shared" ca="1" si="45"/>
        <v>Zhang_Feng_Mei_44262@outlook.jp.co</v>
      </c>
      <c r="K190" t="str">
        <f t="shared" ca="1" si="46"/>
        <v>高級</v>
      </c>
      <c r="L190" t="str">
        <f t="shared" ca="1" si="47"/>
        <v>-</v>
      </c>
      <c r="M190" t="str">
        <f t="shared" ca="1" si="48"/>
        <v>-</v>
      </c>
      <c r="N190" t="str">
        <f t="shared" ca="1" si="49"/>
        <v>有り</v>
      </c>
      <c r="O190">
        <f t="shared" ca="1" si="50"/>
        <v>214</v>
      </c>
      <c r="R190">
        <f t="shared" ca="1" si="51"/>
        <v>4</v>
      </c>
      <c r="S190">
        <f t="shared" ca="1" si="52"/>
        <v>75</v>
      </c>
      <c r="T190">
        <f t="shared" ca="1" si="53"/>
        <v>1977</v>
      </c>
      <c r="U190">
        <f t="shared" ca="1" si="54"/>
        <v>1980</v>
      </c>
      <c r="V190">
        <f t="shared" ca="1" si="55"/>
        <v>11</v>
      </c>
      <c r="W190">
        <f t="shared" ca="1" si="56"/>
        <v>17</v>
      </c>
    </row>
    <row r="191" spans="1:23">
      <c r="A191" t="s">
        <v>919</v>
      </c>
      <c r="B191" t="str">
        <f t="shared" ca="1" si="38"/>
        <v>林碼紀</v>
      </c>
      <c r="C191" t="str">
        <f t="shared" ca="1" si="39"/>
        <v>ﾘﾝ ﾏｰ ｼﾞｰ</v>
      </c>
      <c r="D191" t="str">
        <f t="shared" ca="1" si="40"/>
        <v>Lin Ma Ji</v>
      </c>
      <c r="E191" t="str" cm="1">
        <f t="array" aca="1" ref="E191" ca="1">INDIRECT(ADDRESS(RANDBETWEEN(2,16),7,1,1,"valueBase"))</f>
        <v>女性</v>
      </c>
      <c r="F191" s="5">
        <f t="shared" ca="1" si="41"/>
        <v>24655</v>
      </c>
      <c r="G191" s="5">
        <f t="shared" ca="1" si="42"/>
        <v>44991</v>
      </c>
      <c r="H191" s="5">
        <f t="shared" ca="1" si="43"/>
        <v>45721</v>
      </c>
      <c r="I191" t="str">
        <f t="shared" ca="1" si="44"/>
        <v>090-8802-6081</v>
      </c>
      <c r="J191" t="str">
        <f t="shared" ca="1" si="45"/>
        <v>Lin_Ma_Ji_44991@outlook.jp.co</v>
      </c>
      <c r="K191" t="str">
        <f t="shared" ca="1" si="46"/>
        <v>普通</v>
      </c>
      <c r="L191" t="str">
        <f t="shared" ca="1" si="47"/>
        <v>有り</v>
      </c>
      <c r="M191" t="str">
        <f t="shared" ca="1" si="48"/>
        <v>5%</v>
      </c>
      <c r="N191" t="str">
        <f t="shared" ca="1" si="49"/>
        <v>有り</v>
      </c>
      <c r="O191">
        <f t="shared" ca="1" si="50"/>
        <v>293</v>
      </c>
      <c r="R191">
        <f t="shared" ca="1" si="51"/>
        <v>17</v>
      </c>
      <c r="S191">
        <f t="shared" ca="1" si="52"/>
        <v>287</v>
      </c>
      <c r="T191">
        <f t="shared" ca="1" si="53"/>
        <v>1989</v>
      </c>
      <c r="U191">
        <f t="shared" ca="1" si="54"/>
        <v>1993</v>
      </c>
      <c r="V191">
        <f t="shared" ca="1" si="55"/>
        <v>1</v>
      </c>
      <c r="W191">
        <f t="shared" ca="1" si="56"/>
        <v>24</v>
      </c>
    </row>
    <row r="192" spans="1:23">
      <c r="A192" t="s">
        <v>920</v>
      </c>
      <c r="B192" t="str">
        <f t="shared" ca="1" si="38"/>
        <v>梁彤媛</v>
      </c>
      <c r="C192" t="str">
        <f t="shared" ca="1" si="39"/>
        <v>ﾘﾔｰﾝ ﾄｰﾝ ﾕｴﾝ</v>
      </c>
      <c r="D192" t="str">
        <f t="shared" ca="1" si="40"/>
        <v>Liang Tong Yuan</v>
      </c>
      <c r="E192" t="str" cm="1">
        <f t="array" aca="1" ref="E192" ca="1">INDIRECT(ADDRESS(RANDBETWEEN(2,16),7,1,1,"valueBase"))</f>
        <v>男性</v>
      </c>
      <c r="F192" s="5">
        <f t="shared" ca="1" si="41"/>
        <v>35007</v>
      </c>
      <c r="G192" s="5">
        <f t="shared" ca="1" si="42"/>
        <v>43104</v>
      </c>
      <c r="H192" s="5">
        <f t="shared" ca="1" si="43"/>
        <v>43834</v>
      </c>
      <c r="I192" t="str">
        <f t="shared" ca="1" si="44"/>
        <v>080-3278-4474</v>
      </c>
      <c r="J192" t="str">
        <f t="shared" ca="1" si="45"/>
        <v>Liang_Tong_Yuan_43104@outlook.jp.co</v>
      </c>
      <c r="K192" t="str">
        <f t="shared" ca="1" si="46"/>
        <v>高級</v>
      </c>
      <c r="L192" t="str">
        <f t="shared" ca="1" si="47"/>
        <v>有り</v>
      </c>
      <c r="M192" t="str">
        <f t="shared" ca="1" si="48"/>
        <v>10%</v>
      </c>
      <c r="N192" t="str">
        <f t="shared" ca="1" si="49"/>
        <v>有り</v>
      </c>
      <c r="O192">
        <f t="shared" ca="1" si="50"/>
        <v>817</v>
      </c>
      <c r="R192">
        <f t="shared" ca="1" si="51"/>
        <v>22</v>
      </c>
      <c r="S192">
        <f t="shared" ca="1" si="52"/>
        <v>245</v>
      </c>
      <c r="T192">
        <f t="shared" ca="1" si="53"/>
        <v>1970</v>
      </c>
      <c r="U192">
        <f t="shared" ca="1" si="54"/>
        <v>1980</v>
      </c>
      <c r="V192">
        <f t="shared" ca="1" si="55"/>
        <v>5</v>
      </c>
      <c r="W192">
        <f t="shared" ca="1" si="56"/>
        <v>8</v>
      </c>
    </row>
    <row r="193" spans="1:23">
      <c r="A193" t="s">
        <v>921</v>
      </c>
      <c r="B193" t="str">
        <f t="shared" ca="1" si="38"/>
        <v>梁聆實</v>
      </c>
      <c r="C193" t="str">
        <f t="shared" ca="1" si="39"/>
        <v>ﾘﾔｰﾝ ﾘｰﾝ ｼｰ</v>
      </c>
      <c r="D193" t="str">
        <f t="shared" ca="1" si="40"/>
        <v>Liang Ling Shi</v>
      </c>
      <c r="E193" t="str" cm="1">
        <f t="array" aca="1" ref="E193" ca="1">INDIRECT(ADDRESS(RANDBETWEEN(2,16),7,1,1,"valueBase"))</f>
        <v>男性</v>
      </c>
      <c r="F193" s="5">
        <f t="shared" ca="1" si="41"/>
        <v>34715</v>
      </c>
      <c r="G193" s="5">
        <f t="shared" ca="1" si="42"/>
        <v>44578</v>
      </c>
      <c r="H193" s="5">
        <f t="shared" ca="1" si="43"/>
        <v>45308</v>
      </c>
      <c r="I193" t="str">
        <f t="shared" ca="1" si="44"/>
        <v>080-8636-6769</v>
      </c>
      <c r="J193" t="str">
        <f t="shared" ca="1" si="45"/>
        <v>Liang_Ling_Shi_44578@outlook.jp.co</v>
      </c>
      <c r="K193" t="str">
        <f t="shared" ca="1" si="46"/>
        <v>高級</v>
      </c>
      <c r="L193" t="str">
        <f t="shared" ca="1" si="47"/>
        <v>有り</v>
      </c>
      <c r="M193" t="str">
        <f t="shared" ca="1" si="48"/>
        <v>10%</v>
      </c>
      <c r="N193" t="str">
        <f t="shared" ca="1" si="49"/>
        <v>-</v>
      </c>
      <c r="O193" t="str">
        <f t="shared" ca="1" si="50"/>
        <v>-</v>
      </c>
      <c r="R193">
        <f t="shared" ca="1" si="51"/>
        <v>22</v>
      </c>
      <c r="S193">
        <f t="shared" ca="1" si="52"/>
        <v>48</v>
      </c>
      <c r="T193">
        <f t="shared" ca="1" si="53"/>
        <v>1971</v>
      </c>
      <c r="U193">
        <f t="shared" ca="1" si="54"/>
        <v>1980</v>
      </c>
      <c r="V193">
        <f t="shared" ca="1" si="55"/>
        <v>9</v>
      </c>
      <c r="W193">
        <f t="shared" ca="1" si="56"/>
        <v>28</v>
      </c>
    </row>
    <row r="194" spans="1:23">
      <c r="A194" t="s">
        <v>922</v>
      </c>
      <c r="B194" t="str">
        <f t="shared" ca="1" si="38"/>
        <v>孫赫佑</v>
      </c>
      <c r="C194" t="str">
        <f t="shared" ca="1" si="39"/>
        <v>ｽｩﾝ ﾎｰｧ ﾖｳ</v>
      </c>
      <c r="D194" t="str">
        <f t="shared" ca="1" si="40"/>
        <v>Sun He You</v>
      </c>
      <c r="E194" t="str" cm="1">
        <f t="array" aca="1" ref="E194" ca="1">INDIRECT(ADDRESS(RANDBETWEEN(2,16),7,1,1,"valueBase"))</f>
        <v>男性</v>
      </c>
      <c r="F194" s="5">
        <f t="shared" ca="1" si="41"/>
        <v>24338</v>
      </c>
      <c r="G194" s="5">
        <f t="shared" ca="1" si="42"/>
        <v>44316</v>
      </c>
      <c r="H194" s="5">
        <f t="shared" ca="1" si="43"/>
        <v>45046</v>
      </c>
      <c r="I194" t="str">
        <f t="shared" ca="1" si="44"/>
        <v>080-0671-5442</v>
      </c>
      <c r="J194" t="str">
        <f t="shared" ca="1" si="45"/>
        <v>Sun_He_You_44316@outlook.jp.co</v>
      </c>
      <c r="K194" t="str">
        <f t="shared" ca="1" si="46"/>
        <v>普通</v>
      </c>
      <c r="L194" t="str">
        <f t="shared" ca="1" si="47"/>
        <v>有り</v>
      </c>
      <c r="M194" t="str">
        <f t="shared" ca="1" si="48"/>
        <v>5%</v>
      </c>
      <c r="N194" t="str">
        <f t="shared" ca="1" si="49"/>
        <v>有り</v>
      </c>
      <c r="O194">
        <f t="shared" ca="1" si="50"/>
        <v>86</v>
      </c>
      <c r="R194">
        <f t="shared" ca="1" si="51"/>
        <v>13</v>
      </c>
      <c r="S194">
        <f t="shared" ca="1" si="52"/>
        <v>208</v>
      </c>
      <c r="T194">
        <f t="shared" ca="1" si="53"/>
        <v>1980</v>
      </c>
      <c r="U194">
        <f t="shared" ca="1" si="54"/>
        <v>1986</v>
      </c>
      <c r="V194">
        <f t="shared" ca="1" si="55"/>
        <v>3</v>
      </c>
      <c r="W194">
        <f t="shared" ca="1" si="56"/>
        <v>20</v>
      </c>
    </row>
    <row r="195" spans="1:23">
      <c r="A195" t="s">
        <v>923</v>
      </c>
      <c r="B195" t="str">
        <f t="shared" ref="B195:B258" ca="1" si="57">_xlfn.CONCAT(INDIRECT(ADDRESS(R195,1,1,1,"valueBase")),INDIRECT(ADDRESS(S195,4,1,1,"valueBase")))</f>
        <v>馬菏科</v>
      </c>
      <c r="C195" t="str">
        <f t="shared" ref="C195:C258" ca="1" si="58">_xlfn.CONCAT(INDIRECT(ADDRESS(R195,2,1,1,"valueBase")),INDIRECT(ADDRESS(S195,5,1,1,"valueBase")))</f>
        <v>ﾏｰ ﾎｰｧ ｺｰｧ</v>
      </c>
      <c r="D195" t="str">
        <f t="shared" ref="D195:D258" ca="1" si="59">_xlfn.CONCAT(INDIRECT(ADDRESS(R195,3,1,1,"valueBase")),INDIRECT(ADDRESS(S195,6,1,1,"valueBase")))</f>
        <v>Ma He Ke</v>
      </c>
      <c r="E195" t="str" cm="1">
        <f t="array" aca="1" ref="E195" ca="1">INDIRECT(ADDRESS(RANDBETWEEN(2,16),7,1,1,"valueBase"))</f>
        <v>男性</v>
      </c>
      <c r="F195" s="5">
        <f t="shared" ref="F195:F258" ca="1" si="60">RANDBETWEEN(21916,NOW() - 6574)</f>
        <v>24513</v>
      </c>
      <c r="G195" s="5">
        <f t="shared" ref="G195:G258" ca="1" si="61">RANDBETWEEN(F195 + 6574,NOW())</f>
        <v>44069</v>
      </c>
      <c r="H195" s="5">
        <f t="shared" ref="H195:H258" ca="1" si="62">G195 + RANDBETWEEN(1,3) * 365</f>
        <v>44799</v>
      </c>
      <c r="I195" t="str">
        <f t="shared" ref="I195:I258" ca="1" si="63">CONCATENATE("0",RANDBETWEEN(8,9),"0","-",RANDBETWEEN(0,9),RANDBETWEEN(0,9),RANDBETWEEN(0,9),RANDBETWEEN(0,9),"-",RANDBETWEEN(0,9),RANDBETWEEN(0,9),RANDBETWEEN(0,9),RANDBETWEEN(0,9))</f>
        <v>090-9296-7082</v>
      </c>
      <c r="J195" t="str">
        <f t="shared" ref="J195:J258" ca="1" si="64">CONCATENATE(SUBSTITUTE(D195," ","_"),"_",SUBSTITUTE(G195,"/","_"),"@outlook.jp.co")</f>
        <v>Ma_He_Ke_44069@outlook.jp.co</v>
      </c>
      <c r="K195" t="str">
        <f t="shared" ref="K195:K258" ca="1" si="65">IF(RANDBETWEEN(1,10) &gt; 6,"高級","普通")</f>
        <v>普通</v>
      </c>
      <c r="L195" t="str">
        <f t="shared" ref="L195:L258" ca="1" si="66">IF(RANDBETWEEN(1,10) &gt; 8,"-","有り")</f>
        <v>-</v>
      </c>
      <c r="M195" t="str">
        <f t="shared" ref="M195:M258" ca="1" si="67">IF(L195 = "有り",IF(K195 = "高級","10%","5%"),"-")</f>
        <v>-</v>
      </c>
      <c r="N195" t="str">
        <f t="shared" ref="N195:N258" ca="1" si="68">IF(RANDBETWEEN(1,10) &gt; 8,"-","有り")</f>
        <v>有り</v>
      </c>
      <c r="O195">
        <f t="shared" ref="O195:O258" ca="1" si="69">IF(N195 = "有り",RANDBETWEEN(0,1000),"-")</f>
        <v>846</v>
      </c>
      <c r="R195">
        <f t="shared" ref="R195:R258" ca="1" si="70">RANDBETWEEN(2,29)</f>
        <v>20</v>
      </c>
      <c r="S195">
        <f t="shared" ref="S195:S258" ca="1" si="71">RANDBETWEEN(2,331)</f>
        <v>11</v>
      </c>
      <c r="T195">
        <f t="shared" ref="T195:T258" ca="1" si="72">RANDBETWEEN(1970,2010)</f>
        <v>2005</v>
      </c>
      <c r="U195">
        <f t="shared" ref="U195:U258" ca="1" si="73">T195 + RANDBETWEEN(1,12)</f>
        <v>2010</v>
      </c>
      <c r="V195">
        <f t="shared" ref="V195:V258" ca="1" si="74">RANDBETWEEN(1,12)</f>
        <v>5</v>
      </c>
      <c r="W195">
        <f t="shared" ref="W195:W258" ca="1" si="75">IF(V195=2,RANDBETWEEN(1,28),IF(V195=4,RANDBETWEEN(1,30),IF(V195=6,RANDBETWEEN(1,30),IF(V195=9,RANDBETWEEN(1,30),IF(V195=11,RANDBETWEEN(1,30),RANDBETWEEN(1,31))))))</f>
        <v>11</v>
      </c>
    </row>
    <row r="196" spans="1:23">
      <c r="A196" t="s">
        <v>924</v>
      </c>
      <c r="B196" t="str">
        <f t="shared" ca="1" si="57"/>
        <v>韓銀霆</v>
      </c>
      <c r="C196" t="str">
        <f t="shared" ca="1" si="58"/>
        <v>ﾊﾝ ｲﾝ ﾃｨｰﾝ</v>
      </c>
      <c r="D196" t="str">
        <f t="shared" ca="1" si="59"/>
        <v>Han Yin Ting</v>
      </c>
      <c r="E196" t="str" cm="1">
        <f t="array" aca="1" ref="E196" ca="1">INDIRECT(ADDRESS(RANDBETWEEN(2,16),7,1,1,"valueBase"))</f>
        <v>-</v>
      </c>
      <c r="F196" s="5">
        <f t="shared" ca="1" si="60"/>
        <v>26745</v>
      </c>
      <c r="G196" s="5">
        <f t="shared" ca="1" si="61"/>
        <v>42062</v>
      </c>
      <c r="H196" s="5">
        <f t="shared" ca="1" si="62"/>
        <v>42792</v>
      </c>
      <c r="I196" t="str">
        <f t="shared" ca="1" si="63"/>
        <v>080-0016-8758</v>
      </c>
      <c r="J196" t="str">
        <f t="shared" ca="1" si="64"/>
        <v>Han_Yin_Ting_42062@outlook.jp.co</v>
      </c>
      <c r="K196" t="str">
        <f t="shared" ca="1" si="65"/>
        <v>普通</v>
      </c>
      <c r="L196" t="str">
        <f t="shared" ca="1" si="66"/>
        <v>有り</v>
      </c>
      <c r="M196" t="str">
        <f t="shared" ca="1" si="67"/>
        <v>5%</v>
      </c>
      <c r="N196" t="str">
        <f t="shared" ca="1" si="68"/>
        <v>有り</v>
      </c>
      <c r="O196">
        <f t="shared" ca="1" si="69"/>
        <v>147</v>
      </c>
      <c r="R196">
        <f t="shared" ca="1" si="70"/>
        <v>26</v>
      </c>
      <c r="S196">
        <f t="shared" ca="1" si="71"/>
        <v>74</v>
      </c>
      <c r="T196">
        <f t="shared" ca="1" si="72"/>
        <v>1986</v>
      </c>
      <c r="U196">
        <f t="shared" ca="1" si="73"/>
        <v>1988</v>
      </c>
      <c r="V196">
        <f t="shared" ca="1" si="74"/>
        <v>2</v>
      </c>
      <c r="W196">
        <f t="shared" ca="1" si="75"/>
        <v>7</v>
      </c>
    </row>
    <row r="197" spans="1:23">
      <c r="A197" t="s">
        <v>925</v>
      </c>
      <c r="B197" t="str">
        <f t="shared" ca="1" si="57"/>
        <v>羅鈺意</v>
      </c>
      <c r="C197" t="str">
        <f t="shared" ca="1" si="58"/>
        <v>ﾙｵ ﾕｲ ｲｰ</v>
      </c>
      <c r="D197" t="str">
        <f t="shared" ca="1" si="59"/>
        <v>Luo Yu Yi</v>
      </c>
      <c r="E197" t="str" cm="1">
        <f t="array" aca="1" ref="E197" ca="1">INDIRECT(ADDRESS(RANDBETWEEN(2,16),7,1,1,"valueBase"))</f>
        <v>男性</v>
      </c>
      <c r="F197" s="5">
        <f t="shared" ca="1" si="60"/>
        <v>32268</v>
      </c>
      <c r="G197" s="5">
        <f t="shared" ca="1" si="61"/>
        <v>41790</v>
      </c>
      <c r="H197" s="5">
        <f t="shared" ca="1" si="62"/>
        <v>42520</v>
      </c>
      <c r="I197" t="str">
        <f t="shared" ca="1" si="63"/>
        <v>080-1081-2378</v>
      </c>
      <c r="J197" t="str">
        <f t="shared" ca="1" si="64"/>
        <v>Luo_Yu_Yi_41790@outlook.jp.co</v>
      </c>
      <c r="K197" t="str">
        <f t="shared" ca="1" si="65"/>
        <v>普通</v>
      </c>
      <c r="L197" t="str">
        <f t="shared" ca="1" si="66"/>
        <v>-</v>
      </c>
      <c r="M197" t="str">
        <f t="shared" ca="1" si="67"/>
        <v>-</v>
      </c>
      <c r="N197" t="str">
        <f t="shared" ca="1" si="68"/>
        <v>-</v>
      </c>
      <c r="O197" t="str">
        <f t="shared" ca="1" si="69"/>
        <v>-</v>
      </c>
      <c r="R197">
        <f t="shared" ca="1" si="70"/>
        <v>21</v>
      </c>
      <c r="S197">
        <f t="shared" ca="1" si="71"/>
        <v>157</v>
      </c>
      <c r="T197">
        <f t="shared" ca="1" si="72"/>
        <v>1995</v>
      </c>
      <c r="U197">
        <f t="shared" ca="1" si="73"/>
        <v>2005</v>
      </c>
      <c r="V197">
        <f t="shared" ca="1" si="74"/>
        <v>8</v>
      </c>
      <c r="W197">
        <f t="shared" ca="1" si="75"/>
        <v>11</v>
      </c>
    </row>
    <row r="198" spans="1:23">
      <c r="A198" t="s">
        <v>926</v>
      </c>
      <c r="B198" t="str">
        <f t="shared" ca="1" si="57"/>
        <v>黃浚微</v>
      </c>
      <c r="C198" t="str">
        <f t="shared" ca="1" si="58"/>
        <v>ﾎﾜｰﾝ ｼﾞｭｲﾝ ｳｴｲ</v>
      </c>
      <c r="D198" t="str">
        <f t="shared" ca="1" si="59"/>
        <v>Huang Jun Wei</v>
      </c>
      <c r="E198" t="str" cm="1">
        <f t="array" aca="1" ref="E198" ca="1">INDIRECT(ADDRESS(RANDBETWEEN(2,16),7,1,1,"valueBase"))</f>
        <v>女性</v>
      </c>
      <c r="F198" s="5">
        <f t="shared" ca="1" si="60"/>
        <v>37700</v>
      </c>
      <c r="G198" s="5">
        <f t="shared" ca="1" si="61"/>
        <v>44815</v>
      </c>
      <c r="H198" s="5">
        <f t="shared" ca="1" si="62"/>
        <v>45545</v>
      </c>
      <c r="I198" t="str">
        <f t="shared" ca="1" si="63"/>
        <v>090-5656-2937</v>
      </c>
      <c r="J198" t="str">
        <f t="shared" ca="1" si="64"/>
        <v>Huang_Jun Wei_44815@outlook.jp.co</v>
      </c>
      <c r="K198" t="str">
        <f t="shared" ca="1" si="65"/>
        <v>普通</v>
      </c>
      <c r="L198" t="str">
        <f t="shared" ca="1" si="66"/>
        <v>有り</v>
      </c>
      <c r="M198" t="str">
        <f t="shared" ca="1" si="67"/>
        <v>5%</v>
      </c>
      <c r="N198" t="str">
        <f t="shared" ca="1" si="68"/>
        <v>-</v>
      </c>
      <c r="O198" t="str">
        <f t="shared" ca="1" si="69"/>
        <v>-</v>
      </c>
      <c r="R198">
        <f t="shared" ca="1" si="70"/>
        <v>9</v>
      </c>
      <c r="S198">
        <f t="shared" ca="1" si="71"/>
        <v>296</v>
      </c>
      <c r="T198">
        <f t="shared" ca="1" si="72"/>
        <v>1993</v>
      </c>
      <c r="U198">
        <f t="shared" ca="1" si="73"/>
        <v>2002</v>
      </c>
      <c r="V198">
        <f t="shared" ca="1" si="74"/>
        <v>12</v>
      </c>
      <c r="W198">
        <f t="shared" ca="1" si="75"/>
        <v>26</v>
      </c>
    </row>
    <row r="199" spans="1:23">
      <c r="A199" t="s">
        <v>927</v>
      </c>
      <c r="B199" t="str">
        <f t="shared" ca="1" si="57"/>
        <v>吳倩嵐</v>
      </c>
      <c r="C199" t="str">
        <f t="shared" ca="1" si="58"/>
        <v>ｳｰ ﾁｴﾝ ﾗﾝ</v>
      </c>
      <c r="D199" t="str">
        <f t="shared" ca="1" si="59"/>
        <v>Wu Qian Lan</v>
      </c>
      <c r="E199" t="str" cm="1">
        <f t="array" aca="1" ref="E199" ca="1">INDIRECT(ADDRESS(RANDBETWEEN(2,16),7,1,1,"valueBase"))</f>
        <v>男性</v>
      </c>
      <c r="F199" s="5">
        <f t="shared" ca="1" si="60"/>
        <v>23338</v>
      </c>
      <c r="G199" s="5">
        <f t="shared" ca="1" si="61"/>
        <v>45199</v>
      </c>
      <c r="H199" s="5">
        <f t="shared" ca="1" si="62"/>
        <v>45564</v>
      </c>
      <c r="I199" t="str">
        <f t="shared" ca="1" si="63"/>
        <v>090-2272-5885</v>
      </c>
      <c r="J199" t="str">
        <f t="shared" ca="1" si="64"/>
        <v>Wu_Qian Lan_45199@outlook.jp.co</v>
      </c>
      <c r="K199" t="str">
        <f t="shared" ca="1" si="65"/>
        <v>普通</v>
      </c>
      <c r="L199" t="str">
        <f t="shared" ca="1" si="66"/>
        <v>有り</v>
      </c>
      <c r="M199" t="str">
        <f t="shared" ca="1" si="67"/>
        <v>5%</v>
      </c>
      <c r="N199" t="str">
        <f t="shared" ca="1" si="68"/>
        <v>有り</v>
      </c>
      <c r="O199">
        <f t="shared" ca="1" si="69"/>
        <v>383</v>
      </c>
      <c r="R199">
        <f t="shared" ca="1" si="70"/>
        <v>11</v>
      </c>
      <c r="S199">
        <f t="shared" ca="1" si="71"/>
        <v>108</v>
      </c>
      <c r="T199">
        <f t="shared" ca="1" si="72"/>
        <v>1982</v>
      </c>
      <c r="U199">
        <f t="shared" ca="1" si="73"/>
        <v>1990</v>
      </c>
      <c r="V199">
        <f t="shared" ca="1" si="74"/>
        <v>4</v>
      </c>
      <c r="W199">
        <f t="shared" ca="1" si="75"/>
        <v>22</v>
      </c>
    </row>
    <row r="200" spans="1:23">
      <c r="A200" t="s">
        <v>928</v>
      </c>
      <c r="B200" t="str">
        <f t="shared" ca="1" si="57"/>
        <v>楊依邁</v>
      </c>
      <c r="C200" t="str">
        <f t="shared" ca="1" si="58"/>
        <v>ﾔｰﾝ ｲｰ ﾏｲ</v>
      </c>
      <c r="D200" t="str">
        <f t="shared" ca="1" si="59"/>
        <v>Yang Yi Mai</v>
      </c>
      <c r="E200" t="str" cm="1">
        <f t="array" aca="1" ref="E200" ca="1">INDIRECT(ADDRESS(RANDBETWEEN(2,16),7,1,1,"valueBase"))</f>
        <v>男性</v>
      </c>
      <c r="F200" s="5">
        <f t="shared" ca="1" si="60"/>
        <v>28338</v>
      </c>
      <c r="G200" s="5">
        <f t="shared" ca="1" si="61"/>
        <v>45392</v>
      </c>
      <c r="H200" s="5">
        <f t="shared" ca="1" si="62"/>
        <v>46487</v>
      </c>
      <c r="I200" t="str">
        <f t="shared" ca="1" si="63"/>
        <v>090-7072-1041</v>
      </c>
      <c r="J200" t="str">
        <f t="shared" ca="1" si="64"/>
        <v>Yang_Yi_Mai_45392@outlook.jp.co</v>
      </c>
      <c r="K200" t="str">
        <f t="shared" ca="1" si="65"/>
        <v>普通</v>
      </c>
      <c r="L200" t="str">
        <f t="shared" ca="1" si="66"/>
        <v>有り</v>
      </c>
      <c r="M200" t="str">
        <f t="shared" ca="1" si="67"/>
        <v>5%</v>
      </c>
      <c r="N200" t="str">
        <f t="shared" ca="1" si="68"/>
        <v>-</v>
      </c>
      <c r="O200" t="str">
        <f t="shared" ca="1" si="69"/>
        <v>-</v>
      </c>
      <c r="R200">
        <f t="shared" ca="1" si="70"/>
        <v>7</v>
      </c>
      <c r="S200">
        <f t="shared" ca="1" si="71"/>
        <v>166</v>
      </c>
      <c r="T200">
        <f t="shared" ca="1" si="72"/>
        <v>2008</v>
      </c>
      <c r="U200">
        <f t="shared" ca="1" si="73"/>
        <v>2015</v>
      </c>
      <c r="V200">
        <f t="shared" ca="1" si="74"/>
        <v>7</v>
      </c>
      <c r="W200">
        <f t="shared" ca="1" si="75"/>
        <v>7</v>
      </c>
    </row>
    <row r="201" spans="1:23">
      <c r="A201" t="s">
        <v>929</v>
      </c>
      <c r="B201" t="str">
        <f t="shared" ca="1" si="57"/>
        <v>趙憶友</v>
      </c>
      <c r="C201" t="str">
        <f t="shared" ca="1" si="58"/>
        <v>ｼﾞｬｵ ｲｰ ﾖｳ</v>
      </c>
      <c r="D201" t="str">
        <f t="shared" ca="1" si="59"/>
        <v>Zhao Yi You</v>
      </c>
      <c r="E201" t="str" cm="1">
        <f t="array" aca="1" ref="E201" ca="1">INDIRECT(ADDRESS(RANDBETWEEN(2,16),7,1,1,"valueBase"))</f>
        <v>女性</v>
      </c>
      <c r="F201" s="5">
        <f t="shared" ca="1" si="60"/>
        <v>24286</v>
      </c>
      <c r="G201" s="5">
        <f t="shared" ca="1" si="61"/>
        <v>33455</v>
      </c>
      <c r="H201" s="5">
        <f t="shared" ca="1" si="62"/>
        <v>34550</v>
      </c>
      <c r="I201" t="str">
        <f t="shared" ca="1" si="63"/>
        <v>090-1578-1394</v>
      </c>
      <c r="J201" t="str">
        <f t="shared" ca="1" si="64"/>
        <v>Zhao_Yi_You_33455@outlook.jp.co</v>
      </c>
      <c r="K201" t="str">
        <f t="shared" ca="1" si="65"/>
        <v>普通</v>
      </c>
      <c r="L201" t="str">
        <f t="shared" ca="1" si="66"/>
        <v>有り</v>
      </c>
      <c r="M201" t="str">
        <f t="shared" ca="1" si="67"/>
        <v>5%</v>
      </c>
      <c r="N201" t="str">
        <f t="shared" ca="1" si="68"/>
        <v>-</v>
      </c>
      <c r="O201" t="str">
        <f t="shared" ca="1" si="69"/>
        <v>-</v>
      </c>
      <c r="R201">
        <f t="shared" ca="1" si="70"/>
        <v>8</v>
      </c>
      <c r="S201">
        <f t="shared" ca="1" si="71"/>
        <v>219</v>
      </c>
      <c r="T201">
        <f t="shared" ca="1" si="72"/>
        <v>1994</v>
      </c>
      <c r="U201">
        <f t="shared" ca="1" si="73"/>
        <v>2005</v>
      </c>
      <c r="V201">
        <f t="shared" ca="1" si="74"/>
        <v>2</v>
      </c>
      <c r="W201">
        <f t="shared" ca="1" si="75"/>
        <v>1</v>
      </c>
    </row>
    <row r="202" spans="1:23">
      <c r="A202" t="s">
        <v>930</v>
      </c>
      <c r="B202" t="str">
        <f t="shared" ca="1" si="57"/>
        <v>胡皇特</v>
      </c>
      <c r="C202" t="str">
        <f t="shared" ca="1" si="58"/>
        <v>ﾎｩ ﾎﾜｰﾝ ﾄｰｧ</v>
      </c>
      <c r="D202" t="str">
        <f t="shared" ca="1" si="59"/>
        <v>Hu Huang Te</v>
      </c>
      <c r="E202" t="str" cm="1">
        <f t="array" aca="1" ref="E202" ca="1">INDIRECT(ADDRESS(RANDBETWEEN(2,16),7,1,1,"valueBase"))</f>
        <v>女性</v>
      </c>
      <c r="F202" s="5">
        <f t="shared" ca="1" si="60"/>
        <v>29107</v>
      </c>
      <c r="G202" s="5">
        <f t="shared" ca="1" si="61"/>
        <v>44229</v>
      </c>
      <c r="H202" s="5">
        <f t="shared" ca="1" si="62"/>
        <v>45324</v>
      </c>
      <c r="I202" t="str">
        <f t="shared" ca="1" si="63"/>
        <v>090-3967-2060</v>
      </c>
      <c r="J202" t="str">
        <f t="shared" ca="1" si="64"/>
        <v>Hu_Huang_Te_44229@outlook.jp.co</v>
      </c>
      <c r="K202" t="str">
        <f t="shared" ca="1" si="65"/>
        <v>高級</v>
      </c>
      <c r="L202" t="str">
        <f t="shared" ca="1" si="66"/>
        <v>有り</v>
      </c>
      <c r="M202" t="str">
        <f t="shared" ca="1" si="67"/>
        <v>10%</v>
      </c>
      <c r="N202" t="str">
        <f t="shared" ca="1" si="68"/>
        <v>-</v>
      </c>
      <c r="O202" t="str">
        <f t="shared" ca="1" si="69"/>
        <v>-</v>
      </c>
      <c r="R202">
        <f t="shared" ca="1" si="70"/>
        <v>14</v>
      </c>
      <c r="S202">
        <f t="shared" ca="1" si="71"/>
        <v>179</v>
      </c>
      <c r="T202">
        <f t="shared" ca="1" si="72"/>
        <v>2009</v>
      </c>
      <c r="U202">
        <f t="shared" ca="1" si="73"/>
        <v>2021</v>
      </c>
      <c r="V202">
        <f t="shared" ca="1" si="74"/>
        <v>1</v>
      </c>
      <c r="W202">
        <f t="shared" ca="1" si="75"/>
        <v>8</v>
      </c>
    </row>
    <row r="203" spans="1:23">
      <c r="A203" t="s">
        <v>931</v>
      </c>
      <c r="B203" t="str">
        <f t="shared" ca="1" si="57"/>
        <v>韓靜耿</v>
      </c>
      <c r="C203" t="str">
        <f t="shared" ca="1" si="58"/>
        <v>ﾊﾝ ｼﾞｰﾝ ｸﾞｵﾝ</v>
      </c>
      <c r="D203" t="str">
        <f t="shared" ca="1" si="59"/>
        <v>Han Jing Geng</v>
      </c>
      <c r="E203" t="str" cm="1">
        <f t="array" aca="1" ref="E203" ca="1">INDIRECT(ADDRESS(RANDBETWEEN(2,16),7,1,1,"valueBase"))</f>
        <v>-</v>
      </c>
      <c r="F203" s="5">
        <f t="shared" ca="1" si="60"/>
        <v>22505</v>
      </c>
      <c r="G203" s="5">
        <f t="shared" ca="1" si="61"/>
        <v>39047</v>
      </c>
      <c r="H203" s="5">
        <f t="shared" ca="1" si="62"/>
        <v>39777</v>
      </c>
      <c r="I203" t="str">
        <f t="shared" ca="1" si="63"/>
        <v>090-0813-3873</v>
      </c>
      <c r="J203" t="str">
        <f t="shared" ca="1" si="64"/>
        <v>Han_Jing_Geng_39047@outlook.jp.co</v>
      </c>
      <c r="K203" t="str">
        <f t="shared" ca="1" si="65"/>
        <v>普通</v>
      </c>
      <c r="L203" t="str">
        <f t="shared" ca="1" si="66"/>
        <v>有り</v>
      </c>
      <c r="M203" t="str">
        <f t="shared" ca="1" si="67"/>
        <v>5%</v>
      </c>
      <c r="N203" t="str">
        <f t="shared" ca="1" si="68"/>
        <v>有り</v>
      </c>
      <c r="O203">
        <f t="shared" ca="1" si="69"/>
        <v>909</v>
      </c>
      <c r="R203">
        <f t="shared" ca="1" si="70"/>
        <v>26</v>
      </c>
      <c r="S203">
        <f t="shared" ca="1" si="71"/>
        <v>5</v>
      </c>
      <c r="T203">
        <f t="shared" ca="1" si="72"/>
        <v>2008</v>
      </c>
      <c r="U203">
        <f t="shared" ca="1" si="73"/>
        <v>2009</v>
      </c>
      <c r="V203">
        <f t="shared" ca="1" si="74"/>
        <v>2</v>
      </c>
      <c r="W203">
        <f t="shared" ca="1" si="75"/>
        <v>20</v>
      </c>
    </row>
    <row r="204" spans="1:23">
      <c r="A204" t="s">
        <v>932</v>
      </c>
      <c r="B204" t="str">
        <f t="shared" ca="1" si="57"/>
        <v>高天達</v>
      </c>
      <c r="C204" t="str">
        <f t="shared" ca="1" si="58"/>
        <v>ｶﾞｵ ﾃｨｴﾝ ﾀﾞｰ</v>
      </c>
      <c r="D204" t="str">
        <f t="shared" ca="1" si="59"/>
        <v>Gao Tian Da</v>
      </c>
      <c r="E204" t="str" cm="1">
        <f t="array" aca="1" ref="E204" ca="1">INDIRECT(ADDRESS(RANDBETWEEN(2,16),7,1,1,"valueBase"))</f>
        <v>女性</v>
      </c>
      <c r="F204" s="5">
        <f t="shared" ca="1" si="60"/>
        <v>34862</v>
      </c>
      <c r="G204" s="5">
        <f t="shared" ca="1" si="61"/>
        <v>45445</v>
      </c>
      <c r="H204" s="5">
        <f t="shared" ca="1" si="62"/>
        <v>46175</v>
      </c>
      <c r="I204" t="str">
        <f t="shared" ca="1" si="63"/>
        <v>080-2137-3996</v>
      </c>
      <c r="J204" t="str">
        <f t="shared" ca="1" si="64"/>
        <v>Gao_Tian_Da_45445@outlook.jp.co</v>
      </c>
      <c r="K204" t="str">
        <f t="shared" ca="1" si="65"/>
        <v>普通</v>
      </c>
      <c r="L204" t="str">
        <f t="shared" ca="1" si="66"/>
        <v>-</v>
      </c>
      <c r="M204" t="str">
        <f t="shared" ca="1" si="67"/>
        <v>-</v>
      </c>
      <c r="N204" t="str">
        <f t="shared" ca="1" si="68"/>
        <v>有り</v>
      </c>
      <c r="O204">
        <f t="shared" ca="1" si="69"/>
        <v>866</v>
      </c>
      <c r="R204">
        <f t="shared" ca="1" si="70"/>
        <v>16</v>
      </c>
      <c r="S204">
        <f t="shared" ca="1" si="71"/>
        <v>176</v>
      </c>
      <c r="T204">
        <f t="shared" ca="1" si="72"/>
        <v>1997</v>
      </c>
      <c r="U204">
        <f t="shared" ca="1" si="73"/>
        <v>2008</v>
      </c>
      <c r="V204">
        <f t="shared" ca="1" si="74"/>
        <v>12</v>
      </c>
      <c r="W204">
        <f t="shared" ca="1" si="75"/>
        <v>1</v>
      </c>
    </row>
    <row r="205" spans="1:23">
      <c r="A205" t="s">
        <v>933</v>
      </c>
      <c r="B205" t="str">
        <f t="shared" ca="1" si="57"/>
        <v>王宇高</v>
      </c>
      <c r="C205" t="str">
        <f t="shared" ca="1" si="58"/>
        <v>ﾜｰﾝ ﾕｲ ｶﾞｵ</v>
      </c>
      <c r="D205" t="str">
        <f t="shared" ca="1" si="59"/>
        <v>Wang Yu Gao</v>
      </c>
      <c r="E205" t="str" cm="1">
        <f t="array" aca="1" ref="E205" ca="1">INDIRECT(ADDRESS(RANDBETWEEN(2,16),7,1,1,"valueBase"))</f>
        <v>-</v>
      </c>
      <c r="F205" s="5">
        <f t="shared" ca="1" si="60"/>
        <v>29448</v>
      </c>
      <c r="G205" s="5">
        <f t="shared" ca="1" si="61"/>
        <v>40146</v>
      </c>
      <c r="H205" s="5">
        <f t="shared" ca="1" si="62"/>
        <v>40511</v>
      </c>
      <c r="I205" t="str">
        <f t="shared" ca="1" si="63"/>
        <v>090-5805-7142</v>
      </c>
      <c r="J205" t="str">
        <f t="shared" ca="1" si="64"/>
        <v>Wang_Yu_Gao_40146@outlook.jp.co</v>
      </c>
      <c r="K205" t="str">
        <f t="shared" ca="1" si="65"/>
        <v>高級</v>
      </c>
      <c r="L205" t="str">
        <f t="shared" ca="1" si="66"/>
        <v>有り</v>
      </c>
      <c r="M205" t="str">
        <f t="shared" ca="1" si="67"/>
        <v>10%</v>
      </c>
      <c r="N205" t="str">
        <f t="shared" ca="1" si="68"/>
        <v>有り</v>
      </c>
      <c r="O205">
        <f t="shared" ca="1" si="69"/>
        <v>775</v>
      </c>
      <c r="R205">
        <f t="shared" ca="1" si="70"/>
        <v>3</v>
      </c>
      <c r="S205">
        <f t="shared" ca="1" si="71"/>
        <v>216</v>
      </c>
      <c r="T205">
        <f t="shared" ca="1" si="72"/>
        <v>2000</v>
      </c>
      <c r="U205">
        <f t="shared" ca="1" si="73"/>
        <v>2001</v>
      </c>
      <c r="V205">
        <f t="shared" ca="1" si="74"/>
        <v>12</v>
      </c>
      <c r="W205">
        <f t="shared" ca="1" si="75"/>
        <v>12</v>
      </c>
    </row>
    <row r="206" spans="1:23">
      <c r="A206" t="s">
        <v>934</v>
      </c>
      <c r="B206" t="str">
        <f t="shared" ca="1" si="57"/>
        <v>何資繼</v>
      </c>
      <c r="C206" t="str">
        <f t="shared" ca="1" si="58"/>
        <v>ﾎｰｧ ｽﾞｰ ｼﾞｰ</v>
      </c>
      <c r="D206" t="str">
        <f t="shared" ca="1" si="59"/>
        <v>He Zi Ji</v>
      </c>
      <c r="E206" t="str" cm="1">
        <f t="array" aca="1" ref="E206" ca="1">INDIRECT(ADDRESS(RANDBETWEEN(2,16),7,1,1,"valueBase"))</f>
        <v>女性</v>
      </c>
      <c r="F206" s="5">
        <f t="shared" ca="1" si="60"/>
        <v>31801</v>
      </c>
      <c r="G206" s="5">
        <f t="shared" ca="1" si="61"/>
        <v>39736</v>
      </c>
      <c r="H206" s="5">
        <f t="shared" ca="1" si="62"/>
        <v>40831</v>
      </c>
      <c r="I206" t="str">
        <f t="shared" ca="1" si="63"/>
        <v>080-6670-3011</v>
      </c>
      <c r="J206" t="str">
        <f t="shared" ca="1" si="64"/>
        <v>He_Zi_Ji_39736@outlook.jp.co</v>
      </c>
      <c r="K206" t="str">
        <f t="shared" ca="1" si="65"/>
        <v>高級</v>
      </c>
      <c r="L206" t="str">
        <f t="shared" ca="1" si="66"/>
        <v>有り</v>
      </c>
      <c r="M206" t="str">
        <f t="shared" ca="1" si="67"/>
        <v>10%</v>
      </c>
      <c r="N206" t="str">
        <f t="shared" ca="1" si="68"/>
        <v>-</v>
      </c>
      <c r="O206" t="str">
        <f t="shared" ca="1" si="69"/>
        <v>-</v>
      </c>
      <c r="R206">
        <f t="shared" ca="1" si="70"/>
        <v>18</v>
      </c>
      <c r="S206">
        <f t="shared" ca="1" si="71"/>
        <v>130</v>
      </c>
      <c r="T206">
        <f t="shared" ca="1" si="72"/>
        <v>2001</v>
      </c>
      <c r="U206">
        <f t="shared" ca="1" si="73"/>
        <v>2009</v>
      </c>
      <c r="V206">
        <f t="shared" ca="1" si="74"/>
        <v>5</v>
      </c>
      <c r="W206">
        <f t="shared" ca="1" si="75"/>
        <v>31</v>
      </c>
    </row>
    <row r="207" spans="1:23">
      <c r="A207" t="s">
        <v>935</v>
      </c>
      <c r="B207" t="str">
        <f t="shared" ca="1" si="57"/>
        <v>宋碧漢</v>
      </c>
      <c r="C207" t="str">
        <f t="shared" ca="1" si="58"/>
        <v>ｿｰﾝ ﾋﾞｰ ﾊﾝ</v>
      </c>
      <c r="D207" t="str">
        <f t="shared" ca="1" si="59"/>
        <v>Song Bi Han</v>
      </c>
      <c r="E207" t="str" cm="1">
        <f t="array" aca="1" ref="E207" ca="1">INDIRECT(ADDRESS(RANDBETWEEN(2,16),7,1,1,"valueBase"))</f>
        <v>女性</v>
      </c>
      <c r="F207" s="5">
        <f t="shared" ca="1" si="60"/>
        <v>23879</v>
      </c>
      <c r="G207" s="5">
        <f t="shared" ca="1" si="61"/>
        <v>38514</v>
      </c>
      <c r="H207" s="5">
        <f t="shared" ca="1" si="62"/>
        <v>39609</v>
      </c>
      <c r="I207" t="str">
        <f t="shared" ca="1" si="63"/>
        <v>090-8592-1702</v>
      </c>
      <c r="J207" t="str">
        <f t="shared" ca="1" si="64"/>
        <v>Song_Bi_Han_38514@outlook.jp.co</v>
      </c>
      <c r="K207" t="str">
        <f t="shared" ca="1" si="65"/>
        <v>普通</v>
      </c>
      <c r="L207" t="str">
        <f t="shared" ca="1" si="66"/>
        <v>有り</v>
      </c>
      <c r="M207" t="str">
        <f t="shared" ca="1" si="67"/>
        <v>5%</v>
      </c>
      <c r="N207" t="str">
        <f t="shared" ca="1" si="68"/>
        <v>有り</v>
      </c>
      <c r="O207">
        <f t="shared" ca="1" si="69"/>
        <v>10</v>
      </c>
      <c r="R207">
        <f t="shared" ca="1" si="70"/>
        <v>23</v>
      </c>
      <c r="S207">
        <f t="shared" ca="1" si="71"/>
        <v>294</v>
      </c>
      <c r="T207">
        <f t="shared" ca="1" si="72"/>
        <v>1988</v>
      </c>
      <c r="U207">
        <f t="shared" ca="1" si="73"/>
        <v>1993</v>
      </c>
      <c r="V207">
        <f t="shared" ca="1" si="74"/>
        <v>12</v>
      </c>
      <c r="W207">
        <f t="shared" ca="1" si="75"/>
        <v>8</v>
      </c>
    </row>
    <row r="208" spans="1:23">
      <c r="A208" t="s">
        <v>936</v>
      </c>
      <c r="B208" t="str">
        <f t="shared" ca="1" si="57"/>
        <v>吳冰夢</v>
      </c>
      <c r="C208" t="str">
        <f t="shared" ca="1" si="58"/>
        <v>ｳｰ ﾋﾞｰﾝ ﾑｵﾝ</v>
      </c>
      <c r="D208" t="str">
        <f t="shared" ca="1" si="59"/>
        <v>Wu Bing Meng</v>
      </c>
      <c r="E208" t="str" cm="1">
        <f t="array" aca="1" ref="E208" ca="1">INDIRECT(ADDRESS(RANDBETWEEN(2,16),7,1,1,"valueBase"))</f>
        <v>女性</v>
      </c>
      <c r="F208" s="5">
        <f t="shared" ca="1" si="60"/>
        <v>32180</v>
      </c>
      <c r="G208" s="5">
        <f t="shared" ca="1" si="61"/>
        <v>41051</v>
      </c>
      <c r="H208" s="5">
        <f t="shared" ca="1" si="62"/>
        <v>41416</v>
      </c>
      <c r="I208" t="str">
        <f t="shared" ca="1" si="63"/>
        <v>090-6032-1806</v>
      </c>
      <c r="J208" t="str">
        <f t="shared" ca="1" si="64"/>
        <v>Wu_Bing_Meng_41051@outlook.jp.co</v>
      </c>
      <c r="K208" t="str">
        <f t="shared" ca="1" si="65"/>
        <v>高級</v>
      </c>
      <c r="L208" t="str">
        <f t="shared" ca="1" si="66"/>
        <v>有り</v>
      </c>
      <c r="M208" t="str">
        <f t="shared" ca="1" si="67"/>
        <v>10%</v>
      </c>
      <c r="N208" t="str">
        <f t="shared" ca="1" si="68"/>
        <v>有り</v>
      </c>
      <c r="O208">
        <f t="shared" ca="1" si="69"/>
        <v>505</v>
      </c>
      <c r="R208">
        <f t="shared" ca="1" si="70"/>
        <v>11</v>
      </c>
      <c r="S208">
        <f t="shared" ca="1" si="71"/>
        <v>136</v>
      </c>
      <c r="T208">
        <f t="shared" ca="1" si="72"/>
        <v>1994</v>
      </c>
      <c r="U208">
        <f t="shared" ca="1" si="73"/>
        <v>2006</v>
      </c>
      <c r="V208">
        <f t="shared" ca="1" si="74"/>
        <v>9</v>
      </c>
      <c r="W208">
        <f t="shared" ca="1" si="75"/>
        <v>4</v>
      </c>
    </row>
    <row r="209" spans="1:23">
      <c r="A209" t="s">
        <v>937</v>
      </c>
      <c r="B209" t="str">
        <f t="shared" ca="1" si="57"/>
        <v>高萌至</v>
      </c>
      <c r="C209" t="str">
        <f t="shared" ca="1" si="58"/>
        <v>ｶﾞｵ ﾑｵﾝ ｼﾞｰ</v>
      </c>
      <c r="D209" t="str">
        <f t="shared" ca="1" si="59"/>
        <v>Gao Meng Zhi</v>
      </c>
      <c r="E209" t="str" cm="1">
        <f t="array" aca="1" ref="E209" ca="1">INDIRECT(ADDRESS(RANDBETWEEN(2,16),7,1,1,"valueBase"))</f>
        <v>女性</v>
      </c>
      <c r="F209" s="5">
        <f t="shared" ca="1" si="60"/>
        <v>37168</v>
      </c>
      <c r="G209" s="5">
        <f t="shared" ca="1" si="61"/>
        <v>45063</v>
      </c>
      <c r="H209" s="5">
        <f t="shared" ca="1" si="62"/>
        <v>46158</v>
      </c>
      <c r="I209" t="str">
        <f t="shared" ca="1" si="63"/>
        <v>090-6958-5921</v>
      </c>
      <c r="J209" t="str">
        <f t="shared" ca="1" si="64"/>
        <v>Gao_Meng_Zhi_45063@outlook.jp.co</v>
      </c>
      <c r="K209" t="str">
        <f t="shared" ca="1" si="65"/>
        <v>普通</v>
      </c>
      <c r="L209" t="str">
        <f t="shared" ca="1" si="66"/>
        <v>-</v>
      </c>
      <c r="M209" t="str">
        <f t="shared" ca="1" si="67"/>
        <v>-</v>
      </c>
      <c r="N209" t="str">
        <f t="shared" ca="1" si="68"/>
        <v>有り</v>
      </c>
      <c r="O209">
        <f t="shared" ca="1" si="69"/>
        <v>36</v>
      </c>
      <c r="R209">
        <f t="shared" ca="1" si="70"/>
        <v>16</v>
      </c>
      <c r="S209">
        <f t="shared" ca="1" si="71"/>
        <v>139</v>
      </c>
      <c r="T209">
        <f t="shared" ca="1" si="72"/>
        <v>1975</v>
      </c>
      <c r="U209">
        <f t="shared" ca="1" si="73"/>
        <v>1984</v>
      </c>
      <c r="V209">
        <f t="shared" ca="1" si="74"/>
        <v>5</v>
      </c>
      <c r="W209">
        <f t="shared" ca="1" si="75"/>
        <v>23</v>
      </c>
    </row>
    <row r="210" spans="1:23">
      <c r="A210" t="s">
        <v>938</v>
      </c>
      <c r="B210" t="str">
        <f t="shared" ca="1" si="57"/>
        <v>陳祖萱</v>
      </c>
      <c r="C210" t="str">
        <f t="shared" ca="1" si="58"/>
        <v>ﾁｪﾝ ｽﾞｩ ｼｭｴﾝ</v>
      </c>
      <c r="D210" t="str">
        <f t="shared" ca="1" si="59"/>
        <v>Chen Zu Xuan</v>
      </c>
      <c r="E210" t="str" cm="1">
        <f t="array" aca="1" ref="E210" ca="1">INDIRECT(ADDRESS(RANDBETWEEN(2,16),7,1,1,"valueBase"))</f>
        <v>男性</v>
      </c>
      <c r="F210" s="5">
        <f t="shared" ca="1" si="60"/>
        <v>23793</v>
      </c>
      <c r="G210" s="5">
        <f t="shared" ca="1" si="61"/>
        <v>35317</v>
      </c>
      <c r="H210" s="5">
        <f t="shared" ca="1" si="62"/>
        <v>36047</v>
      </c>
      <c r="I210" t="str">
        <f t="shared" ca="1" si="63"/>
        <v>080-6030-4871</v>
      </c>
      <c r="J210" t="str">
        <f t="shared" ca="1" si="64"/>
        <v>Chen_Zu_Xuan_35317@outlook.jp.co</v>
      </c>
      <c r="K210" t="str">
        <f t="shared" ca="1" si="65"/>
        <v>普通</v>
      </c>
      <c r="L210" t="str">
        <f t="shared" ca="1" si="66"/>
        <v>有り</v>
      </c>
      <c r="M210" t="str">
        <f t="shared" ca="1" si="67"/>
        <v>5%</v>
      </c>
      <c r="N210" t="str">
        <f t="shared" ca="1" si="68"/>
        <v>有り</v>
      </c>
      <c r="O210">
        <f t="shared" ca="1" si="69"/>
        <v>860</v>
      </c>
      <c r="R210">
        <f t="shared" ca="1" si="70"/>
        <v>6</v>
      </c>
      <c r="S210">
        <f t="shared" ca="1" si="71"/>
        <v>158</v>
      </c>
      <c r="T210">
        <f t="shared" ca="1" si="72"/>
        <v>1995</v>
      </c>
      <c r="U210">
        <f t="shared" ca="1" si="73"/>
        <v>1999</v>
      </c>
      <c r="V210">
        <f t="shared" ca="1" si="74"/>
        <v>6</v>
      </c>
      <c r="W210">
        <f t="shared" ca="1" si="75"/>
        <v>2</v>
      </c>
    </row>
    <row r="211" spans="1:23">
      <c r="A211" t="s">
        <v>939</v>
      </c>
      <c r="B211" t="str">
        <f t="shared" ca="1" si="57"/>
        <v>韓祖彥</v>
      </c>
      <c r="C211" t="str">
        <f t="shared" ca="1" si="58"/>
        <v>ﾊﾝ ｽﾞｩ ｲｴﾝ</v>
      </c>
      <c r="D211" t="str">
        <f t="shared" ca="1" si="59"/>
        <v>Han Zu Yan</v>
      </c>
      <c r="E211" t="str" cm="1">
        <f t="array" aca="1" ref="E211" ca="1">INDIRECT(ADDRESS(RANDBETWEEN(2,16),7,1,1,"valueBase"))</f>
        <v>女性</v>
      </c>
      <c r="F211" s="5">
        <f t="shared" ca="1" si="60"/>
        <v>27867</v>
      </c>
      <c r="G211" s="5">
        <f t="shared" ca="1" si="61"/>
        <v>42322</v>
      </c>
      <c r="H211" s="5">
        <f t="shared" ca="1" si="62"/>
        <v>42687</v>
      </c>
      <c r="I211" t="str">
        <f t="shared" ca="1" si="63"/>
        <v>090-8714-6623</v>
      </c>
      <c r="J211" t="str">
        <f t="shared" ca="1" si="64"/>
        <v>Han_Zu_Yan_42322@outlook.jp.co</v>
      </c>
      <c r="K211" t="str">
        <f t="shared" ca="1" si="65"/>
        <v>普通</v>
      </c>
      <c r="L211" t="str">
        <f t="shared" ca="1" si="66"/>
        <v>有り</v>
      </c>
      <c r="M211" t="str">
        <f t="shared" ca="1" si="67"/>
        <v>5%</v>
      </c>
      <c r="N211" t="str">
        <f t="shared" ca="1" si="68"/>
        <v>有り</v>
      </c>
      <c r="O211">
        <f t="shared" ca="1" si="69"/>
        <v>693</v>
      </c>
      <c r="R211">
        <f t="shared" ca="1" si="70"/>
        <v>26</v>
      </c>
      <c r="S211">
        <f t="shared" ca="1" si="71"/>
        <v>224</v>
      </c>
      <c r="T211">
        <f t="shared" ca="1" si="72"/>
        <v>1975</v>
      </c>
      <c r="U211">
        <f t="shared" ca="1" si="73"/>
        <v>1979</v>
      </c>
      <c r="V211">
        <f t="shared" ca="1" si="74"/>
        <v>11</v>
      </c>
      <c r="W211">
        <f t="shared" ca="1" si="75"/>
        <v>15</v>
      </c>
    </row>
    <row r="212" spans="1:23">
      <c r="A212" t="s">
        <v>940</v>
      </c>
      <c r="B212" t="str">
        <f t="shared" ca="1" si="57"/>
        <v>胡冠生</v>
      </c>
      <c r="C212" t="str">
        <f t="shared" ca="1" si="58"/>
        <v>ﾎｩ ｸﾞﾜﾝ ｼｭﾖﾝ</v>
      </c>
      <c r="D212" t="str">
        <f t="shared" ca="1" si="59"/>
        <v>Hu Guan Sheng</v>
      </c>
      <c r="E212" t="str" cm="1">
        <f t="array" aca="1" ref="E212" ca="1">INDIRECT(ADDRESS(RANDBETWEEN(2,16),7,1,1,"valueBase"))</f>
        <v>男性</v>
      </c>
      <c r="F212" s="5">
        <f t="shared" ca="1" si="60"/>
        <v>23905</v>
      </c>
      <c r="G212" s="5">
        <f t="shared" ca="1" si="61"/>
        <v>41694</v>
      </c>
      <c r="H212" s="5">
        <f t="shared" ca="1" si="62"/>
        <v>42059</v>
      </c>
      <c r="I212" t="str">
        <f t="shared" ca="1" si="63"/>
        <v>090-1471-9798</v>
      </c>
      <c r="J212" t="str">
        <f t="shared" ca="1" si="64"/>
        <v>Hu_Guan_Sheng_41694@outlook.jp.co</v>
      </c>
      <c r="K212" t="str">
        <f t="shared" ca="1" si="65"/>
        <v>普通</v>
      </c>
      <c r="L212" t="str">
        <f t="shared" ca="1" si="66"/>
        <v>-</v>
      </c>
      <c r="M212" t="str">
        <f t="shared" ca="1" si="67"/>
        <v>-</v>
      </c>
      <c r="N212" t="str">
        <f t="shared" ca="1" si="68"/>
        <v>-</v>
      </c>
      <c r="O212" t="str">
        <f t="shared" ca="1" si="69"/>
        <v>-</v>
      </c>
      <c r="R212">
        <f t="shared" ca="1" si="70"/>
        <v>14</v>
      </c>
      <c r="S212">
        <f t="shared" ca="1" si="71"/>
        <v>115</v>
      </c>
      <c r="T212">
        <f t="shared" ca="1" si="72"/>
        <v>2003</v>
      </c>
      <c r="U212">
        <f t="shared" ca="1" si="73"/>
        <v>2004</v>
      </c>
      <c r="V212">
        <f t="shared" ca="1" si="74"/>
        <v>3</v>
      </c>
      <c r="W212">
        <f t="shared" ca="1" si="75"/>
        <v>4</v>
      </c>
    </row>
    <row r="213" spans="1:23">
      <c r="A213" t="s">
        <v>941</v>
      </c>
      <c r="B213" t="str">
        <f t="shared" ca="1" si="57"/>
        <v>馬勁綠</v>
      </c>
      <c r="C213" t="str">
        <f t="shared" ca="1" si="58"/>
        <v>ﾏｰ ｼﾞﾝ ﾙｩｨ</v>
      </c>
      <c r="D213" t="str">
        <f t="shared" ca="1" si="59"/>
        <v>Ma Jin Lü</v>
      </c>
      <c r="E213" t="str" cm="1">
        <f t="array" aca="1" ref="E213" ca="1">INDIRECT(ADDRESS(RANDBETWEEN(2,16),7,1,1,"valueBase"))</f>
        <v>女性</v>
      </c>
      <c r="F213" s="5">
        <f t="shared" ca="1" si="60"/>
        <v>25511</v>
      </c>
      <c r="G213" s="5">
        <f t="shared" ca="1" si="61"/>
        <v>40205</v>
      </c>
      <c r="H213" s="5">
        <f t="shared" ca="1" si="62"/>
        <v>40935</v>
      </c>
      <c r="I213" t="str">
        <f t="shared" ca="1" si="63"/>
        <v>080-8745-7269</v>
      </c>
      <c r="J213" t="str">
        <f t="shared" ca="1" si="64"/>
        <v>Ma_Jin Lü_40205@outlook.jp.co</v>
      </c>
      <c r="K213" t="str">
        <f t="shared" ca="1" si="65"/>
        <v>高級</v>
      </c>
      <c r="L213" t="str">
        <f t="shared" ca="1" si="66"/>
        <v>有り</v>
      </c>
      <c r="M213" t="str">
        <f t="shared" ca="1" si="67"/>
        <v>10%</v>
      </c>
      <c r="N213" t="str">
        <f t="shared" ca="1" si="68"/>
        <v>有り</v>
      </c>
      <c r="O213">
        <f t="shared" ca="1" si="69"/>
        <v>868</v>
      </c>
      <c r="R213">
        <f t="shared" ca="1" si="70"/>
        <v>20</v>
      </c>
      <c r="S213">
        <f t="shared" ca="1" si="71"/>
        <v>223</v>
      </c>
      <c r="T213">
        <f t="shared" ca="1" si="72"/>
        <v>2008</v>
      </c>
      <c r="U213">
        <f t="shared" ca="1" si="73"/>
        <v>2011</v>
      </c>
      <c r="V213">
        <f t="shared" ca="1" si="74"/>
        <v>3</v>
      </c>
      <c r="W213">
        <f t="shared" ca="1" si="75"/>
        <v>19</v>
      </c>
    </row>
    <row r="214" spans="1:23">
      <c r="A214" t="s">
        <v>942</v>
      </c>
      <c r="B214" t="str">
        <f t="shared" ca="1" si="57"/>
        <v>宋飛湖</v>
      </c>
      <c r="C214" t="str">
        <f t="shared" ca="1" si="58"/>
        <v>ｿｰﾝ ﾌｪｲ ﾎｩ</v>
      </c>
      <c r="D214" t="str">
        <f t="shared" ca="1" si="59"/>
        <v>Song Fei Hu</v>
      </c>
      <c r="E214" t="str" cm="1">
        <f t="array" aca="1" ref="E214" ca="1">INDIRECT(ADDRESS(RANDBETWEEN(2,16),7,1,1,"valueBase"))</f>
        <v>男性</v>
      </c>
      <c r="F214" s="5">
        <f t="shared" ca="1" si="60"/>
        <v>36404</v>
      </c>
      <c r="G214" s="5">
        <f t="shared" ca="1" si="61"/>
        <v>43552</v>
      </c>
      <c r="H214" s="5">
        <f t="shared" ca="1" si="62"/>
        <v>44282</v>
      </c>
      <c r="I214" t="str">
        <f t="shared" ca="1" si="63"/>
        <v>080-6803-6127</v>
      </c>
      <c r="J214" t="str">
        <f t="shared" ca="1" si="64"/>
        <v>Song_Fei_Hu_43552@outlook.jp.co</v>
      </c>
      <c r="K214" t="str">
        <f t="shared" ca="1" si="65"/>
        <v>高級</v>
      </c>
      <c r="L214" t="str">
        <f t="shared" ca="1" si="66"/>
        <v>有り</v>
      </c>
      <c r="M214" t="str">
        <f t="shared" ca="1" si="67"/>
        <v>10%</v>
      </c>
      <c r="N214" t="str">
        <f t="shared" ca="1" si="68"/>
        <v>有り</v>
      </c>
      <c r="O214">
        <f t="shared" ca="1" si="69"/>
        <v>2</v>
      </c>
      <c r="R214">
        <f t="shared" ca="1" si="70"/>
        <v>23</v>
      </c>
      <c r="S214">
        <f t="shared" ca="1" si="71"/>
        <v>231</v>
      </c>
      <c r="T214">
        <f t="shared" ca="1" si="72"/>
        <v>1984</v>
      </c>
      <c r="U214">
        <f t="shared" ca="1" si="73"/>
        <v>1989</v>
      </c>
      <c r="V214">
        <f t="shared" ca="1" si="74"/>
        <v>3</v>
      </c>
      <c r="W214">
        <f t="shared" ca="1" si="75"/>
        <v>14</v>
      </c>
    </row>
    <row r="215" spans="1:23">
      <c r="A215" t="s">
        <v>943</v>
      </c>
      <c r="B215" t="str">
        <f t="shared" ca="1" si="57"/>
        <v>鄭彥臨</v>
      </c>
      <c r="C215" t="str">
        <f t="shared" ca="1" si="58"/>
        <v>ｼﾞｭﾖﾝ ｲｴﾝ ﾘﾝ</v>
      </c>
      <c r="D215" t="str">
        <f t="shared" ca="1" si="59"/>
        <v>Zheng Yan Lin</v>
      </c>
      <c r="E215" t="str" cm="1">
        <f t="array" aca="1" ref="E215" ca="1">INDIRECT(ADDRESS(RANDBETWEEN(2,16),7,1,1,"valueBase"))</f>
        <v>男性</v>
      </c>
      <c r="F215" s="5">
        <f t="shared" ca="1" si="60"/>
        <v>37278</v>
      </c>
      <c r="G215" s="5">
        <f t="shared" ca="1" si="61"/>
        <v>44550</v>
      </c>
      <c r="H215" s="5">
        <f t="shared" ca="1" si="62"/>
        <v>45645</v>
      </c>
      <c r="I215" t="str">
        <f t="shared" ca="1" si="63"/>
        <v>080-7178-4263</v>
      </c>
      <c r="J215" t="str">
        <f t="shared" ca="1" si="64"/>
        <v>Zheng_Yan_Lin_44550@outlook.jp.co</v>
      </c>
      <c r="K215" t="str">
        <f t="shared" ca="1" si="65"/>
        <v>高級</v>
      </c>
      <c r="L215" t="str">
        <f t="shared" ca="1" si="66"/>
        <v>有り</v>
      </c>
      <c r="M215" t="str">
        <f t="shared" ca="1" si="67"/>
        <v>10%</v>
      </c>
      <c r="N215" t="str">
        <f t="shared" ca="1" si="68"/>
        <v>有り</v>
      </c>
      <c r="O215">
        <f t="shared" ca="1" si="69"/>
        <v>377</v>
      </c>
      <c r="R215">
        <f t="shared" ca="1" si="70"/>
        <v>24</v>
      </c>
      <c r="S215">
        <f t="shared" ca="1" si="71"/>
        <v>12</v>
      </c>
      <c r="T215">
        <f t="shared" ca="1" si="72"/>
        <v>1971</v>
      </c>
      <c r="U215">
        <f t="shared" ca="1" si="73"/>
        <v>1982</v>
      </c>
      <c r="V215">
        <f t="shared" ca="1" si="74"/>
        <v>2</v>
      </c>
      <c r="W215">
        <f t="shared" ca="1" si="75"/>
        <v>5</v>
      </c>
    </row>
    <row r="216" spans="1:23">
      <c r="A216" t="s">
        <v>944</v>
      </c>
      <c r="B216" t="str">
        <f t="shared" ca="1" si="57"/>
        <v>楊依邁</v>
      </c>
      <c r="C216" t="str">
        <f t="shared" ca="1" si="58"/>
        <v>ﾔｰﾝ ｲｰ ﾏｲ</v>
      </c>
      <c r="D216" t="str">
        <f t="shared" ca="1" si="59"/>
        <v>Yang Yi Mai</v>
      </c>
      <c r="E216" t="str" cm="1">
        <f t="array" aca="1" ref="E216" ca="1">INDIRECT(ADDRESS(RANDBETWEEN(2,16),7,1,1,"valueBase"))</f>
        <v>女性</v>
      </c>
      <c r="F216" s="5">
        <f t="shared" ca="1" si="60"/>
        <v>35586</v>
      </c>
      <c r="G216" s="5">
        <f t="shared" ca="1" si="61"/>
        <v>42184</v>
      </c>
      <c r="H216" s="5">
        <f t="shared" ca="1" si="62"/>
        <v>42914</v>
      </c>
      <c r="I216" t="str">
        <f t="shared" ca="1" si="63"/>
        <v>080-6858-6783</v>
      </c>
      <c r="J216" t="str">
        <f t="shared" ca="1" si="64"/>
        <v>Yang_Yi_Mai_42184@outlook.jp.co</v>
      </c>
      <c r="K216" t="str">
        <f t="shared" ca="1" si="65"/>
        <v>普通</v>
      </c>
      <c r="L216" t="str">
        <f t="shared" ca="1" si="66"/>
        <v>有り</v>
      </c>
      <c r="M216" t="str">
        <f t="shared" ca="1" si="67"/>
        <v>5%</v>
      </c>
      <c r="N216" t="str">
        <f t="shared" ca="1" si="68"/>
        <v>有り</v>
      </c>
      <c r="O216">
        <f t="shared" ca="1" si="69"/>
        <v>721</v>
      </c>
      <c r="R216">
        <f t="shared" ca="1" si="70"/>
        <v>7</v>
      </c>
      <c r="S216">
        <f t="shared" ca="1" si="71"/>
        <v>166</v>
      </c>
      <c r="T216">
        <f t="shared" ca="1" si="72"/>
        <v>2004</v>
      </c>
      <c r="U216">
        <f t="shared" ca="1" si="73"/>
        <v>2005</v>
      </c>
      <c r="V216">
        <f t="shared" ca="1" si="74"/>
        <v>1</v>
      </c>
      <c r="W216">
        <f t="shared" ca="1" si="75"/>
        <v>5</v>
      </c>
    </row>
    <row r="217" spans="1:23">
      <c r="A217" t="s">
        <v>945</v>
      </c>
      <c r="B217" t="str">
        <f t="shared" ca="1" si="57"/>
        <v>王烈斌</v>
      </c>
      <c r="C217" t="str">
        <f t="shared" ca="1" si="58"/>
        <v>ﾜｰﾝ ﾘｴ ﾋﾞﾝ</v>
      </c>
      <c r="D217" t="str">
        <f t="shared" ca="1" si="59"/>
        <v>Wang Lie Bin</v>
      </c>
      <c r="E217" t="str" cm="1">
        <f t="array" aca="1" ref="E217" ca="1">INDIRECT(ADDRESS(RANDBETWEEN(2,16),7,1,1,"valueBase"))</f>
        <v>女性</v>
      </c>
      <c r="F217" s="5">
        <f t="shared" ca="1" si="60"/>
        <v>30750</v>
      </c>
      <c r="G217" s="5">
        <f t="shared" ca="1" si="61"/>
        <v>45192</v>
      </c>
      <c r="H217" s="5">
        <f t="shared" ca="1" si="62"/>
        <v>46287</v>
      </c>
      <c r="I217" t="str">
        <f t="shared" ca="1" si="63"/>
        <v>090-0770-5290</v>
      </c>
      <c r="J217" t="str">
        <f t="shared" ca="1" si="64"/>
        <v>Wang_Lie_Bin_45192@outlook.jp.co</v>
      </c>
      <c r="K217" t="str">
        <f t="shared" ca="1" si="65"/>
        <v>普通</v>
      </c>
      <c r="L217" t="str">
        <f t="shared" ca="1" si="66"/>
        <v>有り</v>
      </c>
      <c r="M217" t="str">
        <f t="shared" ca="1" si="67"/>
        <v>5%</v>
      </c>
      <c r="N217" t="str">
        <f t="shared" ca="1" si="68"/>
        <v>有り</v>
      </c>
      <c r="O217">
        <f t="shared" ca="1" si="69"/>
        <v>137</v>
      </c>
      <c r="R217">
        <f t="shared" ca="1" si="70"/>
        <v>3</v>
      </c>
      <c r="S217">
        <f t="shared" ca="1" si="71"/>
        <v>322</v>
      </c>
      <c r="T217">
        <f t="shared" ca="1" si="72"/>
        <v>1979</v>
      </c>
      <c r="U217">
        <f t="shared" ca="1" si="73"/>
        <v>1982</v>
      </c>
      <c r="V217">
        <f t="shared" ca="1" si="74"/>
        <v>4</v>
      </c>
      <c r="W217">
        <f t="shared" ca="1" si="75"/>
        <v>18</v>
      </c>
    </row>
    <row r="218" spans="1:23">
      <c r="A218" t="s">
        <v>946</v>
      </c>
      <c r="B218" t="str">
        <f t="shared" ca="1" si="57"/>
        <v>梁譽昌</v>
      </c>
      <c r="C218" t="str">
        <f t="shared" ca="1" si="58"/>
        <v>ﾘﾔｰﾝ ﾕｲ ﾁｬｰﾝ</v>
      </c>
      <c r="D218" t="str">
        <f t="shared" ca="1" si="59"/>
        <v>Liang Yu Chang</v>
      </c>
      <c r="E218" t="str" cm="1">
        <f t="array" aca="1" ref="E218" ca="1">INDIRECT(ADDRESS(RANDBETWEEN(2,16),7,1,1,"valueBase"))</f>
        <v>男性</v>
      </c>
      <c r="F218" s="5">
        <f t="shared" ca="1" si="60"/>
        <v>31741</v>
      </c>
      <c r="G218" s="5">
        <f t="shared" ca="1" si="61"/>
        <v>40309</v>
      </c>
      <c r="H218" s="5">
        <f t="shared" ca="1" si="62"/>
        <v>41404</v>
      </c>
      <c r="I218" t="str">
        <f t="shared" ca="1" si="63"/>
        <v>080-4197-0596</v>
      </c>
      <c r="J218" t="str">
        <f t="shared" ca="1" si="64"/>
        <v>Liang_Yu_Chang_40309@outlook.jp.co</v>
      </c>
      <c r="K218" t="str">
        <f t="shared" ca="1" si="65"/>
        <v>高級</v>
      </c>
      <c r="L218" t="str">
        <f t="shared" ca="1" si="66"/>
        <v>有り</v>
      </c>
      <c r="M218" t="str">
        <f t="shared" ca="1" si="67"/>
        <v>10%</v>
      </c>
      <c r="N218" t="str">
        <f t="shared" ca="1" si="68"/>
        <v>有り</v>
      </c>
      <c r="O218">
        <f t="shared" ca="1" si="69"/>
        <v>403</v>
      </c>
      <c r="R218">
        <f t="shared" ca="1" si="70"/>
        <v>22</v>
      </c>
      <c r="S218">
        <f t="shared" ca="1" si="71"/>
        <v>317</v>
      </c>
      <c r="T218">
        <f t="shared" ca="1" si="72"/>
        <v>1971</v>
      </c>
      <c r="U218">
        <f t="shared" ca="1" si="73"/>
        <v>1978</v>
      </c>
      <c r="V218">
        <f t="shared" ca="1" si="74"/>
        <v>11</v>
      </c>
      <c r="W218">
        <f t="shared" ca="1" si="75"/>
        <v>30</v>
      </c>
    </row>
    <row r="219" spans="1:23">
      <c r="A219" t="s">
        <v>947</v>
      </c>
      <c r="B219" t="str">
        <f t="shared" ca="1" si="57"/>
        <v>劉孝海</v>
      </c>
      <c r="C219" t="str">
        <f t="shared" ca="1" si="58"/>
        <v>ﾘｳ ｼﾔｵ ﾊｲ</v>
      </c>
      <c r="D219" t="str">
        <f t="shared" ca="1" si="59"/>
        <v>Liu Xiao Hai</v>
      </c>
      <c r="E219" t="str" cm="1">
        <f t="array" aca="1" ref="E219" ca="1">INDIRECT(ADDRESS(RANDBETWEEN(2,16),7,1,1,"valueBase"))</f>
        <v>女性</v>
      </c>
      <c r="F219" s="5">
        <f t="shared" ca="1" si="60"/>
        <v>31000</v>
      </c>
      <c r="G219" s="5">
        <f t="shared" ca="1" si="61"/>
        <v>45131</v>
      </c>
      <c r="H219" s="5">
        <f t="shared" ca="1" si="62"/>
        <v>45861</v>
      </c>
      <c r="I219" t="str">
        <f t="shared" ca="1" si="63"/>
        <v>080-4916-5698</v>
      </c>
      <c r="J219" t="str">
        <f t="shared" ca="1" si="64"/>
        <v>Liu_Xiao_Hai_45131@outlook.jp.co</v>
      </c>
      <c r="K219" t="str">
        <f t="shared" ca="1" si="65"/>
        <v>高級</v>
      </c>
      <c r="L219" t="str">
        <f t="shared" ca="1" si="66"/>
        <v>有り</v>
      </c>
      <c r="M219" t="str">
        <f t="shared" ca="1" si="67"/>
        <v>10%</v>
      </c>
      <c r="N219" t="str">
        <f t="shared" ca="1" si="68"/>
        <v>-</v>
      </c>
      <c r="O219" t="str">
        <f t="shared" ca="1" si="69"/>
        <v>-</v>
      </c>
      <c r="R219">
        <f t="shared" ca="1" si="70"/>
        <v>5</v>
      </c>
      <c r="S219">
        <f t="shared" ca="1" si="71"/>
        <v>100</v>
      </c>
      <c r="T219">
        <f t="shared" ca="1" si="72"/>
        <v>1974</v>
      </c>
      <c r="U219">
        <f t="shared" ca="1" si="73"/>
        <v>1983</v>
      </c>
      <c r="V219">
        <f t="shared" ca="1" si="74"/>
        <v>5</v>
      </c>
      <c r="W219">
        <f t="shared" ca="1" si="75"/>
        <v>19</v>
      </c>
    </row>
    <row r="220" spans="1:23">
      <c r="A220" t="s">
        <v>948</v>
      </c>
      <c r="B220" t="str">
        <f t="shared" ca="1" si="57"/>
        <v>韓忠博</v>
      </c>
      <c r="C220" t="str">
        <f t="shared" ca="1" si="58"/>
        <v>ﾊﾝ ｼﾞｮｰﾝ ﾎﾞｰ</v>
      </c>
      <c r="D220" t="str">
        <f t="shared" ca="1" si="59"/>
        <v>Han Zhong Bo</v>
      </c>
      <c r="E220" t="str" cm="1">
        <f t="array" aca="1" ref="E220" ca="1">INDIRECT(ADDRESS(RANDBETWEEN(2,16),7,1,1,"valueBase"))</f>
        <v>女性</v>
      </c>
      <c r="F220" s="5">
        <f t="shared" ca="1" si="60"/>
        <v>29427</v>
      </c>
      <c r="G220" s="5">
        <f t="shared" ca="1" si="61"/>
        <v>40675</v>
      </c>
      <c r="H220" s="5">
        <f t="shared" ca="1" si="62"/>
        <v>41405</v>
      </c>
      <c r="I220" t="str">
        <f t="shared" ca="1" si="63"/>
        <v>080-4255-1254</v>
      </c>
      <c r="J220" t="str">
        <f t="shared" ca="1" si="64"/>
        <v>Han_Zhong_Bo_40675@outlook.jp.co</v>
      </c>
      <c r="K220" t="str">
        <f t="shared" ca="1" si="65"/>
        <v>高級</v>
      </c>
      <c r="L220" t="str">
        <f t="shared" ca="1" si="66"/>
        <v>有り</v>
      </c>
      <c r="M220" t="str">
        <f t="shared" ca="1" si="67"/>
        <v>10%</v>
      </c>
      <c r="N220" t="str">
        <f t="shared" ca="1" si="68"/>
        <v>有り</v>
      </c>
      <c r="O220">
        <f t="shared" ca="1" si="69"/>
        <v>915</v>
      </c>
      <c r="R220">
        <f t="shared" ca="1" si="70"/>
        <v>26</v>
      </c>
      <c r="S220">
        <f t="shared" ca="1" si="71"/>
        <v>23</v>
      </c>
      <c r="T220">
        <f t="shared" ca="1" si="72"/>
        <v>2009</v>
      </c>
      <c r="U220">
        <f t="shared" ca="1" si="73"/>
        <v>2017</v>
      </c>
      <c r="V220">
        <f t="shared" ca="1" si="74"/>
        <v>11</v>
      </c>
      <c r="W220">
        <f t="shared" ca="1" si="75"/>
        <v>11</v>
      </c>
    </row>
    <row r="221" spans="1:23">
      <c r="A221" t="s">
        <v>949</v>
      </c>
      <c r="B221" t="str">
        <f t="shared" ca="1" si="57"/>
        <v>胡冠聆</v>
      </c>
      <c r="C221" t="str">
        <f t="shared" ca="1" si="58"/>
        <v>ﾎｩ ｸﾞﾜﾝ ﾘｰﾝ</v>
      </c>
      <c r="D221" t="str">
        <f t="shared" ca="1" si="59"/>
        <v>Hu Guan Ling</v>
      </c>
      <c r="E221" t="str" cm="1">
        <f t="array" aca="1" ref="E221" ca="1">INDIRECT(ADDRESS(RANDBETWEEN(2,16),7,1,1,"valueBase"))</f>
        <v>女性</v>
      </c>
      <c r="F221" s="5">
        <f t="shared" ca="1" si="60"/>
        <v>29797</v>
      </c>
      <c r="G221" s="5">
        <f t="shared" ca="1" si="61"/>
        <v>36959</v>
      </c>
      <c r="H221" s="5">
        <f t="shared" ca="1" si="62"/>
        <v>38054</v>
      </c>
      <c r="I221" t="str">
        <f t="shared" ca="1" si="63"/>
        <v>090-7357-6986</v>
      </c>
      <c r="J221" t="str">
        <f t="shared" ca="1" si="64"/>
        <v>Hu_Guan_Ling_36959@outlook.jp.co</v>
      </c>
      <c r="K221" t="str">
        <f t="shared" ca="1" si="65"/>
        <v>高級</v>
      </c>
      <c r="L221" t="str">
        <f t="shared" ca="1" si="66"/>
        <v>有り</v>
      </c>
      <c r="M221" t="str">
        <f t="shared" ca="1" si="67"/>
        <v>10%</v>
      </c>
      <c r="N221" t="str">
        <f t="shared" ca="1" si="68"/>
        <v>有り</v>
      </c>
      <c r="O221">
        <f t="shared" ca="1" si="69"/>
        <v>839</v>
      </c>
      <c r="R221">
        <f t="shared" ca="1" si="70"/>
        <v>14</v>
      </c>
      <c r="S221">
        <f t="shared" ca="1" si="71"/>
        <v>156</v>
      </c>
      <c r="T221">
        <f t="shared" ca="1" si="72"/>
        <v>1977</v>
      </c>
      <c r="U221">
        <f t="shared" ca="1" si="73"/>
        <v>1980</v>
      </c>
      <c r="V221">
        <f t="shared" ca="1" si="74"/>
        <v>10</v>
      </c>
      <c r="W221">
        <f t="shared" ca="1" si="75"/>
        <v>21</v>
      </c>
    </row>
    <row r="222" spans="1:23">
      <c r="A222" t="s">
        <v>950</v>
      </c>
      <c r="B222" t="str">
        <f t="shared" ca="1" si="57"/>
        <v>王若齊</v>
      </c>
      <c r="C222" t="str">
        <f t="shared" ca="1" si="58"/>
        <v>ﾜｰﾝ ｩﾙｵ ﾁｲ</v>
      </c>
      <c r="D222" t="str">
        <f t="shared" ca="1" si="59"/>
        <v>Wang Ruo Qi</v>
      </c>
      <c r="E222" t="str" cm="1">
        <f t="array" aca="1" ref="E222" ca="1">INDIRECT(ADDRESS(RANDBETWEEN(2,16),7,1,1,"valueBase"))</f>
        <v>男性</v>
      </c>
      <c r="F222" s="5">
        <f t="shared" ca="1" si="60"/>
        <v>28400</v>
      </c>
      <c r="G222" s="5">
        <f t="shared" ca="1" si="61"/>
        <v>37120</v>
      </c>
      <c r="H222" s="5">
        <f t="shared" ca="1" si="62"/>
        <v>37850</v>
      </c>
      <c r="I222" t="str">
        <f t="shared" ca="1" si="63"/>
        <v>090-7328-9454</v>
      </c>
      <c r="J222" t="str">
        <f t="shared" ca="1" si="64"/>
        <v>Wang_Ruo Qi_37120@outlook.jp.co</v>
      </c>
      <c r="K222" t="str">
        <f t="shared" ca="1" si="65"/>
        <v>普通</v>
      </c>
      <c r="L222" t="str">
        <f t="shared" ca="1" si="66"/>
        <v>有り</v>
      </c>
      <c r="M222" t="str">
        <f t="shared" ca="1" si="67"/>
        <v>5%</v>
      </c>
      <c r="N222" t="str">
        <f t="shared" ca="1" si="68"/>
        <v>有り</v>
      </c>
      <c r="O222">
        <f t="shared" ca="1" si="69"/>
        <v>706</v>
      </c>
      <c r="R222">
        <f t="shared" ca="1" si="70"/>
        <v>3</v>
      </c>
      <c r="S222">
        <f t="shared" ca="1" si="71"/>
        <v>69</v>
      </c>
      <c r="T222">
        <f t="shared" ca="1" si="72"/>
        <v>2004</v>
      </c>
      <c r="U222">
        <f t="shared" ca="1" si="73"/>
        <v>2012</v>
      </c>
      <c r="V222">
        <f t="shared" ca="1" si="74"/>
        <v>2</v>
      </c>
      <c r="W222">
        <f t="shared" ca="1" si="75"/>
        <v>22</v>
      </c>
    </row>
    <row r="223" spans="1:23">
      <c r="A223" t="s">
        <v>951</v>
      </c>
      <c r="B223" t="str">
        <f t="shared" ca="1" si="57"/>
        <v>郭銀霆</v>
      </c>
      <c r="C223" t="str">
        <f t="shared" ca="1" si="58"/>
        <v>ｸﾞｵ ｲﾝ ﾃｨｰﾝ</v>
      </c>
      <c r="D223" t="str">
        <f t="shared" ca="1" si="59"/>
        <v>Guo Yin Ting</v>
      </c>
      <c r="E223" t="str" cm="1">
        <f t="array" aca="1" ref="E223" ca="1">INDIRECT(ADDRESS(RANDBETWEEN(2,16),7,1,1,"valueBase"))</f>
        <v>女性</v>
      </c>
      <c r="F223" s="5">
        <f t="shared" ca="1" si="60"/>
        <v>34686</v>
      </c>
      <c r="G223" s="5">
        <f t="shared" ca="1" si="61"/>
        <v>44294</v>
      </c>
      <c r="H223" s="5">
        <f t="shared" ca="1" si="62"/>
        <v>45389</v>
      </c>
      <c r="I223" t="str">
        <f t="shared" ca="1" si="63"/>
        <v>080-2390-8855</v>
      </c>
      <c r="J223" t="str">
        <f t="shared" ca="1" si="64"/>
        <v>Guo_Yin_Ting_44294@outlook.jp.co</v>
      </c>
      <c r="K223" t="str">
        <f t="shared" ca="1" si="65"/>
        <v>普通</v>
      </c>
      <c r="L223" t="str">
        <f t="shared" ca="1" si="66"/>
        <v>有り</v>
      </c>
      <c r="M223" t="str">
        <f t="shared" ca="1" si="67"/>
        <v>5%</v>
      </c>
      <c r="N223" t="str">
        <f t="shared" ca="1" si="68"/>
        <v>有り</v>
      </c>
      <c r="O223">
        <f t="shared" ca="1" si="69"/>
        <v>512</v>
      </c>
      <c r="R223">
        <f t="shared" ca="1" si="70"/>
        <v>19</v>
      </c>
      <c r="S223">
        <f t="shared" ca="1" si="71"/>
        <v>74</v>
      </c>
      <c r="T223">
        <f t="shared" ca="1" si="72"/>
        <v>1984</v>
      </c>
      <c r="U223">
        <f t="shared" ca="1" si="73"/>
        <v>1988</v>
      </c>
      <c r="V223">
        <f t="shared" ca="1" si="74"/>
        <v>1</v>
      </c>
      <c r="W223">
        <f t="shared" ca="1" si="75"/>
        <v>29</v>
      </c>
    </row>
    <row r="224" spans="1:23">
      <c r="A224" t="s">
        <v>952</v>
      </c>
      <c r="B224" t="str">
        <f t="shared" ca="1" si="57"/>
        <v>羅用卓</v>
      </c>
      <c r="C224" t="str">
        <f t="shared" ca="1" si="58"/>
        <v>ﾙｵ ﾖｰﾝ ｼﾞｭｵ</v>
      </c>
      <c r="D224" t="str">
        <f t="shared" ca="1" si="59"/>
        <v>Luo Yong Zhuo</v>
      </c>
      <c r="E224" t="str" cm="1">
        <f t="array" aca="1" ref="E224" ca="1">INDIRECT(ADDRESS(RANDBETWEEN(2,16),7,1,1,"valueBase"))</f>
        <v>女性</v>
      </c>
      <c r="F224" s="5">
        <f t="shared" ca="1" si="60"/>
        <v>31878</v>
      </c>
      <c r="G224" s="5">
        <f t="shared" ca="1" si="61"/>
        <v>45029</v>
      </c>
      <c r="H224" s="5">
        <f t="shared" ca="1" si="62"/>
        <v>45394</v>
      </c>
      <c r="I224" t="str">
        <f t="shared" ca="1" si="63"/>
        <v>080-0030-6902</v>
      </c>
      <c r="J224" t="str">
        <f t="shared" ca="1" si="64"/>
        <v>Luo_Yong_Zhuo_45029@outlook.jp.co</v>
      </c>
      <c r="K224" t="str">
        <f t="shared" ca="1" si="65"/>
        <v>高級</v>
      </c>
      <c r="L224" t="str">
        <f t="shared" ca="1" si="66"/>
        <v>-</v>
      </c>
      <c r="M224" t="str">
        <f t="shared" ca="1" si="67"/>
        <v>-</v>
      </c>
      <c r="N224" t="str">
        <f t="shared" ca="1" si="68"/>
        <v>有り</v>
      </c>
      <c r="O224">
        <f t="shared" ca="1" si="69"/>
        <v>930</v>
      </c>
      <c r="R224">
        <f t="shared" ca="1" si="70"/>
        <v>21</v>
      </c>
      <c r="S224">
        <f t="shared" ca="1" si="71"/>
        <v>222</v>
      </c>
      <c r="T224">
        <f t="shared" ca="1" si="72"/>
        <v>1971</v>
      </c>
      <c r="U224">
        <f t="shared" ca="1" si="73"/>
        <v>1983</v>
      </c>
      <c r="V224">
        <f t="shared" ca="1" si="74"/>
        <v>7</v>
      </c>
      <c r="W224">
        <f t="shared" ca="1" si="75"/>
        <v>27</v>
      </c>
    </row>
    <row r="225" spans="1:23">
      <c r="A225" t="s">
        <v>953</v>
      </c>
      <c r="B225" t="str">
        <f t="shared" ca="1" si="57"/>
        <v>徐滋帆</v>
      </c>
      <c r="C225" t="str">
        <f t="shared" ca="1" si="58"/>
        <v>ｼｭｲ ｽﾞｰ ﾌｧﾝ</v>
      </c>
      <c r="D225" t="str">
        <f t="shared" ca="1" si="59"/>
        <v>Xu Zi Fan</v>
      </c>
      <c r="E225" t="str" cm="1">
        <f t="array" aca="1" ref="E225" ca="1">INDIRECT(ADDRESS(RANDBETWEEN(2,16),7,1,1,"valueBase"))</f>
        <v>男性</v>
      </c>
      <c r="F225" s="5">
        <f t="shared" ca="1" si="60"/>
        <v>31352</v>
      </c>
      <c r="G225" s="5">
        <f t="shared" ca="1" si="61"/>
        <v>38477</v>
      </c>
      <c r="H225" s="5">
        <f t="shared" ca="1" si="62"/>
        <v>39207</v>
      </c>
      <c r="I225" t="str">
        <f t="shared" ca="1" si="63"/>
        <v>090-9127-9843</v>
      </c>
      <c r="J225" t="str">
        <f t="shared" ca="1" si="64"/>
        <v>Xu_Zi_Fan_38477@outlook.jp.co</v>
      </c>
      <c r="K225" t="str">
        <f t="shared" ca="1" si="65"/>
        <v>普通</v>
      </c>
      <c r="L225" t="str">
        <f t="shared" ca="1" si="66"/>
        <v>-</v>
      </c>
      <c r="M225" t="str">
        <f t="shared" ca="1" si="67"/>
        <v>-</v>
      </c>
      <c r="N225" t="str">
        <f t="shared" ca="1" si="68"/>
        <v>有り</v>
      </c>
      <c r="O225">
        <f t="shared" ca="1" si="69"/>
        <v>877</v>
      </c>
      <c r="R225">
        <f t="shared" ca="1" si="70"/>
        <v>12</v>
      </c>
      <c r="S225">
        <f t="shared" ca="1" si="71"/>
        <v>256</v>
      </c>
      <c r="T225">
        <f t="shared" ca="1" si="72"/>
        <v>1995</v>
      </c>
      <c r="U225">
        <f t="shared" ca="1" si="73"/>
        <v>2002</v>
      </c>
      <c r="V225">
        <f t="shared" ca="1" si="74"/>
        <v>3</v>
      </c>
      <c r="W225">
        <f t="shared" ca="1" si="75"/>
        <v>19</v>
      </c>
    </row>
    <row r="226" spans="1:23">
      <c r="A226" t="s">
        <v>954</v>
      </c>
      <c r="B226" t="str">
        <f t="shared" ca="1" si="57"/>
        <v>梁真物</v>
      </c>
      <c r="C226" t="str">
        <f t="shared" ca="1" si="58"/>
        <v>ﾘﾔｰﾝ ｼﾞｪﾝ ｳｰ</v>
      </c>
      <c r="D226" t="str">
        <f t="shared" ca="1" si="59"/>
        <v>Liang Zhen Wu</v>
      </c>
      <c r="E226" t="str" cm="1">
        <f t="array" aca="1" ref="E226" ca="1">INDIRECT(ADDRESS(RANDBETWEEN(2,16),7,1,1,"valueBase"))</f>
        <v>男性</v>
      </c>
      <c r="F226" s="5">
        <f t="shared" ca="1" si="60"/>
        <v>22778</v>
      </c>
      <c r="G226" s="5">
        <f t="shared" ca="1" si="61"/>
        <v>41495</v>
      </c>
      <c r="H226" s="5">
        <f t="shared" ca="1" si="62"/>
        <v>42225</v>
      </c>
      <c r="I226" t="str">
        <f t="shared" ca="1" si="63"/>
        <v>080-7721-1450</v>
      </c>
      <c r="J226" t="str">
        <f t="shared" ca="1" si="64"/>
        <v>Liang_Zhen_Wu_41495@outlook.jp.co</v>
      </c>
      <c r="K226" t="str">
        <f t="shared" ca="1" si="65"/>
        <v>普通</v>
      </c>
      <c r="L226" t="str">
        <f t="shared" ca="1" si="66"/>
        <v>有り</v>
      </c>
      <c r="M226" t="str">
        <f t="shared" ca="1" si="67"/>
        <v>5%</v>
      </c>
      <c r="N226" t="str">
        <f t="shared" ca="1" si="68"/>
        <v>有り</v>
      </c>
      <c r="O226">
        <f t="shared" ca="1" si="69"/>
        <v>686</v>
      </c>
      <c r="R226">
        <f t="shared" ca="1" si="70"/>
        <v>22</v>
      </c>
      <c r="S226">
        <f t="shared" ca="1" si="71"/>
        <v>280</v>
      </c>
      <c r="T226">
        <f t="shared" ca="1" si="72"/>
        <v>2001</v>
      </c>
      <c r="U226">
        <f t="shared" ca="1" si="73"/>
        <v>2010</v>
      </c>
      <c r="V226">
        <f t="shared" ca="1" si="74"/>
        <v>2</v>
      </c>
      <c r="W226">
        <f t="shared" ca="1" si="75"/>
        <v>24</v>
      </c>
    </row>
    <row r="227" spans="1:23">
      <c r="A227" t="s">
        <v>955</v>
      </c>
      <c r="B227" t="str">
        <f t="shared" ca="1" si="57"/>
        <v>馮偉榮</v>
      </c>
      <c r="C227" t="str">
        <f t="shared" ca="1" si="58"/>
        <v>ﾌｵﾝ ｳｴｲ ｩﾛｰﾝ</v>
      </c>
      <c r="D227" t="str">
        <f t="shared" ca="1" si="59"/>
        <v>Feng Wei Rong</v>
      </c>
      <c r="E227" t="str" cm="1">
        <f t="array" aca="1" ref="E227" ca="1">INDIRECT(ADDRESS(RANDBETWEEN(2,16),7,1,1,"valueBase"))</f>
        <v>男性</v>
      </c>
      <c r="F227" s="5">
        <f t="shared" ca="1" si="60"/>
        <v>36128</v>
      </c>
      <c r="G227" s="5">
        <f t="shared" ca="1" si="61"/>
        <v>43561</v>
      </c>
      <c r="H227" s="5">
        <f t="shared" ca="1" si="62"/>
        <v>44656</v>
      </c>
      <c r="I227" t="str">
        <f t="shared" ca="1" si="63"/>
        <v>090-5776-2258</v>
      </c>
      <c r="J227" t="str">
        <f t="shared" ca="1" si="64"/>
        <v>Feng_Wei_Rong_43561@outlook.jp.co</v>
      </c>
      <c r="K227" t="str">
        <f t="shared" ca="1" si="65"/>
        <v>高級</v>
      </c>
      <c r="L227" t="str">
        <f t="shared" ca="1" si="66"/>
        <v>-</v>
      </c>
      <c r="M227" t="str">
        <f t="shared" ca="1" si="67"/>
        <v>-</v>
      </c>
      <c r="N227" t="str">
        <f t="shared" ca="1" si="68"/>
        <v>有り</v>
      </c>
      <c r="O227">
        <f t="shared" ca="1" si="69"/>
        <v>361</v>
      </c>
      <c r="R227">
        <f t="shared" ca="1" si="70"/>
        <v>28</v>
      </c>
      <c r="S227">
        <f t="shared" ca="1" si="71"/>
        <v>265</v>
      </c>
      <c r="T227">
        <f t="shared" ca="1" si="72"/>
        <v>1996</v>
      </c>
      <c r="U227">
        <f t="shared" ca="1" si="73"/>
        <v>2001</v>
      </c>
      <c r="V227">
        <f t="shared" ca="1" si="74"/>
        <v>11</v>
      </c>
      <c r="W227">
        <f t="shared" ca="1" si="75"/>
        <v>15</v>
      </c>
    </row>
    <row r="228" spans="1:23">
      <c r="A228" t="s">
        <v>956</v>
      </c>
      <c r="B228" t="str">
        <f t="shared" ca="1" si="57"/>
        <v>黃樂真</v>
      </c>
      <c r="C228" t="str">
        <f t="shared" ca="1" si="58"/>
        <v>ﾎﾜｰﾝ ﾛｰｧ ｼﾞｪﾝ</v>
      </c>
      <c r="D228" t="str">
        <f t="shared" ca="1" si="59"/>
        <v>Huang Le Zhen</v>
      </c>
      <c r="E228" t="str" cm="1">
        <f t="array" aca="1" ref="E228" ca="1">INDIRECT(ADDRESS(RANDBETWEEN(2,16),7,1,1,"valueBase"))</f>
        <v>男性</v>
      </c>
      <c r="F228" s="5">
        <f t="shared" ca="1" si="60"/>
        <v>30269</v>
      </c>
      <c r="G228" s="5">
        <f t="shared" ca="1" si="61"/>
        <v>39742</v>
      </c>
      <c r="H228" s="5">
        <f t="shared" ca="1" si="62"/>
        <v>40472</v>
      </c>
      <c r="I228" t="str">
        <f t="shared" ca="1" si="63"/>
        <v>080-0719-4619</v>
      </c>
      <c r="J228" t="str">
        <f t="shared" ca="1" si="64"/>
        <v>Huang_Le Zhen_39742@outlook.jp.co</v>
      </c>
      <c r="K228" t="str">
        <f t="shared" ca="1" si="65"/>
        <v>高級</v>
      </c>
      <c r="L228" t="str">
        <f t="shared" ca="1" si="66"/>
        <v>有り</v>
      </c>
      <c r="M228" t="str">
        <f t="shared" ca="1" si="67"/>
        <v>10%</v>
      </c>
      <c r="N228" t="str">
        <f t="shared" ca="1" si="68"/>
        <v>有り</v>
      </c>
      <c r="O228">
        <f t="shared" ca="1" si="69"/>
        <v>54</v>
      </c>
      <c r="R228">
        <f t="shared" ca="1" si="70"/>
        <v>9</v>
      </c>
      <c r="S228">
        <f t="shared" ca="1" si="71"/>
        <v>147</v>
      </c>
      <c r="T228">
        <f t="shared" ca="1" si="72"/>
        <v>1991</v>
      </c>
      <c r="U228">
        <f t="shared" ca="1" si="73"/>
        <v>1995</v>
      </c>
      <c r="V228">
        <f t="shared" ca="1" si="74"/>
        <v>6</v>
      </c>
      <c r="W228">
        <f t="shared" ca="1" si="75"/>
        <v>1</v>
      </c>
    </row>
    <row r="229" spans="1:23">
      <c r="A229" t="s">
        <v>957</v>
      </c>
      <c r="B229" t="str">
        <f t="shared" ca="1" si="57"/>
        <v>羅忠謙</v>
      </c>
      <c r="C229" t="str">
        <f t="shared" ca="1" si="58"/>
        <v>ﾙｵ ｼﾞｮｰﾝ ﾁｴﾝ</v>
      </c>
      <c r="D229" t="str">
        <f t="shared" ca="1" si="59"/>
        <v>Luo Zhong Qian</v>
      </c>
      <c r="E229" t="str" cm="1">
        <f t="array" aca="1" ref="E229" ca="1">INDIRECT(ADDRESS(RANDBETWEEN(2,16),7,1,1,"valueBase"))</f>
        <v>男性</v>
      </c>
      <c r="F229" s="5">
        <f t="shared" ca="1" si="60"/>
        <v>25896</v>
      </c>
      <c r="G229" s="5">
        <f t="shared" ca="1" si="61"/>
        <v>38781</v>
      </c>
      <c r="H229" s="5">
        <f t="shared" ca="1" si="62"/>
        <v>39511</v>
      </c>
      <c r="I229" t="str">
        <f t="shared" ca="1" si="63"/>
        <v>080-0254-5401</v>
      </c>
      <c r="J229" t="str">
        <f t="shared" ca="1" si="64"/>
        <v>Luo_Zhong_Qian_38781@outlook.jp.co</v>
      </c>
      <c r="K229" t="str">
        <f t="shared" ca="1" si="65"/>
        <v>高級</v>
      </c>
      <c r="L229" t="str">
        <f t="shared" ca="1" si="66"/>
        <v>-</v>
      </c>
      <c r="M229" t="str">
        <f t="shared" ca="1" si="67"/>
        <v>-</v>
      </c>
      <c r="N229" t="str">
        <f t="shared" ca="1" si="68"/>
        <v>有り</v>
      </c>
      <c r="O229">
        <f t="shared" ca="1" si="69"/>
        <v>978</v>
      </c>
      <c r="R229">
        <f t="shared" ca="1" si="70"/>
        <v>21</v>
      </c>
      <c r="S229">
        <f t="shared" ca="1" si="71"/>
        <v>27</v>
      </c>
      <c r="T229">
        <f t="shared" ca="1" si="72"/>
        <v>1999</v>
      </c>
      <c r="U229">
        <f t="shared" ca="1" si="73"/>
        <v>2008</v>
      </c>
      <c r="V229">
        <f t="shared" ca="1" si="74"/>
        <v>12</v>
      </c>
      <c r="W229">
        <f t="shared" ca="1" si="75"/>
        <v>16</v>
      </c>
    </row>
    <row r="230" spans="1:23">
      <c r="A230" t="s">
        <v>958</v>
      </c>
      <c r="B230" t="str">
        <f t="shared" ca="1" si="57"/>
        <v>劉用卓</v>
      </c>
      <c r="C230" t="str">
        <f t="shared" ca="1" si="58"/>
        <v>ﾘｳ ﾖｰﾝ ｼﾞｭｵ</v>
      </c>
      <c r="D230" t="str">
        <f t="shared" ca="1" si="59"/>
        <v>Liu Yong Zhuo</v>
      </c>
      <c r="E230" t="str" cm="1">
        <f t="array" aca="1" ref="E230" ca="1">INDIRECT(ADDRESS(RANDBETWEEN(2,16),7,1,1,"valueBase"))</f>
        <v>女性</v>
      </c>
      <c r="F230" s="5">
        <f t="shared" ca="1" si="60"/>
        <v>24627</v>
      </c>
      <c r="G230" s="5">
        <f t="shared" ca="1" si="61"/>
        <v>34792</v>
      </c>
      <c r="H230" s="5">
        <f t="shared" ca="1" si="62"/>
        <v>35522</v>
      </c>
      <c r="I230" t="str">
        <f t="shared" ca="1" si="63"/>
        <v>090-2216-5604</v>
      </c>
      <c r="J230" t="str">
        <f t="shared" ca="1" si="64"/>
        <v>Liu_Yong_Zhuo_34792@outlook.jp.co</v>
      </c>
      <c r="K230" t="str">
        <f t="shared" ca="1" si="65"/>
        <v>普通</v>
      </c>
      <c r="L230" t="str">
        <f t="shared" ca="1" si="66"/>
        <v>有り</v>
      </c>
      <c r="M230" t="str">
        <f t="shared" ca="1" si="67"/>
        <v>5%</v>
      </c>
      <c r="N230" t="str">
        <f t="shared" ca="1" si="68"/>
        <v>有り</v>
      </c>
      <c r="O230">
        <f t="shared" ca="1" si="69"/>
        <v>974</v>
      </c>
      <c r="R230">
        <f t="shared" ca="1" si="70"/>
        <v>5</v>
      </c>
      <c r="S230">
        <f t="shared" ca="1" si="71"/>
        <v>222</v>
      </c>
      <c r="T230">
        <f t="shared" ca="1" si="72"/>
        <v>1971</v>
      </c>
      <c r="U230">
        <f t="shared" ca="1" si="73"/>
        <v>1974</v>
      </c>
      <c r="V230">
        <f t="shared" ca="1" si="74"/>
        <v>5</v>
      </c>
      <c r="W230">
        <f t="shared" ca="1" si="75"/>
        <v>11</v>
      </c>
    </row>
    <row r="231" spans="1:23">
      <c r="A231" t="s">
        <v>959</v>
      </c>
      <c r="B231" t="str">
        <f t="shared" ca="1" si="57"/>
        <v>王略連</v>
      </c>
      <c r="C231" t="str">
        <f t="shared" ca="1" si="58"/>
        <v>ﾜｰﾝ lüe ﾘｴﾝ</v>
      </c>
      <c r="D231" t="str">
        <f t="shared" ca="1" si="59"/>
        <v>Wang Lüe Lian</v>
      </c>
      <c r="E231" t="str" cm="1">
        <f t="array" aca="1" ref="E231" ca="1">INDIRECT(ADDRESS(RANDBETWEEN(2,16),7,1,1,"valueBase"))</f>
        <v>女性</v>
      </c>
      <c r="F231" s="5">
        <f t="shared" ca="1" si="60"/>
        <v>22055</v>
      </c>
      <c r="G231" s="5">
        <f t="shared" ca="1" si="61"/>
        <v>40290</v>
      </c>
      <c r="H231" s="5">
        <f t="shared" ca="1" si="62"/>
        <v>40655</v>
      </c>
      <c r="I231" t="str">
        <f t="shared" ca="1" si="63"/>
        <v>090-4058-0082</v>
      </c>
      <c r="J231" t="str">
        <f t="shared" ca="1" si="64"/>
        <v>Wang_Lüe_Lian_40290@outlook.jp.co</v>
      </c>
      <c r="K231" t="str">
        <f t="shared" ca="1" si="65"/>
        <v>高級</v>
      </c>
      <c r="L231" t="str">
        <f t="shared" ca="1" si="66"/>
        <v>有り</v>
      </c>
      <c r="M231" t="str">
        <f t="shared" ca="1" si="67"/>
        <v>10%</v>
      </c>
      <c r="N231" t="str">
        <f t="shared" ca="1" si="68"/>
        <v>-</v>
      </c>
      <c r="O231" t="str">
        <f t="shared" ca="1" si="69"/>
        <v>-</v>
      </c>
      <c r="R231">
        <f t="shared" ca="1" si="70"/>
        <v>3</v>
      </c>
      <c r="S231">
        <f t="shared" ca="1" si="71"/>
        <v>135</v>
      </c>
      <c r="T231">
        <f t="shared" ca="1" si="72"/>
        <v>1981</v>
      </c>
      <c r="U231">
        <f t="shared" ca="1" si="73"/>
        <v>1991</v>
      </c>
      <c r="V231">
        <f t="shared" ca="1" si="74"/>
        <v>3</v>
      </c>
      <c r="W231">
        <f t="shared" ca="1" si="75"/>
        <v>14</v>
      </c>
    </row>
    <row r="232" spans="1:23">
      <c r="A232" t="s">
        <v>960</v>
      </c>
      <c r="B232" t="str">
        <f t="shared" ca="1" si="57"/>
        <v>郭道頻</v>
      </c>
      <c r="C232" t="str">
        <f t="shared" ca="1" si="58"/>
        <v>ｸﾞｵ ﾀﾞｵ ﾋﾟﾝ</v>
      </c>
      <c r="D232" t="str">
        <f t="shared" ca="1" si="59"/>
        <v>Guo Dao Pin</v>
      </c>
      <c r="E232" t="str" cm="1">
        <f t="array" aca="1" ref="E232" ca="1">INDIRECT(ADDRESS(RANDBETWEEN(2,16),7,1,1,"valueBase"))</f>
        <v>女性</v>
      </c>
      <c r="F232" s="5">
        <f t="shared" ca="1" si="60"/>
        <v>27025</v>
      </c>
      <c r="G232" s="5">
        <f t="shared" ca="1" si="61"/>
        <v>38518</v>
      </c>
      <c r="H232" s="5">
        <f t="shared" ca="1" si="62"/>
        <v>39613</v>
      </c>
      <c r="I232" t="str">
        <f t="shared" ca="1" si="63"/>
        <v>090-5970-6816</v>
      </c>
      <c r="J232" t="str">
        <f t="shared" ca="1" si="64"/>
        <v>Guo_Dao_Pin_38518@outlook.jp.co</v>
      </c>
      <c r="K232" t="str">
        <f t="shared" ca="1" si="65"/>
        <v>高級</v>
      </c>
      <c r="L232" t="str">
        <f t="shared" ca="1" si="66"/>
        <v>-</v>
      </c>
      <c r="M232" t="str">
        <f t="shared" ca="1" si="67"/>
        <v>-</v>
      </c>
      <c r="N232" t="str">
        <f t="shared" ca="1" si="68"/>
        <v>-</v>
      </c>
      <c r="O232" t="str">
        <f t="shared" ca="1" si="69"/>
        <v>-</v>
      </c>
      <c r="R232">
        <f t="shared" ca="1" si="70"/>
        <v>19</v>
      </c>
      <c r="S232">
        <f t="shared" ca="1" si="71"/>
        <v>331</v>
      </c>
      <c r="T232">
        <f t="shared" ca="1" si="72"/>
        <v>2006</v>
      </c>
      <c r="U232">
        <f t="shared" ca="1" si="73"/>
        <v>2014</v>
      </c>
      <c r="V232">
        <f t="shared" ca="1" si="74"/>
        <v>7</v>
      </c>
      <c r="W232">
        <f t="shared" ca="1" si="75"/>
        <v>30</v>
      </c>
    </row>
    <row r="233" spans="1:23">
      <c r="A233" t="s">
        <v>961</v>
      </c>
      <c r="B233" t="str">
        <f t="shared" ca="1" si="57"/>
        <v>孫領俊</v>
      </c>
      <c r="C233" t="str">
        <f t="shared" ca="1" si="58"/>
        <v>ｽｩﾝ ﾘｰﾝ ｼﾞｭｲﾝ</v>
      </c>
      <c r="D233" t="str">
        <f t="shared" ca="1" si="59"/>
        <v>Sun Ling Jun</v>
      </c>
      <c r="E233" t="str" cm="1">
        <f t="array" aca="1" ref="E233" ca="1">INDIRECT(ADDRESS(RANDBETWEEN(2,16),7,1,1,"valueBase"))</f>
        <v>女性</v>
      </c>
      <c r="F233" s="5">
        <f t="shared" ca="1" si="60"/>
        <v>28194</v>
      </c>
      <c r="G233" s="5">
        <f t="shared" ca="1" si="61"/>
        <v>40996</v>
      </c>
      <c r="H233" s="5">
        <f t="shared" ca="1" si="62"/>
        <v>41361</v>
      </c>
      <c r="I233" t="str">
        <f t="shared" ca="1" si="63"/>
        <v>080-4831-0547</v>
      </c>
      <c r="J233" t="str">
        <f t="shared" ca="1" si="64"/>
        <v>Sun_Ling_Jun_40996@outlook.jp.co</v>
      </c>
      <c r="K233" t="str">
        <f t="shared" ca="1" si="65"/>
        <v>普通</v>
      </c>
      <c r="L233" t="str">
        <f t="shared" ca="1" si="66"/>
        <v>-</v>
      </c>
      <c r="M233" t="str">
        <f t="shared" ca="1" si="67"/>
        <v>-</v>
      </c>
      <c r="N233" t="str">
        <f t="shared" ca="1" si="68"/>
        <v>有り</v>
      </c>
      <c r="O233">
        <f t="shared" ca="1" si="69"/>
        <v>226</v>
      </c>
      <c r="R233">
        <f t="shared" ca="1" si="70"/>
        <v>13</v>
      </c>
      <c r="S233">
        <f t="shared" ca="1" si="71"/>
        <v>106</v>
      </c>
      <c r="T233">
        <f t="shared" ca="1" si="72"/>
        <v>1977</v>
      </c>
      <c r="U233">
        <f t="shared" ca="1" si="73"/>
        <v>1983</v>
      </c>
      <c r="V233">
        <f t="shared" ca="1" si="74"/>
        <v>7</v>
      </c>
      <c r="W233">
        <f t="shared" ca="1" si="75"/>
        <v>11</v>
      </c>
    </row>
    <row r="234" spans="1:23">
      <c r="A234" t="s">
        <v>962</v>
      </c>
      <c r="B234" t="str">
        <f t="shared" ca="1" si="57"/>
        <v>林貴友</v>
      </c>
      <c r="C234" t="str">
        <f t="shared" ca="1" si="58"/>
        <v>ﾘﾝ ｸﾞｲ ﾖｳ</v>
      </c>
      <c r="D234" t="str">
        <f t="shared" ca="1" si="59"/>
        <v>Lin Gui You</v>
      </c>
      <c r="E234" t="str" cm="1">
        <f t="array" aca="1" ref="E234" ca="1">INDIRECT(ADDRESS(RANDBETWEEN(2,16),7,1,1,"valueBase"))</f>
        <v>男性</v>
      </c>
      <c r="F234" s="5">
        <f t="shared" ca="1" si="60"/>
        <v>33518</v>
      </c>
      <c r="G234" s="5">
        <f t="shared" ca="1" si="61"/>
        <v>41030</v>
      </c>
      <c r="H234" s="5">
        <f t="shared" ca="1" si="62"/>
        <v>41395</v>
      </c>
      <c r="I234" t="str">
        <f t="shared" ca="1" si="63"/>
        <v>080-3946-6925</v>
      </c>
      <c r="J234" t="str">
        <f t="shared" ca="1" si="64"/>
        <v>Lin_Gui_You_41030@outlook.jp.co</v>
      </c>
      <c r="K234" t="str">
        <f t="shared" ca="1" si="65"/>
        <v>普通</v>
      </c>
      <c r="L234" t="str">
        <f t="shared" ca="1" si="66"/>
        <v>有り</v>
      </c>
      <c r="M234" t="str">
        <f t="shared" ca="1" si="67"/>
        <v>5%</v>
      </c>
      <c r="N234" t="str">
        <f t="shared" ca="1" si="68"/>
        <v>-</v>
      </c>
      <c r="O234" t="str">
        <f t="shared" ca="1" si="69"/>
        <v>-</v>
      </c>
      <c r="R234">
        <f t="shared" ca="1" si="70"/>
        <v>17</v>
      </c>
      <c r="S234">
        <f t="shared" ca="1" si="71"/>
        <v>275</v>
      </c>
      <c r="T234">
        <f t="shared" ca="1" si="72"/>
        <v>1972</v>
      </c>
      <c r="U234">
        <f t="shared" ca="1" si="73"/>
        <v>1977</v>
      </c>
      <c r="V234">
        <f t="shared" ca="1" si="74"/>
        <v>3</v>
      </c>
      <c r="W234">
        <f t="shared" ca="1" si="75"/>
        <v>18</v>
      </c>
    </row>
    <row r="235" spans="1:23">
      <c r="A235" t="s">
        <v>963</v>
      </c>
      <c r="B235" t="str">
        <f t="shared" ca="1" si="57"/>
        <v>唐沃誼</v>
      </c>
      <c r="C235" t="str">
        <f t="shared" ca="1" si="58"/>
        <v>ﾀｰﾝ ｳｫ ｲｰ</v>
      </c>
      <c r="D235" t="str">
        <f t="shared" ca="1" si="59"/>
        <v>Tang Wo Yi</v>
      </c>
      <c r="E235" t="str" cm="1">
        <f t="array" aca="1" ref="E235" ca="1">INDIRECT(ADDRESS(RANDBETWEEN(2,16),7,1,1,"valueBase"))</f>
        <v>男性</v>
      </c>
      <c r="F235" s="5">
        <f t="shared" ca="1" si="60"/>
        <v>31642</v>
      </c>
      <c r="G235" s="5">
        <f t="shared" ca="1" si="61"/>
        <v>45437</v>
      </c>
      <c r="H235" s="5">
        <f t="shared" ca="1" si="62"/>
        <v>45802</v>
      </c>
      <c r="I235" t="str">
        <f t="shared" ca="1" si="63"/>
        <v>080-5268-1116</v>
      </c>
      <c r="J235" t="str">
        <f t="shared" ca="1" si="64"/>
        <v>Tang_Wo_Yi_45437@outlook.jp.co</v>
      </c>
      <c r="K235" t="str">
        <f t="shared" ca="1" si="65"/>
        <v>普通</v>
      </c>
      <c r="L235" t="str">
        <f t="shared" ca="1" si="66"/>
        <v>有り</v>
      </c>
      <c r="M235" t="str">
        <f t="shared" ca="1" si="67"/>
        <v>5%</v>
      </c>
      <c r="N235" t="str">
        <f t="shared" ca="1" si="68"/>
        <v>有り</v>
      </c>
      <c r="O235">
        <f t="shared" ca="1" si="69"/>
        <v>458</v>
      </c>
      <c r="R235">
        <f t="shared" ca="1" si="70"/>
        <v>27</v>
      </c>
      <c r="S235">
        <f t="shared" ca="1" si="71"/>
        <v>133</v>
      </c>
      <c r="T235">
        <f t="shared" ca="1" si="72"/>
        <v>1997</v>
      </c>
      <c r="U235">
        <f t="shared" ca="1" si="73"/>
        <v>2007</v>
      </c>
      <c r="V235">
        <f t="shared" ca="1" si="74"/>
        <v>11</v>
      </c>
      <c r="W235">
        <f t="shared" ca="1" si="75"/>
        <v>14</v>
      </c>
    </row>
    <row r="236" spans="1:23">
      <c r="A236" t="s">
        <v>964</v>
      </c>
      <c r="B236" t="str">
        <f t="shared" ca="1" si="57"/>
        <v>朱聖枝</v>
      </c>
      <c r="C236" t="str">
        <f t="shared" ca="1" si="58"/>
        <v>ｼﾞｭｳ ｼｭﾖﾝ ｼﾞｰ</v>
      </c>
      <c r="D236" t="str">
        <f t="shared" ca="1" si="59"/>
        <v>Zhu Sheng Zhi</v>
      </c>
      <c r="E236" t="str" cm="1">
        <f t="array" aca="1" ref="E236" ca="1">INDIRECT(ADDRESS(RANDBETWEEN(2,16),7,1,1,"valueBase"))</f>
        <v>女性</v>
      </c>
      <c r="F236" s="5">
        <f t="shared" ca="1" si="60"/>
        <v>23809</v>
      </c>
      <c r="G236" s="5">
        <f t="shared" ca="1" si="61"/>
        <v>40226</v>
      </c>
      <c r="H236" s="5">
        <f t="shared" ca="1" si="62"/>
        <v>40956</v>
      </c>
      <c r="I236" t="str">
        <f t="shared" ca="1" si="63"/>
        <v>080-4781-0436</v>
      </c>
      <c r="J236" t="str">
        <f t="shared" ca="1" si="64"/>
        <v>Zhu_Sheng_Zhi_40226@outlook.jp.co</v>
      </c>
      <c r="K236" t="str">
        <f t="shared" ca="1" si="65"/>
        <v>高級</v>
      </c>
      <c r="L236" t="str">
        <f t="shared" ca="1" si="66"/>
        <v>有り</v>
      </c>
      <c r="M236" t="str">
        <f t="shared" ca="1" si="67"/>
        <v>10%</v>
      </c>
      <c r="N236" t="str">
        <f t="shared" ca="1" si="68"/>
        <v>有り</v>
      </c>
      <c r="O236">
        <f t="shared" ca="1" si="69"/>
        <v>990</v>
      </c>
      <c r="R236">
        <f t="shared" ca="1" si="70"/>
        <v>15</v>
      </c>
      <c r="S236">
        <f t="shared" ca="1" si="71"/>
        <v>19</v>
      </c>
      <c r="T236">
        <f t="shared" ca="1" si="72"/>
        <v>2009</v>
      </c>
      <c r="U236">
        <f t="shared" ca="1" si="73"/>
        <v>2010</v>
      </c>
      <c r="V236">
        <f t="shared" ca="1" si="74"/>
        <v>2</v>
      </c>
      <c r="W236">
        <f t="shared" ca="1" si="75"/>
        <v>15</v>
      </c>
    </row>
    <row r="237" spans="1:23">
      <c r="A237" t="s">
        <v>965</v>
      </c>
      <c r="B237" t="str">
        <f t="shared" ca="1" si="57"/>
        <v>周巍竹</v>
      </c>
      <c r="C237" t="str">
        <f t="shared" ca="1" si="58"/>
        <v>ｼﾞｮｳ ｳｴｲ ｼﾞｭｳ</v>
      </c>
      <c r="D237" t="str">
        <f t="shared" ca="1" si="59"/>
        <v>Zhou Wei Zhu</v>
      </c>
      <c r="E237" t="str" cm="1">
        <f t="array" aca="1" ref="E237" ca="1">INDIRECT(ADDRESS(RANDBETWEEN(2,16),7,1,1,"valueBase"))</f>
        <v>女性</v>
      </c>
      <c r="F237" s="5">
        <f t="shared" ca="1" si="60"/>
        <v>35756</v>
      </c>
      <c r="G237" s="5">
        <f t="shared" ca="1" si="61"/>
        <v>44249</v>
      </c>
      <c r="H237" s="5">
        <f t="shared" ca="1" si="62"/>
        <v>44979</v>
      </c>
      <c r="I237" t="str">
        <f t="shared" ca="1" si="63"/>
        <v>090-3481-3192</v>
      </c>
      <c r="J237" t="str">
        <f t="shared" ca="1" si="64"/>
        <v>Zhou_Wei_Zhu_44249@outlook.jp.co</v>
      </c>
      <c r="K237" t="str">
        <f t="shared" ca="1" si="65"/>
        <v>普通</v>
      </c>
      <c r="L237" t="str">
        <f t="shared" ca="1" si="66"/>
        <v>有り</v>
      </c>
      <c r="M237" t="str">
        <f t="shared" ca="1" si="67"/>
        <v>5%</v>
      </c>
      <c r="N237" t="str">
        <f t="shared" ca="1" si="68"/>
        <v>有り</v>
      </c>
      <c r="O237">
        <f t="shared" ca="1" si="69"/>
        <v>917</v>
      </c>
      <c r="R237">
        <f t="shared" ca="1" si="70"/>
        <v>10</v>
      </c>
      <c r="S237">
        <f t="shared" ca="1" si="71"/>
        <v>238</v>
      </c>
      <c r="T237">
        <f t="shared" ca="1" si="72"/>
        <v>1989</v>
      </c>
      <c r="U237">
        <f t="shared" ca="1" si="73"/>
        <v>2000</v>
      </c>
      <c r="V237">
        <f t="shared" ca="1" si="74"/>
        <v>8</v>
      </c>
      <c r="W237">
        <f t="shared" ca="1" si="75"/>
        <v>4</v>
      </c>
    </row>
    <row r="238" spans="1:23">
      <c r="A238" t="s">
        <v>966</v>
      </c>
      <c r="B238" t="str">
        <f t="shared" ca="1" si="57"/>
        <v>于勁綠</v>
      </c>
      <c r="C238" t="str">
        <f t="shared" ca="1" si="58"/>
        <v>ﾕｲ ｼﾞﾝ ﾙｩｨ</v>
      </c>
      <c r="D238" t="str">
        <f t="shared" ca="1" si="59"/>
        <v>Yu Jin Lü</v>
      </c>
      <c r="E238" t="str" cm="1">
        <f t="array" aca="1" ref="E238" ca="1">INDIRECT(ADDRESS(RANDBETWEEN(2,16),7,1,1,"valueBase"))</f>
        <v>女性</v>
      </c>
      <c r="F238" s="5">
        <f t="shared" ca="1" si="60"/>
        <v>34932</v>
      </c>
      <c r="G238" s="5">
        <f t="shared" ca="1" si="61"/>
        <v>45375</v>
      </c>
      <c r="H238" s="5">
        <f t="shared" ca="1" si="62"/>
        <v>46105</v>
      </c>
      <c r="I238" t="str">
        <f t="shared" ca="1" si="63"/>
        <v>080-4135-9534</v>
      </c>
      <c r="J238" t="str">
        <f t="shared" ca="1" si="64"/>
        <v>Yu_Jin Lü_45375@outlook.jp.co</v>
      </c>
      <c r="K238" t="str">
        <f t="shared" ca="1" si="65"/>
        <v>普通</v>
      </c>
      <c r="L238" t="str">
        <f t="shared" ca="1" si="66"/>
        <v>-</v>
      </c>
      <c r="M238" t="str">
        <f t="shared" ca="1" si="67"/>
        <v>-</v>
      </c>
      <c r="N238" t="str">
        <f t="shared" ca="1" si="68"/>
        <v>-</v>
      </c>
      <c r="O238" t="str">
        <f t="shared" ca="1" si="69"/>
        <v>-</v>
      </c>
      <c r="R238">
        <f t="shared" ca="1" si="70"/>
        <v>29</v>
      </c>
      <c r="S238">
        <f t="shared" ca="1" si="71"/>
        <v>223</v>
      </c>
      <c r="T238">
        <f t="shared" ca="1" si="72"/>
        <v>1981</v>
      </c>
      <c r="U238">
        <f t="shared" ca="1" si="73"/>
        <v>1986</v>
      </c>
      <c r="V238">
        <f t="shared" ca="1" si="74"/>
        <v>5</v>
      </c>
      <c r="W238">
        <f t="shared" ca="1" si="75"/>
        <v>17</v>
      </c>
    </row>
    <row r="239" spans="1:23">
      <c r="A239" t="s">
        <v>967</v>
      </c>
      <c r="B239" t="str">
        <f t="shared" ca="1" si="57"/>
        <v>羅眾碼</v>
      </c>
      <c r="C239" t="str">
        <f t="shared" ca="1" si="58"/>
        <v>ﾙｵ ｼﾞｮｰﾝ ﾏｰ</v>
      </c>
      <c r="D239" t="str">
        <f t="shared" ca="1" si="59"/>
        <v>Luo Zhong Ma</v>
      </c>
      <c r="E239" t="str" cm="1">
        <f t="array" aca="1" ref="E239" ca="1">INDIRECT(ADDRESS(RANDBETWEEN(2,16),7,1,1,"valueBase"))</f>
        <v>男性</v>
      </c>
      <c r="F239" s="5">
        <f t="shared" ca="1" si="60"/>
        <v>24386</v>
      </c>
      <c r="G239" s="5">
        <f t="shared" ca="1" si="61"/>
        <v>32413</v>
      </c>
      <c r="H239" s="5">
        <f t="shared" ca="1" si="62"/>
        <v>33508</v>
      </c>
      <c r="I239" t="str">
        <f t="shared" ca="1" si="63"/>
        <v>090-0689-3066</v>
      </c>
      <c r="J239" t="str">
        <f t="shared" ca="1" si="64"/>
        <v>Luo_Zhong_Ma_32413@outlook.jp.co</v>
      </c>
      <c r="K239" t="str">
        <f t="shared" ca="1" si="65"/>
        <v>普通</v>
      </c>
      <c r="L239" t="str">
        <f t="shared" ca="1" si="66"/>
        <v>有り</v>
      </c>
      <c r="M239" t="str">
        <f t="shared" ca="1" si="67"/>
        <v>5%</v>
      </c>
      <c r="N239" t="str">
        <f t="shared" ca="1" si="68"/>
        <v>有り</v>
      </c>
      <c r="O239">
        <f t="shared" ca="1" si="69"/>
        <v>177</v>
      </c>
      <c r="R239">
        <f t="shared" ca="1" si="70"/>
        <v>21</v>
      </c>
      <c r="S239">
        <f t="shared" ca="1" si="71"/>
        <v>160</v>
      </c>
      <c r="T239">
        <f t="shared" ca="1" si="72"/>
        <v>2002</v>
      </c>
      <c r="U239">
        <f t="shared" ca="1" si="73"/>
        <v>2013</v>
      </c>
      <c r="V239">
        <f t="shared" ca="1" si="74"/>
        <v>8</v>
      </c>
      <c r="W239">
        <f t="shared" ca="1" si="75"/>
        <v>29</v>
      </c>
    </row>
    <row r="240" spans="1:23">
      <c r="A240" t="s">
        <v>968</v>
      </c>
      <c r="B240" t="str">
        <f t="shared" ca="1" si="57"/>
        <v>朱林會</v>
      </c>
      <c r="C240" t="str">
        <f t="shared" ca="1" si="58"/>
        <v>ｼﾞｭｳ ﾘﾝ ﾎｩｲ</v>
      </c>
      <c r="D240" t="str">
        <f t="shared" ca="1" si="59"/>
        <v>Zhu Lin Hui</v>
      </c>
      <c r="E240" t="str" cm="1">
        <f t="array" aca="1" ref="E240" ca="1">INDIRECT(ADDRESS(RANDBETWEEN(2,16),7,1,1,"valueBase"))</f>
        <v>女性</v>
      </c>
      <c r="F240" s="5">
        <f t="shared" ca="1" si="60"/>
        <v>25715</v>
      </c>
      <c r="G240" s="5">
        <f t="shared" ca="1" si="61"/>
        <v>33996</v>
      </c>
      <c r="H240" s="5">
        <f t="shared" ca="1" si="62"/>
        <v>35091</v>
      </c>
      <c r="I240" t="str">
        <f t="shared" ca="1" si="63"/>
        <v>090-8670-3847</v>
      </c>
      <c r="J240" t="str">
        <f t="shared" ca="1" si="64"/>
        <v>Zhu_Lin Hui_33996@outlook.jp.co</v>
      </c>
      <c r="K240" t="str">
        <f t="shared" ca="1" si="65"/>
        <v>高級</v>
      </c>
      <c r="L240" t="str">
        <f t="shared" ca="1" si="66"/>
        <v>有り</v>
      </c>
      <c r="M240" t="str">
        <f t="shared" ca="1" si="67"/>
        <v>10%</v>
      </c>
      <c r="N240" t="str">
        <f t="shared" ca="1" si="68"/>
        <v>有り</v>
      </c>
      <c r="O240">
        <f t="shared" ca="1" si="69"/>
        <v>282</v>
      </c>
      <c r="R240">
        <f t="shared" ca="1" si="70"/>
        <v>15</v>
      </c>
      <c r="S240">
        <f t="shared" ca="1" si="71"/>
        <v>250</v>
      </c>
      <c r="T240">
        <f t="shared" ca="1" si="72"/>
        <v>1994</v>
      </c>
      <c r="U240">
        <f t="shared" ca="1" si="73"/>
        <v>2000</v>
      </c>
      <c r="V240">
        <f t="shared" ca="1" si="74"/>
        <v>11</v>
      </c>
      <c r="W240">
        <f t="shared" ca="1" si="75"/>
        <v>9</v>
      </c>
    </row>
    <row r="241" spans="1:23">
      <c r="A241" t="s">
        <v>969</v>
      </c>
      <c r="B241" t="str">
        <f t="shared" ca="1" si="57"/>
        <v>胡庭建</v>
      </c>
      <c r="C241" t="str">
        <f t="shared" ca="1" si="58"/>
        <v>ﾎｩ ﾃｨｰﾝ ｼﾞｴﾝ</v>
      </c>
      <c r="D241" t="str">
        <f t="shared" ca="1" si="59"/>
        <v>Hu Ting Jian</v>
      </c>
      <c r="E241" t="str" cm="1">
        <f t="array" aca="1" ref="E241" ca="1">INDIRECT(ADDRESS(RANDBETWEEN(2,16),7,1,1,"valueBase"))</f>
        <v>女性</v>
      </c>
      <c r="F241" s="5">
        <f t="shared" ca="1" si="60"/>
        <v>36403</v>
      </c>
      <c r="G241" s="5">
        <f t="shared" ca="1" si="61"/>
        <v>44110</v>
      </c>
      <c r="H241" s="5">
        <f t="shared" ca="1" si="62"/>
        <v>44475</v>
      </c>
      <c r="I241" t="str">
        <f t="shared" ca="1" si="63"/>
        <v>090-7085-9943</v>
      </c>
      <c r="J241" t="str">
        <f t="shared" ca="1" si="64"/>
        <v>Hu_Ting_Jian_44110@outlook.jp.co</v>
      </c>
      <c r="K241" t="str">
        <f t="shared" ca="1" si="65"/>
        <v>普通</v>
      </c>
      <c r="L241" t="str">
        <f t="shared" ca="1" si="66"/>
        <v>有り</v>
      </c>
      <c r="M241" t="str">
        <f t="shared" ca="1" si="67"/>
        <v>5%</v>
      </c>
      <c r="N241" t="str">
        <f t="shared" ca="1" si="68"/>
        <v>有り</v>
      </c>
      <c r="O241">
        <f t="shared" ca="1" si="69"/>
        <v>351</v>
      </c>
      <c r="R241">
        <f t="shared" ca="1" si="70"/>
        <v>14</v>
      </c>
      <c r="S241">
        <f t="shared" ca="1" si="71"/>
        <v>64</v>
      </c>
      <c r="T241">
        <f t="shared" ca="1" si="72"/>
        <v>1992</v>
      </c>
      <c r="U241">
        <f t="shared" ca="1" si="73"/>
        <v>1994</v>
      </c>
      <c r="V241">
        <f t="shared" ca="1" si="74"/>
        <v>3</v>
      </c>
      <c r="W241">
        <f t="shared" ca="1" si="75"/>
        <v>14</v>
      </c>
    </row>
    <row r="242" spans="1:23">
      <c r="A242" t="s">
        <v>970</v>
      </c>
      <c r="B242" t="str">
        <f t="shared" ca="1" si="57"/>
        <v>黃彤存</v>
      </c>
      <c r="C242" t="str">
        <f t="shared" ca="1" si="58"/>
        <v>ﾎﾜｰﾝ ﾄｰﾝ ﾂｩﾝ</v>
      </c>
      <c r="D242" t="str">
        <f t="shared" ca="1" si="59"/>
        <v>Huang Tong Cun</v>
      </c>
      <c r="E242" t="str" cm="1">
        <f t="array" aca="1" ref="E242" ca="1">INDIRECT(ADDRESS(RANDBETWEEN(2,16),7,1,1,"valueBase"))</f>
        <v>女性</v>
      </c>
      <c r="F242" s="5">
        <f t="shared" ca="1" si="60"/>
        <v>25237</v>
      </c>
      <c r="G242" s="5">
        <f t="shared" ca="1" si="61"/>
        <v>43001</v>
      </c>
      <c r="H242" s="5">
        <f t="shared" ca="1" si="62"/>
        <v>44096</v>
      </c>
      <c r="I242" t="str">
        <f t="shared" ca="1" si="63"/>
        <v>090-1855-4167</v>
      </c>
      <c r="J242" t="str">
        <f t="shared" ca="1" si="64"/>
        <v>Huang_Tong_Cun_43001@outlook.jp.co</v>
      </c>
      <c r="K242" t="str">
        <f t="shared" ca="1" si="65"/>
        <v>高級</v>
      </c>
      <c r="L242" t="str">
        <f t="shared" ca="1" si="66"/>
        <v>有り</v>
      </c>
      <c r="M242" t="str">
        <f t="shared" ca="1" si="67"/>
        <v>10%</v>
      </c>
      <c r="N242" t="str">
        <f t="shared" ca="1" si="68"/>
        <v>有り</v>
      </c>
      <c r="O242">
        <f t="shared" ca="1" si="69"/>
        <v>165</v>
      </c>
      <c r="R242">
        <f t="shared" ca="1" si="70"/>
        <v>9</v>
      </c>
      <c r="S242">
        <f t="shared" ca="1" si="71"/>
        <v>187</v>
      </c>
      <c r="T242">
        <f t="shared" ca="1" si="72"/>
        <v>1992</v>
      </c>
      <c r="U242">
        <f t="shared" ca="1" si="73"/>
        <v>1998</v>
      </c>
      <c r="V242">
        <f t="shared" ca="1" si="74"/>
        <v>12</v>
      </c>
      <c r="W242">
        <f t="shared" ca="1" si="75"/>
        <v>2</v>
      </c>
    </row>
    <row r="243" spans="1:23">
      <c r="A243" t="s">
        <v>971</v>
      </c>
      <c r="B243" t="str">
        <f t="shared" ca="1" si="57"/>
        <v>朱虎傑</v>
      </c>
      <c r="C243" t="str">
        <f t="shared" ca="1" si="58"/>
        <v>ｼﾞｭｳ ﾎｩ ｼﾞｴ</v>
      </c>
      <c r="D243" t="str">
        <f t="shared" ca="1" si="59"/>
        <v>Zhu Hu Jie</v>
      </c>
      <c r="E243" t="str" cm="1">
        <f t="array" aca="1" ref="E243" ca="1">INDIRECT(ADDRESS(RANDBETWEEN(2,16),7,1,1,"valueBase"))</f>
        <v>女性</v>
      </c>
      <c r="F243" s="5">
        <f t="shared" ca="1" si="60"/>
        <v>23058</v>
      </c>
      <c r="G243" s="5">
        <f t="shared" ca="1" si="61"/>
        <v>32881</v>
      </c>
      <c r="H243" s="5">
        <f t="shared" ca="1" si="62"/>
        <v>33976</v>
      </c>
      <c r="I243" t="str">
        <f t="shared" ca="1" si="63"/>
        <v>090-8923-6132</v>
      </c>
      <c r="J243" t="str">
        <f t="shared" ca="1" si="64"/>
        <v>Zhu_Hu_Jie_32881@outlook.jp.co</v>
      </c>
      <c r="K243" t="str">
        <f t="shared" ca="1" si="65"/>
        <v>高級</v>
      </c>
      <c r="L243" t="str">
        <f t="shared" ca="1" si="66"/>
        <v>有り</v>
      </c>
      <c r="M243" t="str">
        <f t="shared" ca="1" si="67"/>
        <v>10%</v>
      </c>
      <c r="N243" t="str">
        <f t="shared" ca="1" si="68"/>
        <v>-</v>
      </c>
      <c r="O243" t="str">
        <f t="shared" ca="1" si="69"/>
        <v>-</v>
      </c>
      <c r="R243">
        <f t="shared" ca="1" si="70"/>
        <v>15</v>
      </c>
      <c r="S243">
        <f t="shared" ca="1" si="71"/>
        <v>201</v>
      </c>
      <c r="T243">
        <f t="shared" ca="1" si="72"/>
        <v>1988</v>
      </c>
      <c r="U243">
        <f t="shared" ca="1" si="73"/>
        <v>1989</v>
      </c>
      <c r="V243">
        <f t="shared" ca="1" si="74"/>
        <v>10</v>
      </c>
      <c r="W243">
        <f t="shared" ca="1" si="75"/>
        <v>20</v>
      </c>
    </row>
    <row r="244" spans="1:23">
      <c r="A244" t="s">
        <v>972</v>
      </c>
      <c r="B244" t="str">
        <f t="shared" ca="1" si="57"/>
        <v>鄭至凡</v>
      </c>
      <c r="C244" t="str">
        <f t="shared" ca="1" si="58"/>
        <v>ｼﾞｭﾖﾝ ｼﾞｰ ﾌｧﾝ</v>
      </c>
      <c r="D244" t="str">
        <f t="shared" ca="1" si="59"/>
        <v>Zheng Zhi Fan</v>
      </c>
      <c r="E244" t="str" cm="1">
        <f t="array" aca="1" ref="E244" ca="1">INDIRECT(ADDRESS(RANDBETWEEN(2,16),7,1,1,"valueBase"))</f>
        <v>-</v>
      </c>
      <c r="F244" s="5">
        <f t="shared" ca="1" si="60"/>
        <v>31176</v>
      </c>
      <c r="G244" s="5">
        <f t="shared" ca="1" si="61"/>
        <v>37883</v>
      </c>
      <c r="H244" s="5">
        <f t="shared" ca="1" si="62"/>
        <v>38613</v>
      </c>
      <c r="I244" t="str">
        <f t="shared" ca="1" si="63"/>
        <v>080-1048-8278</v>
      </c>
      <c r="J244" t="str">
        <f t="shared" ca="1" si="64"/>
        <v>Zheng_Zhi_Fan_37883@outlook.jp.co</v>
      </c>
      <c r="K244" t="str">
        <f t="shared" ca="1" si="65"/>
        <v>普通</v>
      </c>
      <c r="L244" t="str">
        <f t="shared" ca="1" si="66"/>
        <v>有り</v>
      </c>
      <c r="M244" t="str">
        <f t="shared" ca="1" si="67"/>
        <v>5%</v>
      </c>
      <c r="N244" t="str">
        <f t="shared" ca="1" si="68"/>
        <v>有り</v>
      </c>
      <c r="O244">
        <f t="shared" ca="1" si="69"/>
        <v>550</v>
      </c>
      <c r="R244">
        <f t="shared" ca="1" si="70"/>
        <v>24</v>
      </c>
      <c r="S244">
        <f t="shared" ca="1" si="71"/>
        <v>191</v>
      </c>
      <c r="T244">
        <f t="shared" ca="1" si="72"/>
        <v>1990</v>
      </c>
      <c r="U244">
        <f t="shared" ca="1" si="73"/>
        <v>1997</v>
      </c>
      <c r="V244">
        <f t="shared" ca="1" si="74"/>
        <v>5</v>
      </c>
      <c r="W244">
        <f t="shared" ca="1" si="75"/>
        <v>4</v>
      </c>
    </row>
    <row r="245" spans="1:23">
      <c r="A245" t="s">
        <v>973</v>
      </c>
      <c r="B245" t="str">
        <f t="shared" ca="1" si="57"/>
        <v>馬貴孝</v>
      </c>
      <c r="C245" t="str">
        <f t="shared" ca="1" si="58"/>
        <v>ﾏｰ ｸﾞｲ ｼﾔｵ</v>
      </c>
      <c r="D245" t="str">
        <f t="shared" ca="1" si="59"/>
        <v>Ma Gui Xiao</v>
      </c>
      <c r="E245" t="str" cm="1">
        <f t="array" aca="1" ref="E245" ca="1">INDIRECT(ADDRESS(RANDBETWEEN(2,16),7,1,1,"valueBase"))</f>
        <v>女性</v>
      </c>
      <c r="F245" s="5">
        <f t="shared" ca="1" si="60"/>
        <v>22048</v>
      </c>
      <c r="G245" s="5">
        <f t="shared" ca="1" si="61"/>
        <v>35710</v>
      </c>
      <c r="H245" s="5">
        <f t="shared" ca="1" si="62"/>
        <v>36805</v>
      </c>
      <c r="I245" t="str">
        <f t="shared" ca="1" si="63"/>
        <v>090-3123-8972</v>
      </c>
      <c r="J245" t="str">
        <f t="shared" ca="1" si="64"/>
        <v>Ma_Gui_Xiao_35710@outlook.jp.co</v>
      </c>
      <c r="K245" t="str">
        <f t="shared" ca="1" si="65"/>
        <v>高級</v>
      </c>
      <c r="L245" t="str">
        <f t="shared" ca="1" si="66"/>
        <v>有り</v>
      </c>
      <c r="M245" t="str">
        <f t="shared" ca="1" si="67"/>
        <v>10%</v>
      </c>
      <c r="N245" t="str">
        <f t="shared" ca="1" si="68"/>
        <v>有り</v>
      </c>
      <c r="O245">
        <f t="shared" ca="1" si="69"/>
        <v>78</v>
      </c>
      <c r="R245">
        <f t="shared" ca="1" si="70"/>
        <v>20</v>
      </c>
      <c r="S245">
        <f t="shared" ca="1" si="71"/>
        <v>244</v>
      </c>
      <c r="T245">
        <f t="shared" ca="1" si="72"/>
        <v>1976</v>
      </c>
      <c r="U245">
        <f t="shared" ca="1" si="73"/>
        <v>1980</v>
      </c>
      <c r="V245">
        <f t="shared" ca="1" si="74"/>
        <v>9</v>
      </c>
      <c r="W245">
        <f t="shared" ca="1" si="75"/>
        <v>23</v>
      </c>
    </row>
    <row r="246" spans="1:23">
      <c r="A246" t="s">
        <v>974</v>
      </c>
      <c r="B246" t="str">
        <f t="shared" ca="1" si="57"/>
        <v>楊武巧</v>
      </c>
      <c r="C246" t="str">
        <f t="shared" ca="1" si="58"/>
        <v>ﾔｰﾝ ｳｰ ﾁﾔｵ</v>
      </c>
      <c r="D246" t="str">
        <f t="shared" ca="1" si="59"/>
        <v>Yang Wu Qiao</v>
      </c>
      <c r="E246" t="str" cm="1">
        <f t="array" aca="1" ref="E246" ca="1">INDIRECT(ADDRESS(RANDBETWEEN(2,16),7,1,1,"valueBase"))</f>
        <v>女性</v>
      </c>
      <c r="F246" s="5">
        <f t="shared" ca="1" si="60"/>
        <v>35298</v>
      </c>
      <c r="G246" s="5">
        <f t="shared" ca="1" si="61"/>
        <v>44853</v>
      </c>
      <c r="H246" s="5">
        <f t="shared" ca="1" si="62"/>
        <v>45583</v>
      </c>
      <c r="I246" t="str">
        <f t="shared" ca="1" si="63"/>
        <v>090-3370-0570</v>
      </c>
      <c r="J246" t="str">
        <f t="shared" ca="1" si="64"/>
        <v>Yang_Wu_Qiao_44853@outlook.jp.co</v>
      </c>
      <c r="K246" t="str">
        <f t="shared" ca="1" si="65"/>
        <v>普通</v>
      </c>
      <c r="L246" t="str">
        <f t="shared" ca="1" si="66"/>
        <v>-</v>
      </c>
      <c r="M246" t="str">
        <f t="shared" ca="1" si="67"/>
        <v>-</v>
      </c>
      <c r="N246" t="str">
        <f t="shared" ca="1" si="68"/>
        <v>-</v>
      </c>
      <c r="O246" t="str">
        <f t="shared" ca="1" si="69"/>
        <v>-</v>
      </c>
      <c r="R246">
        <f t="shared" ca="1" si="70"/>
        <v>7</v>
      </c>
      <c r="S246">
        <f t="shared" ca="1" si="71"/>
        <v>237</v>
      </c>
      <c r="T246">
        <f t="shared" ca="1" si="72"/>
        <v>1981</v>
      </c>
      <c r="U246">
        <f t="shared" ca="1" si="73"/>
        <v>1985</v>
      </c>
      <c r="V246">
        <f t="shared" ca="1" si="74"/>
        <v>10</v>
      </c>
      <c r="W246">
        <f t="shared" ca="1" si="75"/>
        <v>22</v>
      </c>
    </row>
    <row r="247" spans="1:23">
      <c r="A247" t="s">
        <v>975</v>
      </c>
      <c r="B247" t="str">
        <f t="shared" ca="1" si="57"/>
        <v>徐彤媛</v>
      </c>
      <c r="C247" t="str">
        <f t="shared" ca="1" si="58"/>
        <v>ｼｭｲ ﾄｰﾝ ﾕｴﾝ</v>
      </c>
      <c r="D247" t="str">
        <f t="shared" ca="1" si="59"/>
        <v>Xu Tong Yuan</v>
      </c>
      <c r="E247" t="str" cm="1">
        <f t="array" aca="1" ref="E247" ca="1">INDIRECT(ADDRESS(RANDBETWEEN(2,16),7,1,1,"valueBase"))</f>
        <v>男性</v>
      </c>
      <c r="F247" s="5">
        <f t="shared" ca="1" si="60"/>
        <v>22979</v>
      </c>
      <c r="G247" s="5">
        <f t="shared" ca="1" si="61"/>
        <v>30210</v>
      </c>
      <c r="H247" s="5">
        <f t="shared" ca="1" si="62"/>
        <v>31305</v>
      </c>
      <c r="I247" t="str">
        <f t="shared" ca="1" si="63"/>
        <v>090-0979-1835</v>
      </c>
      <c r="J247" t="str">
        <f t="shared" ca="1" si="64"/>
        <v>Xu_Tong_Yuan_30210@outlook.jp.co</v>
      </c>
      <c r="K247" t="str">
        <f t="shared" ca="1" si="65"/>
        <v>高級</v>
      </c>
      <c r="L247" t="str">
        <f t="shared" ca="1" si="66"/>
        <v>-</v>
      </c>
      <c r="M247" t="str">
        <f t="shared" ca="1" si="67"/>
        <v>-</v>
      </c>
      <c r="N247" t="str">
        <f t="shared" ca="1" si="68"/>
        <v>-</v>
      </c>
      <c r="O247" t="str">
        <f t="shared" ca="1" si="69"/>
        <v>-</v>
      </c>
      <c r="R247">
        <f t="shared" ca="1" si="70"/>
        <v>12</v>
      </c>
      <c r="S247">
        <f t="shared" ca="1" si="71"/>
        <v>245</v>
      </c>
      <c r="T247">
        <f t="shared" ca="1" si="72"/>
        <v>1984</v>
      </c>
      <c r="U247">
        <f t="shared" ca="1" si="73"/>
        <v>1992</v>
      </c>
      <c r="V247">
        <f t="shared" ca="1" si="74"/>
        <v>11</v>
      </c>
      <c r="W247">
        <f t="shared" ca="1" si="75"/>
        <v>13</v>
      </c>
    </row>
    <row r="248" spans="1:23">
      <c r="A248" t="s">
        <v>976</v>
      </c>
      <c r="B248" t="str">
        <f t="shared" ca="1" si="57"/>
        <v>張博松</v>
      </c>
      <c r="C248" t="str">
        <f t="shared" ca="1" si="58"/>
        <v>ｼﾞｬｰﾝ ﾎﾞｰ ｿｰﾝ</v>
      </c>
      <c r="D248" t="str">
        <f t="shared" ca="1" si="59"/>
        <v>Zhang Bo Song</v>
      </c>
      <c r="E248" t="str" cm="1">
        <f t="array" aca="1" ref="E248" ca="1">INDIRECT(ADDRESS(RANDBETWEEN(2,16),7,1,1,"valueBase"))</f>
        <v>男性</v>
      </c>
      <c r="F248" s="5">
        <f t="shared" ca="1" si="60"/>
        <v>29383</v>
      </c>
      <c r="G248" s="5">
        <f t="shared" ca="1" si="61"/>
        <v>41048</v>
      </c>
      <c r="H248" s="5">
        <f t="shared" ca="1" si="62"/>
        <v>41413</v>
      </c>
      <c r="I248" t="str">
        <f t="shared" ca="1" si="63"/>
        <v>080-9239-6950</v>
      </c>
      <c r="J248" t="str">
        <f t="shared" ca="1" si="64"/>
        <v>Zhang_Bo_Song_41048@outlook.jp.co</v>
      </c>
      <c r="K248" t="str">
        <f t="shared" ca="1" si="65"/>
        <v>高級</v>
      </c>
      <c r="L248" t="str">
        <f t="shared" ca="1" si="66"/>
        <v>有り</v>
      </c>
      <c r="M248" t="str">
        <f t="shared" ca="1" si="67"/>
        <v>10%</v>
      </c>
      <c r="N248" t="str">
        <f t="shared" ca="1" si="68"/>
        <v>有り</v>
      </c>
      <c r="O248">
        <f t="shared" ca="1" si="69"/>
        <v>866</v>
      </c>
      <c r="R248">
        <f t="shared" ca="1" si="70"/>
        <v>4</v>
      </c>
      <c r="S248">
        <f t="shared" ca="1" si="71"/>
        <v>44</v>
      </c>
      <c r="T248">
        <f t="shared" ca="1" si="72"/>
        <v>1993</v>
      </c>
      <c r="U248">
        <f t="shared" ca="1" si="73"/>
        <v>1994</v>
      </c>
      <c r="V248">
        <f t="shared" ca="1" si="74"/>
        <v>7</v>
      </c>
      <c r="W248">
        <f t="shared" ca="1" si="75"/>
        <v>23</v>
      </c>
    </row>
    <row r="249" spans="1:23">
      <c r="A249" t="s">
        <v>977</v>
      </c>
      <c r="B249" t="str">
        <f t="shared" ca="1" si="57"/>
        <v>唐迎臣</v>
      </c>
      <c r="C249" t="str">
        <f t="shared" ca="1" si="58"/>
        <v>ﾀｰﾝ ｲｰﾝ ﾁｪﾝ</v>
      </c>
      <c r="D249" t="str">
        <f t="shared" ca="1" si="59"/>
        <v>Tang Ying Chen</v>
      </c>
      <c r="E249" t="str" cm="1">
        <f t="array" aca="1" ref="E249" ca="1">INDIRECT(ADDRESS(RANDBETWEEN(2,16),7,1,1,"valueBase"))</f>
        <v>女性</v>
      </c>
      <c r="F249" s="5">
        <f t="shared" ca="1" si="60"/>
        <v>27529</v>
      </c>
      <c r="G249" s="5">
        <f t="shared" ca="1" si="61"/>
        <v>43558</v>
      </c>
      <c r="H249" s="5">
        <f t="shared" ca="1" si="62"/>
        <v>44653</v>
      </c>
      <c r="I249" t="str">
        <f t="shared" ca="1" si="63"/>
        <v>080-4205-0518</v>
      </c>
      <c r="J249" t="str">
        <f t="shared" ca="1" si="64"/>
        <v>Tang_Ying_Chen_43558@outlook.jp.co</v>
      </c>
      <c r="K249" t="str">
        <f t="shared" ca="1" si="65"/>
        <v>普通</v>
      </c>
      <c r="L249" t="str">
        <f t="shared" ca="1" si="66"/>
        <v>有り</v>
      </c>
      <c r="M249" t="str">
        <f t="shared" ca="1" si="67"/>
        <v>5%</v>
      </c>
      <c r="N249" t="str">
        <f t="shared" ca="1" si="68"/>
        <v>有り</v>
      </c>
      <c r="O249">
        <f t="shared" ca="1" si="69"/>
        <v>265</v>
      </c>
      <c r="R249">
        <f t="shared" ca="1" si="70"/>
        <v>27</v>
      </c>
      <c r="S249">
        <f t="shared" ca="1" si="71"/>
        <v>198</v>
      </c>
      <c r="T249">
        <f t="shared" ca="1" si="72"/>
        <v>1979</v>
      </c>
      <c r="U249">
        <f t="shared" ca="1" si="73"/>
        <v>1990</v>
      </c>
      <c r="V249">
        <f t="shared" ca="1" si="74"/>
        <v>9</v>
      </c>
      <c r="W249">
        <f t="shared" ca="1" si="75"/>
        <v>1</v>
      </c>
    </row>
    <row r="250" spans="1:23">
      <c r="A250" t="s">
        <v>978</v>
      </c>
      <c r="B250" t="str">
        <f t="shared" ca="1" si="57"/>
        <v>張冠聆</v>
      </c>
      <c r="C250" t="str">
        <f t="shared" ca="1" si="58"/>
        <v>ｼﾞｬｰﾝ ｸﾞﾜﾝ ﾘｰﾝ</v>
      </c>
      <c r="D250" t="str">
        <f t="shared" ca="1" si="59"/>
        <v>Zhang Guan Ling</v>
      </c>
      <c r="E250" t="str" cm="1">
        <f t="array" aca="1" ref="E250" ca="1">INDIRECT(ADDRESS(RANDBETWEEN(2,16),7,1,1,"valueBase"))</f>
        <v>男性</v>
      </c>
      <c r="F250" s="5">
        <f t="shared" ca="1" si="60"/>
        <v>32659</v>
      </c>
      <c r="G250" s="5">
        <f t="shared" ca="1" si="61"/>
        <v>43173</v>
      </c>
      <c r="H250" s="5">
        <f t="shared" ca="1" si="62"/>
        <v>43538</v>
      </c>
      <c r="I250" t="str">
        <f t="shared" ca="1" si="63"/>
        <v>090-6571-9783</v>
      </c>
      <c r="J250" t="str">
        <f t="shared" ca="1" si="64"/>
        <v>Zhang_Guan_Ling_43173@outlook.jp.co</v>
      </c>
      <c r="K250" t="str">
        <f t="shared" ca="1" si="65"/>
        <v>高級</v>
      </c>
      <c r="L250" t="str">
        <f t="shared" ca="1" si="66"/>
        <v>有り</v>
      </c>
      <c r="M250" t="str">
        <f t="shared" ca="1" si="67"/>
        <v>10%</v>
      </c>
      <c r="N250" t="str">
        <f t="shared" ca="1" si="68"/>
        <v>有り</v>
      </c>
      <c r="O250">
        <f t="shared" ca="1" si="69"/>
        <v>117</v>
      </c>
      <c r="R250">
        <f t="shared" ca="1" si="70"/>
        <v>4</v>
      </c>
      <c r="S250">
        <f t="shared" ca="1" si="71"/>
        <v>156</v>
      </c>
      <c r="T250">
        <f t="shared" ca="1" si="72"/>
        <v>2001</v>
      </c>
      <c r="U250">
        <f t="shared" ca="1" si="73"/>
        <v>2004</v>
      </c>
      <c r="V250">
        <f t="shared" ca="1" si="74"/>
        <v>10</v>
      </c>
      <c r="W250">
        <f t="shared" ca="1" si="75"/>
        <v>29</v>
      </c>
    </row>
    <row r="251" spans="1:23">
      <c r="A251" t="s">
        <v>979</v>
      </c>
      <c r="B251" t="str">
        <f t="shared" ca="1" si="57"/>
        <v>馬輝琛</v>
      </c>
      <c r="C251" t="str">
        <f t="shared" ca="1" si="58"/>
        <v>ﾏｰ ﾎｩｲ ﾁｪﾝ</v>
      </c>
      <c r="D251" t="str">
        <f t="shared" ca="1" si="59"/>
        <v>Ma Hui Chen</v>
      </c>
      <c r="E251" t="str" cm="1">
        <f t="array" aca="1" ref="E251" ca="1">INDIRECT(ADDRESS(RANDBETWEEN(2,16),7,1,1,"valueBase"))</f>
        <v>男性</v>
      </c>
      <c r="F251" s="5">
        <f t="shared" ca="1" si="60"/>
        <v>32320</v>
      </c>
      <c r="G251" s="5">
        <f t="shared" ca="1" si="61"/>
        <v>43325</v>
      </c>
      <c r="H251" s="5">
        <f t="shared" ca="1" si="62"/>
        <v>44055</v>
      </c>
      <c r="I251" t="str">
        <f t="shared" ca="1" si="63"/>
        <v>090-5125-9683</v>
      </c>
      <c r="J251" t="str">
        <f t="shared" ca="1" si="64"/>
        <v>Ma_Hui_Chen_43325@outlook.jp.co</v>
      </c>
      <c r="K251" t="str">
        <f t="shared" ca="1" si="65"/>
        <v>普通</v>
      </c>
      <c r="L251" t="str">
        <f t="shared" ca="1" si="66"/>
        <v>有り</v>
      </c>
      <c r="M251" t="str">
        <f t="shared" ca="1" si="67"/>
        <v>5%</v>
      </c>
      <c r="N251" t="str">
        <f t="shared" ca="1" si="68"/>
        <v>-</v>
      </c>
      <c r="O251" t="str">
        <f t="shared" ca="1" si="69"/>
        <v>-</v>
      </c>
      <c r="R251">
        <f t="shared" ca="1" si="70"/>
        <v>20</v>
      </c>
      <c r="S251">
        <f t="shared" ca="1" si="71"/>
        <v>327</v>
      </c>
      <c r="T251">
        <f t="shared" ca="1" si="72"/>
        <v>1974</v>
      </c>
      <c r="U251">
        <f t="shared" ca="1" si="73"/>
        <v>1978</v>
      </c>
      <c r="V251">
        <f t="shared" ca="1" si="74"/>
        <v>8</v>
      </c>
      <c r="W251">
        <f t="shared" ca="1" si="75"/>
        <v>19</v>
      </c>
    </row>
    <row r="252" spans="1:23">
      <c r="A252" t="s">
        <v>980</v>
      </c>
      <c r="B252" t="str">
        <f t="shared" ca="1" si="57"/>
        <v>馮都耿</v>
      </c>
      <c r="C252" t="str">
        <f t="shared" ca="1" si="58"/>
        <v>ﾌｵﾝ ﾄﾞｳ ｸﾞｵﾝ</v>
      </c>
      <c r="D252" t="str">
        <f t="shared" ca="1" si="59"/>
        <v>Feng Dou Geng</v>
      </c>
      <c r="E252" t="str" cm="1">
        <f t="array" aca="1" ref="E252" ca="1">INDIRECT(ADDRESS(RANDBETWEEN(2,16),7,1,1,"valueBase"))</f>
        <v>男性</v>
      </c>
      <c r="F252" s="5">
        <f t="shared" ca="1" si="60"/>
        <v>28890</v>
      </c>
      <c r="G252" s="5">
        <f t="shared" ca="1" si="61"/>
        <v>37816</v>
      </c>
      <c r="H252" s="5">
        <f t="shared" ca="1" si="62"/>
        <v>38181</v>
      </c>
      <c r="I252" t="str">
        <f t="shared" ca="1" si="63"/>
        <v>080-7001-7315</v>
      </c>
      <c r="J252" t="str">
        <f t="shared" ca="1" si="64"/>
        <v>Feng_Dou Geng_37816@outlook.jp.co</v>
      </c>
      <c r="K252" t="str">
        <f t="shared" ca="1" si="65"/>
        <v>普通</v>
      </c>
      <c r="L252" t="str">
        <f t="shared" ca="1" si="66"/>
        <v>有り</v>
      </c>
      <c r="M252" t="str">
        <f t="shared" ca="1" si="67"/>
        <v>5%</v>
      </c>
      <c r="N252" t="str">
        <f t="shared" ca="1" si="68"/>
        <v>有り</v>
      </c>
      <c r="O252">
        <f t="shared" ca="1" si="69"/>
        <v>121</v>
      </c>
      <c r="R252">
        <f t="shared" ca="1" si="70"/>
        <v>28</v>
      </c>
      <c r="S252">
        <f t="shared" ca="1" si="71"/>
        <v>82</v>
      </c>
      <c r="T252">
        <f t="shared" ca="1" si="72"/>
        <v>1990</v>
      </c>
      <c r="U252">
        <f t="shared" ca="1" si="73"/>
        <v>1994</v>
      </c>
      <c r="V252">
        <f t="shared" ca="1" si="74"/>
        <v>7</v>
      </c>
      <c r="W252">
        <f t="shared" ca="1" si="75"/>
        <v>5</v>
      </c>
    </row>
    <row r="253" spans="1:23">
      <c r="A253" t="s">
        <v>981</v>
      </c>
      <c r="B253" t="str">
        <f t="shared" ca="1" si="57"/>
        <v>黃冠俊</v>
      </c>
      <c r="C253" t="str">
        <f t="shared" ca="1" si="58"/>
        <v>ﾎﾜｰﾝ ｸﾞﾜﾝ ｼﾞｭｲﾝ</v>
      </c>
      <c r="D253" t="str">
        <f t="shared" ca="1" si="59"/>
        <v>Huang Guan Jun</v>
      </c>
      <c r="E253" t="str" cm="1">
        <f t="array" aca="1" ref="E253" ca="1">INDIRECT(ADDRESS(RANDBETWEEN(2,16),7,1,1,"valueBase"))</f>
        <v>女性</v>
      </c>
      <c r="F253" s="5">
        <f t="shared" ca="1" si="60"/>
        <v>32132</v>
      </c>
      <c r="G253" s="5">
        <f t="shared" ca="1" si="61"/>
        <v>44102</v>
      </c>
      <c r="H253" s="5">
        <f t="shared" ca="1" si="62"/>
        <v>44467</v>
      </c>
      <c r="I253" t="str">
        <f t="shared" ca="1" si="63"/>
        <v>090-1836-4805</v>
      </c>
      <c r="J253" t="str">
        <f t="shared" ca="1" si="64"/>
        <v>Huang_Guan_Jun_44102@outlook.jp.co</v>
      </c>
      <c r="K253" t="str">
        <f t="shared" ca="1" si="65"/>
        <v>高級</v>
      </c>
      <c r="L253" t="str">
        <f t="shared" ca="1" si="66"/>
        <v>有り</v>
      </c>
      <c r="M253" t="str">
        <f t="shared" ca="1" si="67"/>
        <v>10%</v>
      </c>
      <c r="N253" t="str">
        <f t="shared" ca="1" si="68"/>
        <v>-</v>
      </c>
      <c r="O253" t="str">
        <f t="shared" ca="1" si="69"/>
        <v>-</v>
      </c>
      <c r="R253">
        <f t="shared" ca="1" si="70"/>
        <v>9</v>
      </c>
      <c r="S253">
        <f t="shared" ca="1" si="71"/>
        <v>291</v>
      </c>
      <c r="T253">
        <f t="shared" ca="1" si="72"/>
        <v>1992</v>
      </c>
      <c r="U253">
        <f t="shared" ca="1" si="73"/>
        <v>2004</v>
      </c>
      <c r="V253">
        <f t="shared" ca="1" si="74"/>
        <v>12</v>
      </c>
      <c r="W253">
        <f t="shared" ca="1" si="75"/>
        <v>25</v>
      </c>
    </row>
    <row r="254" spans="1:23">
      <c r="A254" t="s">
        <v>982</v>
      </c>
      <c r="B254" t="str">
        <f t="shared" ca="1" si="57"/>
        <v>于真物</v>
      </c>
      <c r="C254" t="str">
        <f t="shared" ca="1" si="58"/>
        <v>ﾕｲ ｼﾞｪﾝ ｳｰ</v>
      </c>
      <c r="D254" t="str">
        <f t="shared" ca="1" si="59"/>
        <v>Yu Zhen Wu</v>
      </c>
      <c r="E254" t="str" cm="1">
        <f t="array" aca="1" ref="E254" ca="1">INDIRECT(ADDRESS(RANDBETWEEN(2,16),7,1,1,"valueBase"))</f>
        <v>女性</v>
      </c>
      <c r="F254" s="5">
        <f t="shared" ca="1" si="60"/>
        <v>30816</v>
      </c>
      <c r="G254" s="5">
        <f t="shared" ca="1" si="61"/>
        <v>38136</v>
      </c>
      <c r="H254" s="5">
        <f t="shared" ca="1" si="62"/>
        <v>38866</v>
      </c>
      <c r="I254" t="str">
        <f t="shared" ca="1" si="63"/>
        <v>090-1216-9042</v>
      </c>
      <c r="J254" t="str">
        <f t="shared" ca="1" si="64"/>
        <v>Yu_Zhen_Wu_38136@outlook.jp.co</v>
      </c>
      <c r="K254" t="str">
        <f t="shared" ca="1" si="65"/>
        <v>普通</v>
      </c>
      <c r="L254" t="str">
        <f t="shared" ca="1" si="66"/>
        <v>有り</v>
      </c>
      <c r="M254" t="str">
        <f t="shared" ca="1" si="67"/>
        <v>5%</v>
      </c>
      <c r="N254" t="str">
        <f t="shared" ca="1" si="68"/>
        <v>有り</v>
      </c>
      <c r="O254">
        <f t="shared" ca="1" si="69"/>
        <v>243</v>
      </c>
      <c r="R254">
        <f t="shared" ca="1" si="70"/>
        <v>29</v>
      </c>
      <c r="S254">
        <f t="shared" ca="1" si="71"/>
        <v>280</v>
      </c>
      <c r="T254">
        <f t="shared" ca="1" si="72"/>
        <v>2000</v>
      </c>
      <c r="U254">
        <f t="shared" ca="1" si="73"/>
        <v>2003</v>
      </c>
      <c r="V254">
        <f t="shared" ca="1" si="74"/>
        <v>6</v>
      </c>
      <c r="W254">
        <f t="shared" ca="1" si="75"/>
        <v>18</v>
      </c>
    </row>
    <row r="255" spans="1:23">
      <c r="A255" t="s">
        <v>983</v>
      </c>
      <c r="B255" t="str">
        <f t="shared" ca="1" si="57"/>
        <v>馮茗奧</v>
      </c>
      <c r="C255" t="str">
        <f t="shared" ca="1" si="58"/>
        <v>ﾌｵﾝ ﾐｰﾝ ｱｵ</v>
      </c>
      <c r="D255" t="str">
        <f t="shared" ca="1" si="59"/>
        <v>Feng Ming Ao</v>
      </c>
      <c r="E255" t="str" cm="1">
        <f t="array" aca="1" ref="E255" ca="1">INDIRECT(ADDRESS(RANDBETWEEN(2,16),7,1,1,"valueBase"))</f>
        <v>男性</v>
      </c>
      <c r="F255" s="5">
        <f t="shared" ca="1" si="60"/>
        <v>29216</v>
      </c>
      <c r="G255" s="5">
        <f t="shared" ca="1" si="61"/>
        <v>36837</v>
      </c>
      <c r="H255" s="5">
        <f t="shared" ca="1" si="62"/>
        <v>37932</v>
      </c>
      <c r="I255" t="str">
        <f t="shared" ca="1" si="63"/>
        <v>090-9949-7313</v>
      </c>
      <c r="J255" t="str">
        <f t="shared" ca="1" si="64"/>
        <v>Feng_Ming_Ao_36837@outlook.jp.co</v>
      </c>
      <c r="K255" t="str">
        <f t="shared" ca="1" si="65"/>
        <v>高級</v>
      </c>
      <c r="L255" t="str">
        <f t="shared" ca="1" si="66"/>
        <v>有り</v>
      </c>
      <c r="M255" t="str">
        <f t="shared" ca="1" si="67"/>
        <v>10%</v>
      </c>
      <c r="N255" t="str">
        <f t="shared" ca="1" si="68"/>
        <v>有り</v>
      </c>
      <c r="O255">
        <f t="shared" ca="1" si="69"/>
        <v>866</v>
      </c>
      <c r="R255">
        <f t="shared" ca="1" si="70"/>
        <v>28</v>
      </c>
      <c r="S255">
        <f t="shared" ca="1" si="71"/>
        <v>209</v>
      </c>
      <c r="T255">
        <f t="shared" ca="1" si="72"/>
        <v>1986</v>
      </c>
      <c r="U255">
        <f t="shared" ca="1" si="73"/>
        <v>1987</v>
      </c>
      <c r="V255">
        <f t="shared" ca="1" si="74"/>
        <v>5</v>
      </c>
      <c r="W255">
        <f t="shared" ca="1" si="75"/>
        <v>11</v>
      </c>
    </row>
    <row r="256" spans="1:23">
      <c r="A256" t="s">
        <v>984</v>
      </c>
      <c r="B256" t="str">
        <f t="shared" ca="1" si="57"/>
        <v>孫歐國</v>
      </c>
      <c r="C256" t="str">
        <f t="shared" ca="1" si="58"/>
        <v>ｽｩﾝ ｵｳ ｸﾞｵ</v>
      </c>
      <c r="D256" t="str">
        <f t="shared" ca="1" si="59"/>
        <v>Sun Ou Guo</v>
      </c>
      <c r="E256" t="str" cm="1">
        <f t="array" aca="1" ref="E256" ca="1">INDIRECT(ADDRESS(RANDBETWEEN(2,16),7,1,1,"valueBase"))</f>
        <v>女性</v>
      </c>
      <c r="F256" s="5">
        <f t="shared" ca="1" si="60"/>
        <v>28616</v>
      </c>
      <c r="G256" s="5">
        <f t="shared" ca="1" si="61"/>
        <v>43734</v>
      </c>
      <c r="H256" s="5">
        <f t="shared" ca="1" si="62"/>
        <v>44464</v>
      </c>
      <c r="I256" t="str">
        <f t="shared" ca="1" si="63"/>
        <v>090-5646-0343</v>
      </c>
      <c r="J256" t="str">
        <f t="shared" ca="1" si="64"/>
        <v>Sun_Ou_Guo_43734@outlook.jp.co</v>
      </c>
      <c r="K256" t="str">
        <f t="shared" ca="1" si="65"/>
        <v>高級</v>
      </c>
      <c r="L256" t="str">
        <f t="shared" ca="1" si="66"/>
        <v>-</v>
      </c>
      <c r="M256" t="str">
        <f t="shared" ca="1" si="67"/>
        <v>-</v>
      </c>
      <c r="N256" t="str">
        <f t="shared" ca="1" si="68"/>
        <v>有り</v>
      </c>
      <c r="O256">
        <f t="shared" ca="1" si="69"/>
        <v>841</v>
      </c>
      <c r="R256">
        <f t="shared" ca="1" si="70"/>
        <v>13</v>
      </c>
      <c r="S256">
        <f t="shared" ca="1" si="71"/>
        <v>229</v>
      </c>
      <c r="T256">
        <f t="shared" ca="1" si="72"/>
        <v>1986</v>
      </c>
      <c r="U256">
        <f t="shared" ca="1" si="73"/>
        <v>1991</v>
      </c>
      <c r="V256">
        <f t="shared" ca="1" si="74"/>
        <v>9</v>
      </c>
      <c r="W256">
        <f t="shared" ca="1" si="75"/>
        <v>1</v>
      </c>
    </row>
    <row r="257" spans="1:23">
      <c r="A257" t="s">
        <v>985</v>
      </c>
      <c r="B257" t="str">
        <f t="shared" ca="1" si="57"/>
        <v>楊伊劍</v>
      </c>
      <c r="C257" t="str">
        <f t="shared" ca="1" si="58"/>
        <v>ﾔｰﾝ ｲｰ ｼﾞｴﾝ</v>
      </c>
      <c r="D257" t="str">
        <f t="shared" ca="1" si="59"/>
        <v>Yang Yi Jian</v>
      </c>
      <c r="E257" t="str" cm="1">
        <f t="array" aca="1" ref="E257" ca="1">INDIRECT(ADDRESS(RANDBETWEEN(2,16),7,1,1,"valueBase"))</f>
        <v>男性</v>
      </c>
      <c r="F257" s="5">
        <f t="shared" ca="1" si="60"/>
        <v>22052</v>
      </c>
      <c r="G257" s="5">
        <f t="shared" ca="1" si="61"/>
        <v>32952</v>
      </c>
      <c r="H257" s="5">
        <f t="shared" ca="1" si="62"/>
        <v>33682</v>
      </c>
      <c r="I257" t="str">
        <f t="shared" ca="1" si="63"/>
        <v>090-0861-3377</v>
      </c>
      <c r="J257" t="str">
        <f t="shared" ca="1" si="64"/>
        <v>Yang_Yi_Jian_32952@outlook.jp.co</v>
      </c>
      <c r="K257" t="str">
        <f t="shared" ca="1" si="65"/>
        <v>普通</v>
      </c>
      <c r="L257" t="str">
        <f t="shared" ca="1" si="66"/>
        <v>有り</v>
      </c>
      <c r="M257" t="str">
        <f t="shared" ca="1" si="67"/>
        <v>5%</v>
      </c>
      <c r="N257" t="str">
        <f t="shared" ca="1" si="68"/>
        <v>有り</v>
      </c>
      <c r="O257">
        <f t="shared" ca="1" si="69"/>
        <v>221</v>
      </c>
      <c r="R257">
        <f t="shared" ca="1" si="70"/>
        <v>7</v>
      </c>
      <c r="S257">
        <f t="shared" ca="1" si="71"/>
        <v>239</v>
      </c>
      <c r="T257">
        <f t="shared" ca="1" si="72"/>
        <v>1984</v>
      </c>
      <c r="U257">
        <f t="shared" ca="1" si="73"/>
        <v>1988</v>
      </c>
      <c r="V257">
        <f t="shared" ca="1" si="74"/>
        <v>8</v>
      </c>
      <c r="W257">
        <f t="shared" ca="1" si="75"/>
        <v>5</v>
      </c>
    </row>
    <row r="258" spans="1:23">
      <c r="A258" t="s">
        <v>986</v>
      </c>
      <c r="B258" t="str">
        <f t="shared" ca="1" si="57"/>
        <v>劉惠冰</v>
      </c>
      <c r="C258" t="str">
        <f t="shared" ca="1" si="58"/>
        <v>ﾘｳ ﾎｩｲ ﾋﾞｰﾝ</v>
      </c>
      <c r="D258" t="str">
        <f t="shared" ca="1" si="59"/>
        <v>Liu Hui Bing</v>
      </c>
      <c r="E258" t="str" cm="1">
        <f t="array" aca="1" ref="E258" ca="1">INDIRECT(ADDRESS(RANDBETWEEN(2,16),7,1,1,"valueBase"))</f>
        <v>女性</v>
      </c>
      <c r="F258" s="5">
        <f t="shared" ca="1" si="60"/>
        <v>37495</v>
      </c>
      <c r="G258" s="5">
        <f t="shared" ca="1" si="61"/>
        <v>44435</v>
      </c>
      <c r="H258" s="5">
        <f t="shared" ca="1" si="62"/>
        <v>45530</v>
      </c>
      <c r="I258" t="str">
        <f t="shared" ca="1" si="63"/>
        <v>080-8481-6645</v>
      </c>
      <c r="J258" t="str">
        <f t="shared" ca="1" si="64"/>
        <v>Liu_Hui_Bing_44435@outlook.jp.co</v>
      </c>
      <c r="K258" t="str">
        <f t="shared" ca="1" si="65"/>
        <v>高級</v>
      </c>
      <c r="L258" t="str">
        <f t="shared" ca="1" si="66"/>
        <v>-</v>
      </c>
      <c r="M258" t="str">
        <f t="shared" ca="1" si="67"/>
        <v>-</v>
      </c>
      <c r="N258" t="str">
        <f t="shared" ca="1" si="68"/>
        <v>有り</v>
      </c>
      <c r="O258">
        <f t="shared" ca="1" si="69"/>
        <v>623</v>
      </c>
      <c r="R258">
        <f t="shared" ca="1" si="70"/>
        <v>5</v>
      </c>
      <c r="S258">
        <f t="shared" ca="1" si="71"/>
        <v>55</v>
      </c>
      <c r="T258">
        <f t="shared" ca="1" si="72"/>
        <v>1973</v>
      </c>
      <c r="U258">
        <f t="shared" ca="1" si="73"/>
        <v>1978</v>
      </c>
      <c r="V258">
        <f t="shared" ca="1" si="74"/>
        <v>2</v>
      </c>
      <c r="W258">
        <f t="shared" ca="1" si="75"/>
        <v>1</v>
      </c>
    </row>
    <row r="259" spans="1:23">
      <c r="A259" t="s">
        <v>987</v>
      </c>
      <c r="B259" t="str">
        <f t="shared" ref="B259:B322" ca="1" si="76">_xlfn.CONCAT(INDIRECT(ADDRESS(R259,1,1,1,"valueBase")),INDIRECT(ADDRESS(S259,4,1,1,"valueBase")))</f>
        <v>林瀚鴻</v>
      </c>
      <c r="C259" t="str">
        <f t="shared" ref="C259:C322" ca="1" si="77">_xlfn.CONCAT(INDIRECT(ADDRESS(R259,2,1,1,"valueBase")),INDIRECT(ADDRESS(S259,5,1,1,"valueBase")))</f>
        <v>ﾘﾝ ﾊﾝ ﾎｰﾝ</v>
      </c>
      <c r="D259" t="str">
        <f t="shared" ref="D259:D322" ca="1" si="78">_xlfn.CONCAT(INDIRECT(ADDRESS(R259,3,1,1,"valueBase")),INDIRECT(ADDRESS(S259,6,1,1,"valueBase")))</f>
        <v>Lin Han Hong</v>
      </c>
      <c r="E259" t="str" cm="1">
        <f t="array" aca="1" ref="E259" ca="1">INDIRECT(ADDRESS(RANDBETWEEN(2,16),7,1,1,"valueBase"))</f>
        <v>女性</v>
      </c>
      <c r="F259" s="5">
        <f t="shared" ref="F259:F322" ca="1" si="79">RANDBETWEEN(21916,NOW() - 6574)</f>
        <v>30971</v>
      </c>
      <c r="G259" s="5">
        <f t="shared" ref="G259:G322" ca="1" si="80">RANDBETWEEN(F259 + 6574,NOW())</f>
        <v>42363</v>
      </c>
      <c r="H259" s="5">
        <f t="shared" ref="H259:H322" ca="1" si="81">G259 + RANDBETWEEN(1,3) * 365</f>
        <v>42728</v>
      </c>
      <c r="I259" t="str">
        <f t="shared" ref="I259:I322" ca="1" si="82">CONCATENATE("0",RANDBETWEEN(8,9),"0","-",RANDBETWEEN(0,9),RANDBETWEEN(0,9),RANDBETWEEN(0,9),RANDBETWEEN(0,9),"-",RANDBETWEEN(0,9),RANDBETWEEN(0,9),RANDBETWEEN(0,9),RANDBETWEEN(0,9))</f>
        <v>080-4264-5453</v>
      </c>
      <c r="J259" t="str">
        <f t="shared" ref="J259:J322" ca="1" si="83">CONCATENATE(SUBSTITUTE(D259," ","_"),"_",SUBSTITUTE(G259,"/","_"),"@outlook.jp.co")</f>
        <v>Lin_Han_Hong_42363@outlook.jp.co</v>
      </c>
      <c r="K259" t="str">
        <f t="shared" ref="K259:K322" ca="1" si="84">IF(RANDBETWEEN(1,10) &gt; 6,"高級","普通")</f>
        <v>普通</v>
      </c>
      <c r="L259" t="str">
        <f t="shared" ref="L259:L322" ca="1" si="85">IF(RANDBETWEEN(1,10) &gt; 8,"-","有り")</f>
        <v>有り</v>
      </c>
      <c r="M259" t="str">
        <f t="shared" ref="M259:M322" ca="1" si="86">IF(L259 = "有り",IF(K259 = "高級","10%","5%"),"-")</f>
        <v>5%</v>
      </c>
      <c r="N259" t="str">
        <f t="shared" ref="N259:N322" ca="1" si="87">IF(RANDBETWEEN(1,10) &gt; 8,"-","有り")</f>
        <v>有り</v>
      </c>
      <c r="O259">
        <f t="shared" ref="O259:O322" ca="1" si="88">IF(N259 = "有り",RANDBETWEEN(0,1000),"-")</f>
        <v>458</v>
      </c>
      <c r="R259">
        <f t="shared" ref="R259:R322" ca="1" si="89">RANDBETWEEN(2,29)</f>
        <v>17</v>
      </c>
      <c r="S259">
        <f t="shared" ref="S259:S322" ca="1" si="90">RANDBETWEEN(2,331)</f>
        <v>228</v>
      </c>
      <c r="T259">
        <f t="shared" ref="T259:T322" ca="1" si="91">RANDBETWEEN(1970,2010)</f>
        <v>1974</v>
      </c>
      <c r="U259">
        <f t="shared" ref="U259:U322" ca="1" si="92">T259 + RANDBETWEEN(1,12)</f>
        <v>1975</v>
      </c>
      <c r="V259">
        <f t="shared" ref="V259:V322" ca="1" si="93">RANDBETWEEN(1,12)</f>
        <v>10</v>
      </c>
      <c r="W259">
        <f t="shared" ref="W259:W322" ca="1" si="94">IF(V259=2,RANDBETWEEN(1,28),IF(V259=4,RANDBETWEEN(1,30),IF(V259=6,RANDBETWEEN(1,30),IF(V259=9,RANDBETWEEN(1,30),IF(V259=11,RANDBETWEEN(1,30),RANDBETWEEN(1,31))))))</f>
        <v>7</v>
      </c>
    </row>
    <row r="260" spans="1:23">
      <c r="A260" t="s">
        <v>988</v>
      </c>
      <c r="B260" t="str">
        <f t="shared" ca="1" si="76"/>
        <v>馮眾碼</v>
      </c>
      <c r="C260" t="str">
        <f t="shared" ca="1" si="77"/>
        <v>ﾌｵﾝ ｼﾞｮｰﾝ ﾏｰ</v>
      </c>
      <c r="D260" t="str">
        <f t="shared" ca="1" si="78"/>
        <v>Feng Zhong Ma</v>
      </c>
      <c r="E260" t="str" cm="1">
        <f t="array" aca="1" ref="E260" ca="1">INDIRECT(ADDRESS(RANDBETWEEN(2,16),7,1,1,"valueBase"))</f>
        <v>女性</v>
      </c>
      <c r="F260" s="5">
        <f t="shared" ca="1" si="79"/>
        <v>33236</v>
      </c>
      <c r="G260" s="5">
        <f t="shared" ca="1" si="80"/>
        <v>43685</v>
      </c>
      <c r="H260" s="5">
        <f t="shared" ca="1" si="81"/>
        <v>44050</v>
      </c>
      <c r="I260" t="str">
        <f t="shared" ca="1" si="82"/>
        <v>080-5319-3564</v>
      </c>
      <c r="J260" t="str">
        <f t="shared" ca="1" si="83"/>
        <v>Feng_Zhong_Ma_43685@outlook.jp.co</v>
      </c>
      <c r="K260" t="str">
        <f t="shared" ca="1" si="84"/>
        <v>普通</v>
      </c>
      <c r="L260" t="str">
        <f t="shared" ca="1" si="85"/>
        <v>有り</v>
      </c>
      <c r="M260" t="str">
        <f t="shared" ca="1" si="86"/>
        <v>5%</v>
      </c>
      <c r="N260" t="str">
        <f t="shared" ca="1" si="87"/>
        <v>-</v>
      </c>
      <c r="O260" t="str">
        <f t="shared" ca="1" si="88"/>
        <v>-</v>
      </c>
      <c r="R260">
        <f t="shared" ca="1" si="89"/>
        <v>28</v>
      </c>
      <c r="S260">
        <f t="shared" ca="1" si="90"/>
        <v>160</v>
      </c>
      <c r="T260">
        <f t="shared" ca="1" si="91"/>
        <v>1983</v>
      </c>
      <c r="U260">
        <f t="shared" ca="1" si="92"/>
        <v>1985</v>
      </c>
      <c r="V260">
        <f t="shared" ca="1" si="93"/>
        <v>8</v>
      </c>
      <c r="W260">
        <f t="shared" ca="1" si="94"/>
        <v>5</v>
      </c>
    </row>
    <row r="261" spans="1:23">
      <c r="A261" t="s">
        <v>989</v>
      </c>
      <c r="B261" t="str">
        <f t="shared" ca="1" si="76"/>
        <v>郭晟憶</v>
      </c>
      <c r="C261" t="str">
        <f t="shared" ca="1" si="77"/>
        <v>ｸﾞｵ ｼｭﾖﾝ ｲｰ</v>
      </c>
      <c r="D261" t="str">
        <f t="shared" ca="1" si="78"/>
        <v>Guo Sheng Yi</v>
      </c>
      <c r="E261" t="str" cm="1">
        <f t="array" aca="1" ref="E261" ca="1">INDIRECT(ADDRESS(RANDBETWEEN(2,16),7,1,1,"valueBase"))</f>
        <v>女性</v>
      </c>
      <c r="F261" s="5">
        <f t="shared" ca="1" si="79"/>
        <v>33136</v>
      </c>
      <c r="G261" s="5">
        <f t="shared" ca="1" si="80"/>
        <v>41084</v>
      </c>
      <c r="H261" s="5">
        <f t="shared" ca="1" si="81"/>
        <v>42179</v>
      </c>
      <c r="I261" t="str">
        <f t="shared" ca="1" si="82"/>
        <v>080-3832-9385</v>
      </c>
      <c r="J261" t="str">
        <f t="shared" ca="1" si="83"/>
        <v>Guo_Sheng_Yi_41084@outlook.jp.co</v>
      </c>
      <c r="K261" t="str">
        <f t="shared" ca="1" si="84"/>
        <v>高級</v>
      </c>
      <c r="L261" t="str">
        <f t="shared" ca="1" si="85"/>
        <v>有り</v>
      </c>
      <c r="M261" t="str">
        <f t="shared" ca="1" si="86"/>
        <v>10%</v>
      </c>
      <c r="N261" t="str">
        <f t="shared" ca="1" si="87"/>
        <v>有り</v>
      </c>
      <c r="O261">
        <f t="shared" ca="1" si="88"/>
        <v>632</v>
      </c>
      <c r="R261">
        <f t="shared" ca="1" si="89"/>
        <v>19</v>
      </c>
      <c r="S261">
        <f t="shared" ca="1" si="90"/>
        <v>31</v>
      </c>
      <c r="T261">
        <f t="shared" ca="1" si="91"/>
        <v>1986</v>
      </c>
      <c r="U261">
        <f t="shared" ca="1" si="92"/>
        <v>1994</v>
      </c>
      <c r="V261">
        <f t="shared" ca="1" si="93"/>
        <v>12</v>
      </c>
      <c r="W261">
        <f t="shared" ca="1" si="94"/>
        <v>18</v>
      </c>
    </row>
    <row r="262" spans="1:23">
      <c r="A262" t="s">
        <v>990</v>
      </c>
      <c r="B262" t="str">
        <f t="shared" ca="1" si="76"/>
        <v>馮貴孝</v>
      </c>
      <c r="C262" t="str">
        <f t="shared" ca="1" si="77"/>
        <v>ﾌｵﾝ ｸﾞｲ ｼﾔｵ</v>
      </c>
      <c r="D262" t="str">
        <f t="shared" ca="1" si="78"/>
        <v>Feng Gui Xiao</v>
      </c>
      <c r="E262" t="str" cm="1">
        <f t="array" aca="1" ref="E262" ca="1">INDIRECT(ADDRESS(RANDBETWEEN(2,16),7,1,1,"valueBase"))</f>
        <v>男性</v>
      </c>
      <c r="F262" s="5">
        <f t="shared" ca="1" si="79"/>
        <v>28200</v>
      </c>
      <c r="G262" s="5">
        <f t="shared" ca="1" si="80"/>
        <v>38838</v>
      </c>
      <c r="H262" s="5">
        <f t="shared" ca="1" si="81"/>
        <v>39203</v>
      </c>
      <c r="I262" t="str">
        <f t="shared" ca="1" si="82"/>
        <v>080-3376-0067</v>
      </c>
      <c r="J262" t="str">
        <f t="shared" ca="1" si="83"/>
        <v>Feng_Gui_Xiao_38838@outlook.jp.co</v>
      </c>
      <c r="K262" t="str">
        <f t="shared" ca="1" si="84"/>
        <v>高級</v>
      </c>
      <c r="L262" t="str">
        <f t="shared" ca="1" si="85"/>
        <v>有り</v>
      </c>
      <c r="M262" t="str">
        <f t="shared" ca="1" si="86"/>
        <v>10%</v>
      </c>
      <c r="N262" t="str">
        <f t="shared" ca="1" si="87"/>
        <v>有り</v>
      </c>
      <c r="O262">
        <f t="shared" ca="1" si="88"/>
        <v>721</v>
      </c>
      <c r="R262">
        <f t="shared" ca="1" si="89"/>
        <v>28</v>
      </c>
      <c r="S262">
        <f t="shared" ca="1" si="90"/>
        <v>244</v>
      </c>
      <c r="T262">
        <f t="shared" ca="1" si="91"/>
        <v>1988</v>
      </c>
      <c r="U262">
        <f t="shared" ca="1" si="92"/>
        <v>1997</v>
      </c>
      <c r="V262">
        <f t="shared" ca="1" si="93"/>
        <v>12</v>
      </c>
      <c r="W262">
        <f t="shared" ca="1" si="94"/>
        <v>27</v>
      </c>
    </row>
    <row r="263" spans="1:23">
      <c r="A263" t="s">
        <v>991</v>
      </c>
      <c r="B263" t="str">
        <f t="shared" ca="1" si="76"/>
        <v>郭詠堯</v>
      </c>
      <c r="C263" t="str">
        <f t="shared" ca="1" si="77"/>
        <v>ｸﾞｵ ﾖｰﾝ ﾔｵ</v>
      </c>
      <c r="D263" t="str">
        <f t="shared" ca="1" si="78"/>
        <v>Guo Yong Yao</v>
      </c>
      <c r="E263" t="str" cm="1">
        <f t="array" aca="1" ref="E263" ca="1">INDIRECT(ADDRESS(RANDBETWEEN(2,16),7,1,1,"valueBase"))</f>
        <v>男性</v>
      </c>
      <c r="F263" s="5">
        <f t="shared" ca="1" si="79"/>
        <v>27318</v>
      </c>
      <c r="G263" s="5">
        <f t="shared" ca="1" si="80"/>
        <v>42578</v>
      </c>
      <c r="H263" s="5">
        <f t="shared" ca="1" si="81"/>
        <v>43673</v>
      </c>
      <c r="I263" t="str">
        <f t="shared" ca="1" si="82"/>
        <v>080-6021-0178</v>
      </c>
      <c r="J263" t="str">
        <f t="shared" ca="1" si="83"/>
        <v>Guo_Yong_Yao_42578@outlook.jp.co</v>
      </c>
      <c r="K263" t="str">
        <f t="shared" ca="1" si="84"/>
        <v>高級</v>
      </c>
      <c r="L263" t="str">
        <f t="shared" ca="1" si="85"/>
        <v>有り</v>
      </c>
      <c r="M263" t="str">
        <f t="shared" ca="1" si="86"/>
        <v>10%</v>
      </c>
      <c r="N263" t="str">
        <f t="shared" ca="1" si="87"/>
        <v>有り</v>
      </c>
      <c r="O263">
        <f t="shared" ca="1" si="88"/>
        <v>299</v>
      </c>
      <c r="R263">
        <f t="shared" ca="1" si="89"/>
        <v>19</v>
      </c>
      <c r="S263">
        <f t="shared" ca="1" si="90"/>
        <v>273</v>
      </c>
      <c r="T263">
        <f t="shared" ca="1" si="91"/>
        <v>1993</v>
      </c>
      <c r="U263">
        <f t="shared" ca="1" si="92"/>
        <v>1995</v>
      </c>
      <c r="V263">
        <f t="shared" ca="1" si="93"/>
        <v>2</v>
      </c>
      <c r="W263">
        <f t="shared" ca="1" si="94"/>
        <v>15</v>
      </c>
    </row>
    <row r="264" spans="1:23">
      <c r="A264" t="s">
        <v>992</v>
      </c>
      <c r="B264" t="str">
        <f t="shared" ca="1" si="76"/>
        <v>謝皓聽</v>
      </c>
      <c r="C264" t="str">
        <f t="shared" ca="1" si="77"/>
        <v>ｼｴ ﾊｵ ﾃｨｰﾝ</v>
      </c>
      <c r="D264" t="str">
        <f t="shared" ca="1" si="78"/>
        <v>Xie Hao Ting</v>
      </c>
      <c r="E264" t="str" cm="1">
        <f t="array" aca="1" ref="E264" ca="1">INDIRECT(ADDRESS(RANDBETWEEN(2,16),7,1,1,"valueBase"))</f>
        <v>女性</v>
      </c>
      <c r="F264" s="5">
        <f t="shared" ca="1" si="79"/>
        <v>38461</v>
      </c>
      <c r="G264" s="5">
        <f t="shared" ca="1" si="80"/>
        <v>45331</v>
      </c>
      <c r="H264" s="5">
        <f t="shared" ca="1" si="81"/>
        <v>45696</v>
      </c>
      <c r="I264" t="str">
        <f t="shared" ca="1" si="82"/>
        <v>080-8610-2431</v>
      </c>
      <c r="J264" t="str">
        <f t="shared" ca="1" si="83"/>
        <v>Xie_Hao_Ting_45331@outlook.jp.co</v>
      </c>
      <c r="K264" t="str">
        <f t="shared" ca="1" si="84"/>
        <v>普通</v>
      </c>
      <c r="L264" t="str">
        <f t="shared" ca="1" si="85"/>
        <v>有り</v>
      </c>
      <c r="M264" t="str">
        <f t="shared" ca="1" si="86"/>
        <v>5%</v>
      </c>
      <c r="N264" t="str">
        <f t="shared" ca="1" si="87"/>
        <v>有り</v>
      </c>
      <c r="O264">
        <f t="shared" ca="1" si="88"/>
        <v>370</v>
      </c>
      <c r="R264">
        <f t="shared" ca="1" si="89"/>
        <v>25</v>
      </c>
      <c r="S264">
        <f t="shared" ca="1" si="90"/>
        <v>32</v>
      </c>
      <c r="T264">
        <f t="shared" ca="1" si="91"/>
        <v>1982</v>
      </c>
      <c r="U264">
        <f t="shared" ca="1" si="92"/>
        <v>1990</v>
      </c>
      <c r="V264">
        <f t="shared" ca="1" si="93"/>
        <v>7</v>
      </c>
      <c r="W264">
        <f t="shared" ca="1" si="94"/>
        <v>7</v>
      </c>
    </row>
    <row r="265" spans="1:23">
      <c r="A265" t="s">
        <v>993</v>
      </c>
      <c r="B265" t="str">
        <f t="shared" ca="1" si="76"/>
        <v>王聰晨</v>
      </c>
      <c r="C265" t="str">
        <f t="shared" ca="1" si="77"/>
        <v>ﾜｰﾝ ｯｵｰﾝ ﾁｪﾝ</v>
      </c>
      <c r="D265" t="str">
        <f t="shared" ca="1" si="78"/>
        <v>Wang Cong Chen</v>
      </c>
      <c r="E265" t="str" cm="1">
        <f t="array" aca="1" ref="E265" ca="1">INDIRECT(ADDRESS(RANDBETWEEN(2,16),7,1,1,"valueBase"))</f>
        <v>女性</v>
      </c>
      <c r="F265" s="5">
        <f t="shared" ca="1" si="79"/>
        <v>29771</v>
      </c>
      <c r="G265" s="5">
        <f t="shared" ca="1" si="80"/>
        <v>39767</v>
      </c>
      <c r="H265" s="5">
        <f t="shared" ca="1" si="81"/>
        <v>40132</v>
      </c>
      <c r="I265" t="str">
        <f t="shared" ca="1" si="82"/>
        <v>090-5161-7457</v>
      </c>
      <c r="J265" t="str">
        <f t="shared" ca="1" si="83"/>
        <v>Wang_Cong_Chen_39767@outlook.jp.co</v>
      </c>
      <c r="K265" t="str">
        <f t="shared" ca="1" si="84"/>
        <v>普通</v>
      </c>
      <c r="L265" t="str">
        <f t="shared" ca="1" si="85"/>
        <v>有り</v>
      </c>
      <c r="M265" t="str">
        <f t="shared" ca="1" si="86"/>
        <v>5%</v>
      </c>
      <c r="N265" t="str">
        <f t="shared" ca="1" si="87"/>
        <v>有り</v>
      </c>
      <c r="O265">
        <f t="shared" ca="1" si="88"/>
        <v>995</v>
      </c>
      <c r="R265">
        <f t="shared" ca="1" si="89"/>
        <v>3</v>
      </c>
      <c r="S265">
        <f t="shared" ca="1" si="90"/>
        <v>262</v>
      </c>
      <c r="T265">
        <f t="shared" ca="1" si="91"/>
        <v>1970</v>
      </c>
      <c r="U265">
        <f t="shared" ca="1" si="92"/>
        <v>1975</v>
      </c>
      <c r="V265">
        <f t="shared" ca="1" si="93"/>
        <v>4</v>
      </c>
      <c r="W265">
        <f t="shared" ca="1" si="94"/>
        <v>18</v>
      </c>
    </row>
    <row r="266" spans="1:23">
      <c r="A266" t="s">
        <v>994</v>
      </c>
      <c r="B266" t="str">
        <f t="shared" ca="1" si="76"/>
        <v>劉巍璐</v>
      </c>
      <c r="C266" t="str">
        <f t="shared" ca="1" si="77"/>
        <v>ﾘｳ ｳｴｲ ﾙｩ</v>
      </c>
      <c r="D266" t="str">
        <f t="shared" ca="1" si="78"/>
        <v>Liu Wei Lu</v>
      </c>
      <c r="E266" t="str" cm="1">
        <f t="array" aca="1" ref="E266" ca="1">INDIRECT(ADDRESS(RANDBETWEEN(2,16),7,1,1,"valueBase"))</f>
        <v>女性</v>
      </c>
      <c r="F266" s="5">
        <f t="shared" ca="1" si="79"/>
        <v>23721</v>
      </c>
      <c r="G266" s="5">
        <f t="shared" ca="1" si="80"/>
        <v>43596</v>
      </c>
      <c r="H266" s="5">
        <f t="shared" ca="1" si="81"/>
        <v>43961</v>
      </c>
      <c r="I266" t="str">
        <f t="shared" ca="1" si="82"/>
        <v>080-4284-3479</v>
      </c>
      <c r="J266" t="str">
        <f t="shared" ca="1" si="83"/>
        <v>Liu_Wei_Lu_43596@outlook.jp.co</v>
      </c>
      <c r="K266" t="str">
        <f t="shared" ca="1" si="84"/>
        <v>普通</v>
      </c>
      <c r="L266" t="str">
        <f t="shared" ca="1" si="85"/>
        <v>-</v>
      </c>
      <c r="M266" t="str">
        <f t="shared" ca="1" si="86"/>
        <v>-</v>
      </c>
      <c r="N266" t="str">
        <f t="shared" ca="1" si="87"/>
        <v>有り</v>
      </c>
      <c r="O266">
        <f t="shared" ca="1" si="88"/>
        <v>834</v>
      </c>
      <c r="R266">
        <f t="shared" ca="1" si="89"/>
        <v>5</v>
      </c>
      <c r="S266">
        <f t="shared" ca="1" si="90"/>
        <v>96</v>
      </c>
      <c r="T266">
        <f t="shared" ca="1" si="91"/>
        <v>1989</v>
      </c>
      <c r="U266">
        <f t="shared" ca="1" si="92"/>
        <v>1991</v>
      </c>
      <c r="V266">
        <f t="shared" ca="1" si="93"/>
        <v>3</v>
      </c>
      <c r="W266">
        <f t="shared" ca="1" si="94"/>
        <v>28</v>
      </c>
    </row>
    <row r="267" spans="1:23">
      <c r="A267" t="s">
        <v>995</v>
      </c>
      <c r="B267" t="str">
        <f t="shared" ca="1" si="76"/>
        <v>陳閑康</v>
      </c>
      <c r="C267" t="str">
        <f t="shared" ca="1" si="77"/>
        <v>ﾁｪﾝ ｼｴﾝ ｶｰﾝ</v>
      </c>
      <c r="D267" t="str">
        <f t="shared" ca="1" si="78"/>
        <v>Chen Xian Kang</v>
      </c>
      <c r="E267" t="str" cm="1">
        <f t="array" aca="1" ref="E267" ca="1">INDIRECT(ADDRESS(RANDBETWEEN(2,16),7,1,1,"valueBase"))</f>
        <v>女性</v>
      </c>
      <c r="F267" s="5">
        <f t="shared" ca="1" si="79"/>
        <v>29742</v>
      </c>
      <c r="G267" s="5">
        <f t="shared" ca="1" si="80"/>
        <v>40193</v>
      </c>
      <c r="H267" s="5">
        <f t="shared" ca="1" si="81"/>
        <v>40923</v>
      </c>
      <c r="I267" t="str">
        <f t="shared" ca="1" si="82"/>
        <v>080-5533-6226</v>
      </c>
      <c r="J267" t="str">
        <f t="shared" ca="1" si="83"/>
        <v>Chen_Xian_Kang_40193@outlook.jp.co</v>
      </c>
      <c r="K267" t="str">
        <f t="shared" ca="1" si="84"/>
        <v>普通</v>
      </c>
      <c r="L267" t="str">
        <f t="shared" ca="1" si="85"/>
        <v>有り</v>
      </c>
      <c r="M267" t="str">
        <f t="shared" ca="1" si="86"/>
        <v>5%</v>
      </c>
      <c r="N267" t="str">
        <f t="shared" ca="1" si="87"/>
        <v>有り</v>
      </c>
      <c r="O267">
        <f t="shared" ca="1" si="88"/>
        <v>86</v>
      </c>
      <c r="R267">
        <f t="shared" ca="1" si="89"/>
        <v>6</v>
      </c>
      <c r="S267">
        <f t="shared" ca="1" si="90"/>
        <v>141</v>
      </c>
      <c r="T267">
        <f t="shared" ca="1" si="91"/>
        <v>1977</v>
      </c>
      <c r="U267">
        <f t="shared" ca="1" si="92"/>
        <v>1984</v>
      </c>
      <c r="V267">
        <f t="shared" ca="1" si="93"/>
        <v>7</v>
      </c>
      <c r="W267">
        <f t="shared" ca="1" si="94"/>
        <v>8</v>
      </c>
    </row>
    <row r="268" spans="1:23">
      <c r="A268" t="s">
        <v>996</v>
      </c>
      <c r="B268" t="str">
        <f t="shared" ca="1" si="76"/>
        <v>孫亭芬</v>
      </c>
      <c r="C268" t="str">
        <f t="shared" ca="1" si="77"/>
        <v>ｽｩﾝ ﾃｨｰﾝ ﾌｪﾝ</v>
      </c>
      <c r="D268" t="str">
        <f t="shared" ca="1" si="78"/>
        <v>Sun Ting Fen</v>
      </c>
      <c r="E268" t="str" cm="1">
        <f t="array" aca="1" ref="E268" ca="1">INDIRECT(ADDRESS(RANDBETWEEN(2,16),7,1,1,"valueBase"))</f>
        <v>女性</v>
      </c>
      <c r="F268" s="5">
        <f t="shared" ca="1" si="79"/>
        <v>30362</v>
      </c>
      <c r="G268" s="5">
        <f t="shared" ca="1" si="80"/>
        <v>38848</v>
      </c>
      <c r="H268" s="5">
        <f t="shared" ca="1" si="81"/>
        <v>39943</v>
      </c>
      <c r="I268" t="str">
        <f t="shared" ca="1" si="82"/>
        <v>090-6828-9774</v>
      </c>
      <c r="J268" t="str">
        <f t="shared" ca="1" si="83"/>
        <v>Sun_Ting_Fen_38848@outlook.jp.co</v>
      </c>
      <c r="K268" t="str">
        <f t="shared" ca="1" si="84"/>
        <v>普通</v>
      </c>
      <c r="L268" t="str">
        <f t="shared" ca="1" si="85"/>
        <v>-</v>
      </c>
      <c r="M268" t="str">
        <f t="shared" ca="1" si="86"/>
        <v>-</v>
      </c>
      <c r="N268" t="str">
        <f t="shared" ca="1" si="87"/>
        <v>有り</v>
      </c>
      <c r="O268">
        <f t="shared" ca="1" si="88"/>
        <v>577</v>
      </c>
      <c r="R268">
        <f t="shared" ca="1" si="89"/>
        <v>13</v>
      </c>
      <c r="S268">
        <f t="shared" ca="1" si="90"/>
        <v>266</v>
      </c>
      <c r="T268">
        <f t="shared" ca="1" si="91"/>
        <v>1982</v>
      </c>
      <c r="U268">
        <f t="shared" ca="1" si="92"/>
        <v>1994</v>
      </c>
      <c r="V268">
        <f t="shared" ca="1" si="93"/>
        <v>7</v>
      </c>
      <c r="W268">
        <f t="shared" ca="1" si="94"/>
        <v>11</v>
      </c>
    </row>
    <row r="269" spans="1:23">
      <c r="A269" t="s">
        <v>997</v>
      </c>
      <c r="B269" t="str">
        <f t="shared" ca="1" si="76"/>
        <v>李燦奇</v>
      </c>
      <c r="C269" t="str">
        <f t="shared" ca="1" si="77"/>
        <v>ﾘｰ ﾂｧﾝ ﾁｲ</v>
      </c>
      <c r="D269" t="str">
        <f t="shared" ca="1" si="78"/>
        <v>Li Can Qi</v>
      </c>
      <c r="E269" t="str" cm="1">
        <f t="array" aca="1" ref="E269" ca="1">INDIRECT(ADDRESS(RANDBETWEEN(2,16),7,1,1,"valueBase"))</f>
        <v>女性</v>
      </c>
      <c r="F269" s="5">
        <f t="shared" ca="1" si="79"/>
        <v>32605</v>
      </c>
      <c r="G269" s="5">
        <f t="shared" ca="1" si="80"/>
        <v>40420</v>
      </c>
      <c r="H269" s="5">
        <f t="shared" ca="1" si="81"/>
        <v>41515</v>
      </c>
      <c r="I269" t="str">
        <f t="shared" ca="1" si="82"/>
        <v>090-1142-0554</v>
      </c>
      <c r="J269" t="str">
        <f t="shared" ca="1" si="83"/>
        <v>Li_Can Qi_40420@outlook.jp.co</v>
      </c>
      <c r="K269" t="str">
        <f t="shared" ca="1" si="84"/>
        <v>普通</v>
      </c>
      <c r="L269" t="str">
        <f t="shared" ca="1" si="85"/>
        <v>有り</v>
      </c>
      <c r="M269" t="str">
        <f t="shared" ca="1" si="86"/>
        <v>5%</v>
      </c>
      <c r="N269" t="str">
        <f t="shared" ca="1" si="87"/>
        <v>有り</v>
      </c>
      <c r="O269">
        <f t="shared" ca="1" si="88"/>
        <v>318</v>
      </c>
      <c r="R269">
        <f t="shared" ca="1" si="89"/>
        <v>2</v>
      </c>
      <c r="S269">
        <f t="shared" ca="1" si="90"/>
        <v>308</v>
      </c>
      <c r="T269">
        <f t="shared" ca="1" si="91"/>
        <v>1972</v>
      </c>
      <c r="U269">
        <f t="shared" ca="1" si="92"/>
        <v>1973</v>
      </c>
      <c r="V269">
        <f t="shared" ca="1" si="93"/>
        <v>4</v>
      </c>
      <c r="W269">
        <f t="shared" ca="1" si="94"/>
        <v>8</v>
      </c>
    </row>
    <row r="270" spans="1:23">
      <c r="A270" t="s">
        <v>998</v>
      </c>
      <c r="B270" t="str">
        <f t="shared" ca="1" si="76"/>
        <v>唐晟輝</v>
      </c>
      <c r="C270" t="str">
        <f t="shared" ca="1" si="77"/>
        <v>ﾀｰﾝ ｼｭﾖﾝ ﾎｩｲ</v>
      </c>
      <c r="D270" t="str">
        <f t="shared" ca="1" si="78"/>
        <v>Tang Sheng Hui</v>
      </c>
      <c r="E270" t="str" cm="1">
        <f t="array" aca="1" ref="E270" ca="1">INDIRECT(ADDRESS(RANDBETWEEN(2,16),7,1,1,"valueBase"))</f>
        <v>男性</v>
      </c>
      <c r="F270" s="5">
        <f t="shared" ca="1" si="79"/>
        <v>23274</v>
      </c>
      <c r="G270" s="5">
        <f t="shared" ca="1" si="80"/>
        <v>37560</v>
      </c>
      <c r="H270" s="5">
        <f t="shared" ca="1" si="81"/>
        <v>38290</v>
      </c>
      <c r="I270" t="str">
        <f t="shared" ca="1" si="82"/>
        <v>090-6616-0688</v>
      </c>
      <c r="J270" t="str">
        <f t="shared" ca="1" si="83"/>
        <v>Tang_Sheng_Hui_37560@outlook.jp.co</v>
      </c>
      <c r="K270" t="str">
        <f t="shared" ca="1" si="84"/>
        <v>普通</v>
      </c>
      <c r="L270" t="str">
        <f t="shared" ca="1" si="85"/>
        <v>-</v>
      </c>
      <c r="M270" t="str">
        <f t="shared" ca="1" si="86"/>
        <v>-</v>
      </c>
      <c r="N270" t="str">
        <f t="shared" ca="1" si="87"/>
        <v>有り</v>
      </c>
      <c r="O270">
        <f t="shared" ca="1" si="88"/>
        <v>626</v>
      </c>
      <c r="R270">
        <f t="shared" ca="1" si="89"/>
        <v>27</v>
      </c>
      <c r="S270">
        <f t="shared" ca="1" si="90"/>
        <v>303</v>
      </c>
      <c r="T270">
        <f t="shared" ca="1" si="91"/>
        <v>1979</v>
      </c>
      <c r="U270">
        <f t="shared" ca="1" si="92"/>
        <v>1980</v>
      </c>
      <c r="V270">
        <f t="shared" ca="1" si="93"/>
        <v>2</v>
      </c>
      <c r="W270">
        <f t="shared" ca="1" si="94"/>
        <v>4</v>
      </c>
    </row>
    <row r="271" spans="1:23">
      <c r="A271" t="s">
        <v>999</v>
      </c>
      <c r="B271" t="str">
        <f t="shared" ca="1" si="76"/>
        <v>張意昌</v>
      </c>
      <c r="C271" t="str">
        <f t="shared" ca="1" si="77"/>
        <v>ｼﾞｬｰﾝ ｲｰ ﾁｬｰﾝ</v>
      </c>
      <c r="D271" t="str">
        <f t="shared" ca="1" si="78"/>
        <v>Zhang Yi Chang</v>
      </c>
      <c r="E271" t="str" cm="1">
        <f t="array" aca="1" ref="E271" ca="1">INDIRECT(ADDRESS(RANDBETWEEN(2,16),7,1,1,"valueBase"))</f>
        <v>女性</v>
      </c>
      <c r="F271" s="5">
        <f t="shared" ca="1" si="79"/>
        <v>37404</v>
      </c>
      <c r="G271" s="5">
        <f t="shared" ca="1" si="80"/>
        <v>44294</v>
      </c>
      <c r="H271" s="5">
        <f t="shared" ca="1" si="81"/>
        <v>44659</v>
      </c>
      <c r="I271" t="str">
        <f t="shared" ca="1" si="82"/>
        <v>080-1658-8703</v>
      </c>
      <c r="J271" t="str">
        <f t="shared" ca="1" si="83"/>
        <v>Zhang_Yi_Chang_44294@outlook.jp.co</v>
      </c>
      <c r="K271" t="str">
        <f t="shared" ca="1" si="84"/>
        <v>普通</v>
      </c>
      <c r="L271" t="str">
        <f t="shared" ca="1" si="85"/>
        <v>有り</v>
      </c>
      <c r="M271" t="str">
        <f t="shared" ca="1" si="86"/>
        <v>5%</v>
      </c>
      <c r="N271" t="str">
        <f t="shared" ca="1" si="87"/>
        <v>有り</v>
      </c>
      <c r="O271">
        <f t="shared" ca="1" si="88"/>
        <v>775</v>
      </c>
      <c r="R271">
        <f t="shared" ca="1" si="89"/>
        <v>4</v>
      </c>
      <c r="S271">
        <f t="shared" ca="1" si="90"/>
        <v>33</v>
      </c>
      <c r="T271">
        <f t="shared" ca="1" si="91"/>
        <v>2005</v>
      </c>
      <c r="U271">
        <f t="shared" ca="1" si="92"/>
        <v>2010</v>
      </c>
      <c r="V271">
        <f t="shared" ca="1" si="93"/>
        <v>2</v>
      </c>
      <c r="W271">
        <f t="shared" ca="1" si="94"/>
        <v>19</v>
      </c>
    </row>
    <row r="272" spans="1:23">
      <c r="A272" t="s">
        <v>1000</v>
      </c>
      <c r="B272" t="str">
        <f t="shared" ca="1" si="76"/>
        <v>馬資繼</v>
      </c>
      <c r="C272" t="str">
        <f t="shared" ca="1" si="77"/>
        <v>ﾏｰ ｽﾞｰ ｼﾞｰ</v>
      </c>
      <c r="D272" t="str">
        <f t="shared" ca="1" si="78"/>
        <v>Ma Zi Ji</v>
      </c>
      <c r="E272" t="str" cm="1">
        <f t="array" aca="1" ref="E272" ca="1">INDIRECT(ADDRESS(RANDBETWEEN(2,16),7,1,1,"valueBase"))</f>
        <v>男性</v>
      </c>
      <c r="F272" s="5">
        <f t="shared" ca="1" si="79"/>
        <v>29446</v>
      </c>
      <c r="G272" s="5">
        <f t="shared" ca="1" si="80"/>
        <v>43161</v>
      </c>
      <c r="H272" s="5">
        <f t="shared" ca="1" si="81"/>
        <v>43526</v>
      </c>
      <c r="I272" t="str">
        <f t="shared" ca="1" si="82"/>
        <v>090-8303-9256</v>
      </c>
      <c r="J272" t="str">
        <f t="shared" ca="1" si="83"/>
        <v>Ma_Zi_Ji_43161@outlook.jp.co</v>
      </c>
      <c r="K272" t="str">
        <f t="shared" ca="1" si="84"/>
        <v>高級</v>
      </c>
      <c r="L272" t="str">
        <f t="shared" ca="1" si="85"/>
        <v>有り</v>
      </c>
      <c r="M272" t="str">
        <f t="shared" ca="1" si="86"/>
        <v>10%</v>
      </c>
      <c r="N272" t="str">
        <f t="shared" ca="1" si="87"/>
        <v>有り</v>
      </c>
      <c r="O272">
        <f t="shared" ca="1" si="88"/>
        <v>98</v>
      </c>
      <c r="R272">
        <f t="shared" ca="1" si="89"/>
        <v>20</v>
      </c>
      <c r="S272">
        <f t="shared" ca="1" si="90"/>
        <v>130</v>
      </c>
      <c r="T272">
        <f t="shared" ca="1" si="91"/>
        <v>1997</v>
      </c>
      <c r="U272">
        <f t="shared" ca="1" si="92"/>
        <v>1998</v>
      </c>
      <c r="V272">
        <f t="shared" ca="1" si="93"/>
        <v>8</v>
      </c>
      <c r="W272">
        <f t="shared" ca="1" si="94"/>
        <v>4</v>
      </c>
    </row>
    <row r="273" spans="1:23">
      <c r="A273" t="s">
        <v>1001</v>
      </c>
      <c r="B273" t="str">
        <f t="shared" ca="1" si="76"/>
        <v>韓冰特</v>
      </c>
      <c r="C273" t="str">
        <f t="shared" ca="1" si="77"/>
        <v>ﾊﾝ ﾋﾞｰﾝ ﾄｰｧ</v>
      </c>
      <c r="D273" t="str">
        <f t="shared" ca="1" si="78"/>
        <v>Han Bing Te</v>
      </c>
      <c r="E273" t="str" cm="1">
        <f t="array" aca="1" ref="E273" ca="1">INDIRECT(ADDRESS(RANDBETWEEN(2,16),7,1,1,"valueBase"))</f>
        <v>男性</v>
      </c>
      <c r="F273" s="5">
        <f t="shared" ca="1" si="79"/>
        <v>37822</v>
      </c>
      <c r="G273" s="5">
        <f t="shared" ca="1" si="80"/>
        <v>44451</v>
      </c>
      <c r="H273" s="5">
        <f t="shared" ca="1" si="81"/>
        <v>44816</v>
      </c>
      <c r="I273" t="str">
        <f t="shared" ca="1" si="82"/>
        <v>090-0895-4224</v>
      </c>
      <c r="J273" t="str">
        <f t="shared" ca="1" si="83"/>
        <v>Han_Bing_Te_44451@outlook.jp.co</v>
      </c>
      <c r="K273" t="str">
        <f t="shared" ca="1" si="84"/>
        <v>普通</v>
      </c>
      <c r="L273" t="str">
        <f t="shared" ca="1" si="85"/>
        <v>有り</v>
      </c>
      <c r="M273" t="str">
        <f t="shared" ca="1" si="86"/>
        <v>5%</v>
      </c>
      <c r="N273" t="str">
        <f t="shared" ca="1" si="87"/>
        <v>有り</v>
      </c>
      <c r="O273">
        <f t="shared" ca="1" si="88"/>
        <v>814</v>
      </c>
      <c r="R273">
        <f t="shared" ca="1" si="89"/>
        <v>26</v>
      </c>
      <c r="S273">
        <f t="shared" ca="1" si="90"/>
        <v>15</v>
      </c>
      <c r="T273">
        <f t="shared" ca="1" si="91"/>
        <v>2004</v>
      </c>
      <c r="U273">
        <f t="shared" ca="1" si="92"/>
        <v>2006</v>
      </c>
      <c r="V273">
        <f t="shared" ca="1" si="93"/>
        <v>7</v>
      </c>
      <c r="W273">
        <f t="shared" ca="1" si="94"/>
        <v>19</v>
      </c>
    </row>
    <row r="274" spans="1:23">
      <c r="A274" t="s">
        <v>1002</v>
      </c>
      <c r="B274" t="str">
        <f t="shared" ca="1" si="76"/>
        <v>宋茗奧</v>
      </c>
      <c r="C274" t="str">
        <f t="shared" ca="1" si="77"/>
        <v>ｿｰﾝ ﾐｰﾝ ｱｵ</v>
      </c>
      <c r="D274" t="str">
        <f t="shared" ca="1" si="78"/>
        <v>Song Ming Ao</v>
      </c>
      <c r="E274" t="str" cm="1">
        <f t="array" aca="1" ref="E274" ca="1">INDIRECT(ADDRESS(RANDBETWEEN(2,16),7,1,1,"valueBase"))</f>
        <v>男性</v>
      </c>
      <c r="F274" s="5">
        <f t="shared" ca="1" si="79"/>
        <v>33555</v>
      </c>
      <c r="G274" s="5">
        <f t="shared" ca="1" si="80"/>
        <v>41456</v>
      </c>
      <c r="H274" s="5">
        <f t="shared" ca="1" si="81"/>
        <v>42551</v>
      </c>
      <c r="I274" t="str">
        <f t="shared" ca="1" si="82"/>
        <v>090-2928-8037</v>
      </c>
      <c r="J274" t="str">
        <f t="shared" ca="1" si="83"/>
        <v>Song_Ming_Ao_41456@outlook.jp.co</v>
      </c>
      <c r="K274" t="str">
        <f t="shared" ca="1" si="84"/>
        <v>普通</v>
      </c>
      <c r="L274" t="str">
        <f t="shared" ca="1" si="85"/>
        <v>有り</v>
      </c>
      <c r="M274" t="str">
        <f t="shared" ca="1" si="86"/>
        <v>5%</v>
      </c>
      <c r="N274" t="str">
        <f t="shared" ca="1" si="87"/>
        <v>有り</v>
      </c>
      <c r="O274">
        <f t="shared" ca="1" si="88"/>
        <v>973</v>
      </c>
      <c r="R274">
        <f t="shared" ca="1" si="89"/>
        <v>23</v>
      </c>
      <c r="S274">
        <f t="shared" ca="1" si="90"/>
        <v>209</v>
      </c>
      <c r="T274">
        <f t="shared" ca="1" si="91"/>
        <v>1989</v>
      </c>
      <c r="U274">
        <f t="shared" ca="1" si="92"/>
        <v>2001</v>
      </c>
      <c r="V274">
        <f t="shared" ca="1" si="93"/>
        <v>11</v>
      </c>
      <c r="W274">
        <f t="shared" ca="1" si="94"/>
        <v>8</v>
      </c>
    </row>
    <row r="275" spans="1:23">
      <c r="A275" t="s">
        <v>1003</v>
      </c>
      <c r="B275" t="str">
        <f t="shared" ca="1" si="76"/>
        <v>黃生廷</v>
      </c>
      <c r="C275" t="str">
        <f t="shared" ca="1" si="77"/>
        <v>ﾎﾜｰﾝ ｼｭﾖﾝ ﾃｨｰﾝ</v>
      </c>
      <c r="D275" t="str">
        <f t="shared" ca="1" si="78"/>
        <v>Huang Sheng Ting</v>
      </c>
      <c r="E275" t="str" cm="1">
        <f t="array" aca="1" ref="E275" ca="1">INDIRECT(ADDRESS(RANDBETWEEN(2,16),7,1,1,"valueBase"))</f>
        <v>女性</v>
      </c>
      <c r="F275" s="5">
        <f t="shared" ca="1" si="79"/>
        <v>30943</v>
      </c>
      <c r="G275" s="5">
        <f t="shared" ca="1" si="80"/>
        <v>42298</v>
      </c>
      <c r="H275" s="5">
        <f t="shared" ca="1" si="81"/>
        <v>43028</v>
      </c>
      <c r="I275" t="str">
        <f t="shared" ca="1" si="82"/>
        <v>080-9833-1858</v>
      </c>
      <c r="J275" t="str">
        <f t="shared" ca="1" si="83"/>
        <v>Huang_Sheng_Ting_42298@outlook.jp.co</v>
      </c>
      <c r="K275" t="str">
        <f t="shared" ca="1" si="84"/>
        <v>高級</v>
      </c>
      <c r="L275" t="str">
        <f t="shared" ca="1" si="85"/>
        <v>有り</v>
      </c>
      <c r="M275" t="str">
        <f t="shared" ca="1" si="86"/>
        <v>10%</v>
      </c>
      <c r="N275" t="str">
        <f t="shared" ca="1" si="87"/>
        <v>有り</v>
      </c>
      <c r="O275">
        <f t="shared" ca="1" si="88"/>
        <v>689</v>
      </c>
      <c r="R275">
        <f t="shared" ca="1" si="89"/>
        <v>9</v>
      </c>
      <c r="S275">
        <f t="shared" ca="1" si="90"/>
        <v>65</v>
      </c>
      <c r="T275">
        <f t="shared" ca="1" si="91"/>
        <v>1991</v>
      </c>
      <c r="U275">
        <f t="shared" ca="1" si="92"/>
        <v>1996</v>
      </c>
      <c r="V275">
        <f t="shared" ca="1" si="93"/>
        <v>8</v>
      </c>
      <c r="W275">
        <f t="shared" ca="1" si="94"/>
        <v>15</v>
      </c>
    </row>
    <row r="276" spans="1:23">
      <c r="A276" t="s">
        <v>1004</v>
      </c>
      <c r="B276" t="str">
        <f t="shared" ca="1" si="76"/>
        <v>高物修</v>
      </c>
      <c r="C276" t="str">
        <f t="shared" ca="1" si="77"/>
        <v>ｶﾞｵ ｳｰ ｼｳ</v>
      </c>
      <c r="D276" t="str">
        <f t="shared" ca="1" si="78"/>
        <v>Gao Wu Xiu</v>
      </c>
      <c r="E276" t="str" cm="1">
        <f t="array" aca="1" ref="E276" ca="1">INDIRECT(ADDRESS(RANDBETWEEN(2,16),7,1,1,"valueBase"))</f>
        <v>男性</v>
      </c>
      <c r="F276" s="5">
        <f t="shared" ca="1" si="79"/>
        <v>27194</v>
      </c>
      <c r="G276" s="5">
        <f t="shared" ca="1" si="80"/>
        <v>38053</v>
      </c>
      <c r="H276" s="5">
        <f t="shared" ca="1" si="81"/>
        <v>38783</v>
      </c>
      <c r="I276" t="str">
        <f t="shared" ca="1" si="82"/>
        <v>090-1306-6106</v>
      </c>
      <c r="J276" t="str">
        <f t="shared" ca="1" si="83"/>
        <v>Gao_Wu_Xiu_38053@outlook.jp.co</v>
      </c>
      <c r="K276" t="str">
        <f t="shared" ca="1" si="84"/>
        <v>普通</v>
      </c>
      <c r="L276" t="str">
        <f t="shared" ca="1" si="85"/>
        <v>-</v>
      </c>
      <c r="M276" t="str">
        <f t="shared" ca="1" si="86"/>
        <v>-</v>
      </c>
      <c r="N276" t="str">
        <f t="shared" ca="1" si="87"/>
        <v>有り</v>
      </c>
      <c r="O276">
        <f t="shared" ca="1" si="88"/>
        <v>591</v>
      </c>
      <c r="R276">
        <f t="shared" ca="1" si="89"/>
        <v>16</v>
      </c>
      <c r="S276">
        <f t="shared" ca="1" si="90"/>
        <v>188</v>
      </c>
      <c r="T276">
        <f t="shared" ca="1" si="91"/>
        <v>1989</v>
      </c>
      <c r="U276">
        <f t="shared" ca="1" si="92"/>
        <v>1998</v>
      </c>
      <c r="V276">
        <f t="shared" ca="1" si="93"/>
        <v>8</v>
      </c>
      <c r="W276">
        <f t="shared" ca="1" si="94"/>
        <v>28</v>
      </c>
    </row>
    <row r="277" spans="1:23">
      <c r="A277" t="s">
        <v>1005</v>
      </c>
      <c r="B277" t="str">
        <f t="shared" ca="1" si="76"/>
        <v>李貴孝</v>
      </c>
      <c r="C277" t="str">
        <f t="shared" ca="1" si="77"/>
        <v>ﾘｰ ｸﾞｲ ｼﾔｵ</v>
      </c>
      <c r="D277" t="str">
        <f t="shared" ca="1" si="78"/>
        <v>Li Gui Xiao</v>
      </c>
      <c r="E277" t="str" cm="1">
        <f t="array" aca="1" ref="E277" ca="1">INDIRECT(ADDRESS(RANDBETWEEN(2,16),7,1,1,"valueBase"))</f>
        <v>女性</v>
      </c>
      <c r="F277" s="5">
        <f t="shared" ca="1" si="79"/>
        <v>22545</v>
      </c>
      <c r="G277" s="5">
        <f t="shared" ca="1" si="80"/>
        <v>43847</v>
      </c>
      <c r="H277" s="5">
        <f t="shared" ca="1" si="81"/>
        <v>44577</v>
      </c>
      <c r="I277" t="str">
        <f t="shared" ca="1" si="82"/>
        <v>080-2833-3417</v>
      </c>
      <c r="J277" t="str">
        <f t="shared" ca="1" si="83"/>
        <v>Li_Gui_Xiao_43847@outlook.jp.co</v>
      </c>
      <c r="K277" t="str">
        <f t="shared" ca="1" si="84"/>
        <v>普通</v>
      </c>
      <c r="L277" t="str">
        <f t="shared" ca="1" si="85"/>
        <v>有り</v>
      </c>
      <c r="M277" t="str">
        <f t="shared" ca="1" si="86"/>
        <v>5%</v>
      </c>
      <c r="N277" t="str">
        <f t="shared" ca="1" si="87"/>
        <v>有り</v>
      </c>
      <c r="O277">
        <f t="shared" ca="1" si="88"/>
        <v>420</v>
      </c>
      <c r="R277">
        <f t="shared" ca="1" si="89"/>
        <v>2</v>
      </c>
      <c r="S277">
        <f t="shared" ca="1" si="90"/>
        <v>244</v>
      </c>
      <c r="T277">
        <f t="shared" ca="1" si="91"/>
        <v>2006</v>
      </c>
      <c r="U277">
        <f t="shared" ca="1" si="92"/>
        <v>2007</v>
      </c>
      <c r="V277">
        <f t="shared" ca="1" si="93"/>
        <v>7</v>
      </c>
      <c r="W277">
        <f t="shared" ca="1" si="94"/>
        <v>9</v>
      </c>
    </row>
    <row r="278" spans="1:23">
      <c r="A278" t="s">
        <v>1006</v>
      </c>
      <c r="B278" t="str">
        <f t="shared" ca="1" si="76"/>
        <v>于瀚虹</v>
      </c>
      <c r="C278" t="str">
        <f t="shared" ca="1" si="77"/>
        <v>ﾕｲ ﾊﾝ ﾎｰﾝ</v>
      </c>
      <c r="D278" t="str">
        <f t="shared" ca="1" si="78"/>
        <v>Yu Han Hong</v>
      </c>
      <c r="E278" t="str" cm="1">
        <f t="array" aca="1" ref="E278" ca="1">INDIRECT(ADDRESS(RANDBETWEEN(2,16),7,1,1,"valueBase"))</f>
        <v>女性</v>
      </c>
      <c r="F278" s="5">
        <f t="shared" ca="1" si="79"/>
        <v>26483</v>
      </c>
      <c r="G278" s="5">
        <f t="shared" ca="1" si="80"/>
        <v>37005</v>
      </c>
      <c r="H278" s="5">
        <f t="shared" ca="1" si="81"/>
        <v>37735</v>
      </c>
      <c r="I278" t="str">
        <f t="shared" ca="1" si="82"/>
        <v>080-0734-7431</v>
      </c>
      <c r="J278" t="str">
        <f t="shared" ca="1" si="83"/>
        <v>Yu_Han Hong_37005@outlook.jp.co</v>
      </c>
      <c r="K278" t="str">
        <f t="shared" ca="1" si="84"/>
        <v>高級</v>
      </c>
      <c r="L278" t="str">
        <f t="shared" ca="1" si="85"/>
        <v>有り</v>
      </c>
      <c r="M278" t="str">
        <f t="shared" ca="1" si="86"/>
        <v>10%</v>
      </c>
      <c r="N278" t="str">
        <f t="shared" ca="1" si="87"/>
        <v>-</v>
      </c>
      <c r="O278" t="str">
        <f t="shared" ca="1" si="88"/>
        <v>-</v>
      </c>
      <c r="R278">
        <f t="shared" ca="1" si="89"/>
        <v>29</v>
      </c>
      <c r="S278">
        <f t="shared" ca="1" si="90"/>
        <v>119</v>
      </c>
      <c r="T278">
        <f t="shared" ca="1" si="91"/>
        <v>2009</v>
      </c>
      <c r="U278">
        <f t="shared" ca="1" si="92"/>
        <v>2013</v>
      </c>
      <c r="V278">
        <f t="shared" ca="1" si="93"/>
        <v>12</v>
      </c>
      <c r="W278">
        <f t="shared" ca="1" si="94"/>
        <v>19</v>
      </c>
    </row>
    <row r="279" spans="1:23">
      <c r="A279" t="s">
        <v>1007</v>
      </c>
      <c r="B279" t="str">
        <f t="shared" ca="1" si="76"/>
        <v>李億蒂</v>
      </c>
      <c r="C279" t="str">
        <f t="shared" ca="1" si="77"/>
        <v>ﾘｰ ｲｰ ﾃﾞｨｰ</v>
      </c>
      <c r="D279" t="str">
        <f t="shared" ca="1" si="78"/>
        <v>Li Yi Di</v>
      </c>
      <c r="E279" t="str" cm="1">
        <f t="array" aca="1" ref="E279" ca="1">INDIRECT(ADDRESS(RANDBETWEEN(2,16),7,1,1,"valueBase"))</f>
        <v>男性</v>
      </c>
      <c r="F279" s="5">
        <f t="shared" ca="1" si="79"/>
        <v>28308</v>
      </c>
      <c r="G279" s="5">
        <f t="shared" ca="1" si="80"/>
        <v>44345</v>
      </c>
      <c r="H279" s="5">
        <f t="shared" ca="1" si="81"/>
        <v>45075</v>
      </c>
      <c r="I279" t="str">
        <f t="shared" ca="1" si="82"/>
        <v>090-6187-3678</v>
      </c>
      <c r="J279" t="str">
        <f t="shared" ca="1" si="83"/>
        <v>Li_Yi_Di_44345@outlook.jp.co</v>
      </c>
      <c r="K279" t="str">
        <f t="shared" ca="1" si="84"/>
        <v>普通</v>
      </c>
      <c r="L279" t="str">
        <f t="shared" ca="1" si="85"/>
        <v>有り</v>
      </c>
      <c r="M279" t="str">
        <f t="shared" ca="1" si="86"/>
        <v>5%</v>
      </c>
      <c r="N279" t="str">
        <f t="shared" ca="1" si="87"/>
        <v>有り</v>
      </c>
      <c r="O279">
        <f t="shared" ca="1" si="88"/>
        <v>434</v>
      </c>
      <c r="R279">
        <f t="shared" ca="1" si="89"/>
        <v>2</v>
      </c>
      <c r="S279">
        <f t="shared" ca="1" si="90"/>
        <v>203</v>
      </c>
      <c r="T279">
        <f t="shared" ca="1" si="91"/>
        <v>1984</v>
      </c>
      <c r="U279">
        <f t="shared" ca="1" si="92"/>
        <v>1992</v>
      </c>
      <c r="V279">
        <f t="shared" ca="1" si="93"/>
        <v>9</v>
      </c>
      <c r="W279">
        <f t="shared" ca="1" si="94"/>
        <v>28</v>
      </c>
    </row>
    <row r="280" spans="1:23">
      <c r="A280" t="s">
        <v>1008</v>
      </c>
      <c r="B280" t="str">
        <f t="shared" ca="1" si="76"/>
        <v>林綸網</v>
      </c>
      <c r="C280" t="str">
        <f t="shared" ca="1" si="77"/>
        <v>ﾘﾝ ﾙﾝ ﾜｰﾝ</v>
      </c>
      <c r="D280" t="str">
        <f t="shared" ca="1" si="78"/>
        <v>Lin Lun Wang</v>
      </c>
      <c r="E280" t="str" cm="1">
        <f t="array" aca="1" ref="E280" ca="1">INDIRECT(ADDRESS(RANDBETWEEN(2,16),7,1,1,"valueBase"))</f>
        <v>男性</v>
      </c>
      <c r="F280" s="5">
        <f t="shared" ca="1" si="79"/>
        <v>38525</v>
      </c>
      <c r="G280" s="5">
        <f t="shared" ca="1" si="80"/>
        <v>45420</v>
      </c>
      <c r="H280" s="5">
        <f t="shared" ca="1" si="81"/>
        <v>45785</v>
      </c>
      <c r="I280" t="str">
        <f t="shared" ca="1" si="82"/>
        <v>090-3945-1779</v>
      </c>
      <c r="J280" t="str">
        <f t="shared" ca="1" si="83"/>
        <v>Lin_Lun Wang_45420@outlook.jp.co</v>
      </c>
      <c r="K280" t="str">
        <f t="shared" ca="1" si="84"/>
        <v>高級</v>
      </c>
      <c r="L280" t="str">
        <f t="shared" ca="1" si="85"/>
        <v>有り</v>
      </c>
      <c r="M280" t="str">
        <f t="shared" ca="1" si="86"/>
        <v>10%</v>
      </c>
      <c r="N280" t="str">
        <f t="shared" ca="1" si="87"/>
        <v>有り</v>
      </c>
      <c r="O280">
        <f t="shared" ca="1" si="88"/>
        <v>451</v>
      </c>
      <c r="R280">
        <f t="shared" ca="1" si="89"/>
        <v>17</v>
      </c>
      <c r="S280">
        <f t="shared" ca="1" si="90"/>
        <v>263</v>
      </c>
      <c r="T280">
        <f t="shared" ca="1" si="91"/>
        <v>1992</v>
      </c>
      <c r="U280">
        <f t="shared" ca="1" si="92"/>
        <v>1995</v>
      </c>
      <c r="V280">
        <f t="shared" ca="1" si="93"/>
        <v>3</v>
      </c>
      <c r="W280">
        <f t="shared" ca="1" si="94"/>
        <v>30</v>
      </c>
    </row>
    <row r="281" spans="1:23">
      <c r="A281" t="s">
        <v>1009</v>
      </c>
      <c r="B281" t="str">
        <f t="shared" ca="1" si="76"/>
        <v>周華瑋</v>
      </c>
      <c r="C281" t="str">
        <f t="shared" ca="1" si="77"/>
        <v>ｼﾞｮｳ ﾎﾜ ｳｴｲ</v>
      </c>
      <c r="D281" t="str">
        <f t="shared" ca="1" si="78"/>
        <v>Zhou Hua Wei</v>
      </c>
      <c r="E281" t="str" cm="1">
        <f t="array" aca="1" ref="E281" ca="1">INDIRECT(ADDRESS(RANDBETWEEN(2,16),7,1,1,"valueBase"))</f>
        <v>女性</v>
      </c>
      <c r="F281" s="5">
        <f t="shared" ca="1" si="79"/>
        <v>24749</v>
      </c>
      <c r="G281" s="5">
        <f t="shared" ca="1" si="80"/>
        <v>40376</v>
      </c>
      <c r="H281" s="5">
        <f t="shared" ca="1" si="81"/>
        <v>41106</v>
      </c>
      <c r="I281" t="str">
        <f t="shared" ca="1" si="82"/>
        <v>090-3907-1782</v>
      </c>
      <c r="J281" t="str">
        <f t="shared" ca="1" si="83"/>
        <v>Zhou_Hua_Wei_40376@outlook.jp.co</v>
      </c>
      <c r="K281" t="str">
        <f t="shared" ca="1" si="84"/>
        <v>高級</v>
      </c>
      <c r="L281" t="str">
        <f t="shared" ca="1" si="85"/>
        <v>有り</v>
      </c>
      <c r="M281" t="str">
        <f t="shared" ca="1" si="86"/>
        <v>10%</v>
      </c>
      <c r="N281" t="str">
        <f t="shared" ca="1" si="87"/>
        <v>-</v>
      </c>
      <c r="O281" t="str">
        <f t="shared" ca="1" si="88"/>
        <v>-</v>
      </c>
      <c r="R281">
        <f t="shared" ca="1" si="89"/>
        <v>10</v>
      </c>
      <c r="S281">
        <f t="shared" ca="1" si="90"/>
        <v>258</v>
      </c>
      <c r="T281">
        <f t="shared" ca="1" si="91"/>
        <v>1971</v>
      </c>
      <c r="U281">
        <f t="shared" ca="1" si="92"/>
        <v>1977</v>
      </c>
      <c r="V281">
        <f t="shared" ca="1" si="93"/>
        <v>5</v>
      </c>
      <c r="W281">
        <f t="shared" ca="1" si="94"/>
        <v>21</v>
      </c>
    </row>
    <row r="282" spans="1:23">
      <c r="A282" t="s">
        <v>1010</v>
      </c>
      <c r="B282" t="str">
        <f t="shared" ca="1" si="76"/>
        <v>鄭源俊</v>
      </c>
      <c r="C282" t="str">
        <f t="shared" ca="1" si="77"/>
        <v>ｼﾞｭﾖﾝ ﾕｴﾝ ｼﾞｭｲﾝ</v>
      </c>
      <c r="D282" t="str">
        <f t="shared" ca="1" si="78"/>
        <v>Zheng Yuan Jun</v>
      </c>
      <c r="E282" t="str" cm="1">
        <f t="array" aca="1" ref="E282" ca="1">INDIRECT(ADDRESS(RANDBETWEEN(2,16),7,1,1,"valueBase"))</f>
        <v>女性</v>
      </c>
      <c r="F282" s="5">
        <f t="shared" ca="1" si="79"/>
        <v>25732</v>
      </c>
      <c r="G282" s="5">
        <f t="shared" ca="1" si="80"/>
        <v>32387</v>
      </c>
      <c r="H282" s="5">
        <f t="shared" ca="1" si="81"/>
        <v>32752</v>
      </c>
      <c r="I282" t="str">
        <f t="shared" ca="1" si="82"/>
        <v>090-4417-0201</v>
      </c>
      <c r="J282" t="str">
        <f t="shared" ca="1" si="83"/>
        <v>Zheng_Yuan_Jun_32387@outlook.jp.co</v>
      </c>
      <c r="K282" t="str">
        <f t="shared" ca="1" si="84"/>
        <v>高級</v>
      </c>
      <c r="L282" t="str">
        <f t="shared" ca="1" si="85"/>
        <v>有り</v>
      </c>
      <c r="M282" t="str">
        <f t="shared" ca="1" si="86"/>
        <v>10%</v>
      </c>
      <c r="N282" t="str">
        <f t="shared" ca="1" si="87"/>
        <v>-</v>
      </c>
      <c r="O282" t="str">
        <f t="shared" ca="1" si="88"/>
        <v>-</v>
      </c>
      <c r="R282">
        <f t="shared" ca="1" si="89"/>
        <v>24</v>
      </c>
      <c r="S282">
        <f t="shared" ca="1" si="90"/>
        <v>185</v>
      </c>
      <c r="T282">
        <f t="shared" ca="1" si="91"/>
        <v>1978</v>
      </c>
      <c r="U282">
        <f t="shared" ca="1" si="92"/>
        <v>1984</v>
      </c>
      <c r="V282">
        <f t="shared" ca="1" si="93"/>
        <v>4</v>
      </c>
      <c r="W282">
        <f t="shared" ca="1" si="94"/>
        <v>11</v>
      </c>
    </row>
    <row r="283" spans="1:23">
      <c r="A283" t="s">
        <v>1011</v>
      </c>
      <c r="B283" t="str">
        <f t="shared" ca="1" si="76"/>
        <v>林美貿</v>
      </c>
      <c r="C283" t="str">
        <f t="shared" ca="1" si="77"/>
        <v>ﾘﾝ ﾒｲ ﾏｵ</v>
      </c>
      <c r="D283" t="str">
        <f t="shared" ca="1" si="78"/>
        <v>Lin Mei Mao</v>
      </c>
      <c r="E283" t="str" cm="1">
        <f t="array" aca="1" ref="E283" ca="1">INDIRECT(ADDRESS(RANDBETWEEN(2,16),7,1,1,"valueBase"))</f>
        <v>男性</v>
      </c>
      <c r="F283" s="5">
        <f t="shared" ca="1" si="79"/>
        <v>30534</v>
      </c>
      <c r="G283" s="5">
        <f t="shared" ca="1" si="80"/>
        <v>38632</v>
      </c>
      <c r="H283" s="5">
        <f t="shared" ca="1" si="81"/>
        <v>39362</v>
      </c>
      <c r="I283" t="str">
        <f t="shared" ca="1" si="82"/>
        <v>090-2282-2506</v>
      </c>
      <c r="J283" t="str">
        <f t="shared" ca="1" si="83"/>
        <v>Lin_Mei_Mao_38632@outlook.jp.co</v>
      </c>
      <c r="K283" t="str">
        <f t="shared" ca="1" si="84"/>
        <v>普通</v>
      </c>
      <c r="L283" t="str">
        <f t="shared" ca="1" si="85"/>
        <v>有り</v>
      </c>
      <c r="M283" t="str">
        <f t="shared" ca="1" si="86"/>
        <v>5%</v>
      </c>
      <c r="N283" t="str">
        <f t="shared" ca="1" si="87"/>
        <v>-</v>
      </c>
      <c r="O283" t="str">
        <f t="shared" ca="1" si="88"/>
        <v>-</v>
      </c>
      <c r="R283">
        <f t="shared" ca="1" si="89"/>
        <v>17</v>
      </c>
      <c r="S283">
        <f t="shared" ca="1" si="90"/>
        <v>89</v>
      </c>
      <c r="T283">
        <f t="shared" ca="1" si="91"/>
        <v>1998</v>
      </c>
      <c r="U283">
        <f t="shared" ca="1" si="92"/>
        <v>2001</v>
      </c>
      <c r="V283">
        <f t="shared" ca="1" si="93"/>
        <v>5</v>
      </c>
      <c r="W283">
        <f t="shared" ca="1" si="94"/>
        <v>3</v>
      </c>
    </row>
    <row r="284" spans="1:23">
      <c r="A284" t="s">
        <v>1012</v>
      </c>
      <c r="B284" t="str">
        <f t="shared" ca="1" si="76"/>
        <v>謝彤存</v>
      </c>
      <c r="C284" t="str">
        <f t="shared" ca="1" si="77"/>
        <v>ｼｴ ﾄｰﾝ ﾂｩﾝ</v>
      </c>
      <c r="D284" t="str">
        <f t="shared" ca="1" si="78"/>
        <v>Xie Tong Cun</v>
      </c>
      <c r="E284" t="str" cm="1">
        <f t="array" aca="1" ref="E284" ca="1">INDIRECT(ADDRESS(RANDBETWEEN(2,16),7,1,1,"valueBase"))</f>
        <v>女性</v>
      </c>
      <c r="F284" s="5">
        <f t="shared" ca="1" si="79"/>
        <v>22356</v>
      </c>
      <c r="G284" s="5">
        <f t="shared" ca="1" si="80"/>
        <v>43863</v>
      </c>
      <c r="H284" s="5">
        <f t="shared" ca="1" si="81"/>
        <v>44593</v>
      </c>
      <c r="I284" t="str">
        <f t="shared" ca="1" si="82"/>
        <v>080-5961-0155</v>
      </c>
      <c r="J284" t="str">
        <f t="shared" ca="1" si="83"/>
        <v>Xie_Tong_Cun_43863@outlook.jp.co</v>
      </c>
      <c r="K284" t="str">
        <f t="shared" ca="1" si="84"/>
        <v>普通</v>
      </c>
      <c r="L284" t="str">
        <f t="shared" ca="1" si="85"/>
        <v>有り</v>
      </c>
      <c r="M284" t="str">
        <f t="shared" ca="1" si="86"/>
        <v>5%</v>
      </c>
      <c r="N284" t="str">
        <f t="shared" ca="1" si="87"/>
        <v>有り</v>
      </c>
      <c r="O284">
        <f t="shared" ca="1" si="88"/>
        <v>444</v>
      </c>
      <c r="R284">
        <f t="shared" ca="1" si="89"/>
        <v>25</v>
      </c>
      <c r="S284">
        <f t="shared" ca="1" si="90"/>
        <v>187</v>
      </c>
      <c r="T284">
        <f t="shared" ca="1" si="91"/>
        <v>1994</v>
      </c>
      <c r="U284">
        <f t="shared" ca="1" si="92"/>
        <v>1999</v>
      </c>
      <c r="V284">
        <f t="shared" ca="1" si="93"/>
        <v>7</v>
      </c>
      <c r="W284">
        <f t="shared" ca="1" si="94"/>
        <v>22</v>
      </c>
    </row>
    <row r="285" spans="1:23">
      <c r="A285" t="s">
        <v>1013</v>
      </c>
      <c r="B285" t="str">
        <f t="shared" ca="1" si="76"/>
        <v>高慶圖</v>
      </c>
      <c r="C285" t="str">
        <f t="shared" ca="1" si="77"/>
        <v>ｶﾞｵ ﾁｰﾝ ﾄｩ</v>
      </c>
      <c r="D285" t="str">
        <f t="shared" ca="1" si="78"/>
        <v>Gao Qing Tu</v>
      </c>
      <c r="E285" t="str" cm="1">
        <f t="array" aca="1" ref="E285" ca="1">INDIRECT(ADDRESS(RANDBETWEEN(2,16),7,1,1,"valueBase"))</f>
        <v>女性</v>
      </c>
      <c r="F285" s="5">
        <f t="shared" ca="1" si="79"/>
        <v>36357</v>
      </c>
      <c r="G285" s="5">
        <f t="shared" ca="1" si="80"/>
        <v>43306</v>
      </c>
      <c r="H285" s="5">
        <f t="shared" ca="1" si="81"/>
        <v>44401</v>
      </c>
      <c r="I285" t="str">
        <f t="shared" ca="1" si="82"/>
        <v>080-1980-9101</v>
      </c>
      <c r="J285" t="str">
        <f t="shared" ca="1" si="83"/>
        <v>Gao_Qing_Tu_43306@outlook.jp.co</v>
      </c>
      <c r="K285" t="str">
        <f t="shared" ca="1" si="84"/>
        <v>普通</v>
      </c>
      <c r="L285" t="str">
        <f t="shared" ca="1" si="85"/>
        <v>-</v>
      </c>
      <c r="M285" t="str">
        <f t="shared" ca="1" si="86"/>
        <v>-</v>
      </c>
      <c r="N285" t="str">
        <f t="shared" ca="1" si="87"/>
        <v>有り</v>
      </c>
      <c r="O285">
        <f t="shared" ca="1" si="88"/>
        <v>854</v>
      </c>
      <c r="R285">
        <f t="shared" ca="1" si="89"/>
        <v>16</v>
      </c>
      <c r="S285">
        <f t="shared" ca="1" si="90"/>
        <v>255</v>
      </c>
      <c r="T285">
        <f t="shared" ca="1" si="91"/>
        <v>1982</v>
      </c>
      <c r="U285">
        <f t="shared" ca="1" si="92"/>
        <v>1994</v>
      </c>
      <c r="V285">
        <f t="shared" ca="1" si="93"/>
        <v>3</v>
      </c>
      <c r="W285">
        <f t="shared" ca="1" si="94"/>
        <v>15</v>
      </c>
    </row>
    <row r="286" spans="1:23">
      <c r="A286" t="s">
        <v>1014</v>
      </c>
      <c r="B286" t="str">
        <f t="shared" ca="1" si="76"/>
        <v>梁茗奧</v>
      </c>
      <c r="C286" t="str">
        <f t="shared" ca="1" si="77"/>
        <v>ﾘﾔｰﾝ ﾐｰﾝ ｱｵ</v>
      </c>
      <c r="D286" t="str">
        <f t="shared" ca="1" si="78"/>
        <v>Liang Ming Ao</v>
      </c>
      <c r="E286" t="str" cm="1">
        <f t="array" aca="1" ref="E286" ca="1">INDIRECT(ADDRESS(RANDBETWEEN(2,16),7,1,1,"valueBase"))</f>
        <v>女性</v>
      </c>
      <c r="F286" s="5">
        <f t="shared" ca="1" si="79"/>
        <v>34042</v>
      </c>
      <c r="G286" s="5">
        <f t="shared" ca="1" si="80"/>
        <v>40745</v>
      </c>
      <c r="H286" s="5">
        <f t="shared" ca="1" si="81"/>
        <v>41840</v>
      </c>
      <c r="I286" t="str">
        <f t="shared" ca="1" si="82"/>
        <v>080-3993-4445</v>
      </c>
      <c r="J286" t="str">
        <f t="shared" ca="1" si="83"/>
        <v>Liang_Ming_Ao_40745@outlook.jp.co</v>
      </c>
      <c r="K286" t="str">
        <f t="shared" ca="1" si="84"/>
        <v>高級</v>
      </c>
      <c r="L286" t="str">
        <f t="shared" ca="1" si="85"/>
        <v>-</v>
      </c>
      <c r="M286" t="str">
        <f t="shared" ca="1" si="86"/>
        <v>-</v>
      </c>
      <c r="N286" t="str">
        <f t="shared" ca="1" si="87"/>
        <v>有り</v>
      </c>
      <c r="O286">
        <f t="shared" ca="1" si="88"/>
        <v>37</v>
      </c>
      <c r="R286">
        <f t="shared" ca="1" si="89"/>
        <v>22</v>
      </c>
      <c r="S286">
        <f t="shared" ca="1" si="90"/>
        <v>209</v>
      </c>
      <c r="T286">
        <f t="shared" ca="1" si="91"/>
        <v>1993</v>
      </c>
      <c r="U286">
        <f t="shared" ca="1" si="92"/>
        <v>2004</v>
      </c>
      <c r="V286">
        <f t="shared" ca="1" si="93"/>
        <v>2</v>
      </c>
      <c r="W286">
        <f t="shared" ca="1" si="94"/>
        <v>11</v>
      </c>
    </row>
    <row r="287" spans="1:23">
      <c r="A287" t="s">
        <v>1015</v>
      </c>
      <c r="B287" t="str">
        <f t="shared" ca="1" si="76"/>
        <v>趙朋莉</v>
      </c>
      <c r="C287" t="str">
        <f t="shared" ca="1" si="77"/>
        <v>ｼﾞｬｵ ﾌﾟｵﾝ ﾘｰ</v>
      </c>
      <c r="D287" t="str">
        <f t="shared" ca="1" si="78"/>
        <v>Zhao Peng Li</v>
      </c>
      <c r="E287" t="str" cm="1">
        <f t="array" aca="1" ref="E287" ca="1">INDIRECT(ADDRESS(RANDBETWEEN(2,16),7,1,1,"valueBase"))</f>
        <v>-</v>
      </c>
      <c r="F287" s="5">
        <f t="shared" ca="1" si="79"/>
        <v>27982</v>
      </c>
      <c r="G287" s="5">
        <f t="shared" ca="1" si="80"/>
        <v>37360</v>
      </c>
      <c r="H287" s="5">
        <f t="shared" ca="1" si="81"/>
        <v>38090</v>
      </c>
      <c r="I287" t="str">
        <f t="shared" ca="1" si="82"/>
        <v>090-5920-6288</v>
      </c>
      <c r="J287" t="str">
        <f t="shared" ca="1" si="83"/>
        <v>Zhao_Peng_Li_37360@outlook.jp.co</v>
      </c>
      <c r="K287" t="str">
        <f t="shared" ca="1" si="84"/>
        <v>普通</v>
      </c>
      <c r="L287" t="str">
        <f t="shared" ca="1" si="85"/>
        <v>有り</v>
      </c>
      <c r="M287" t="str">
        <f t="shared" ca="1" si="86"/>
        <v>5%</v>
      </c>
      <c r="N287" t="str">
        <f t="shared" ca="1" si="87"/>
        <v>有り</v>
      </c>
      <c r="O287">
        <f t="shared" ca="1" si="88"/>
        <v>36</v>
      </c>
      <c r="R287">
        <f t="shared" ca="1" si="89"/>
        <v>8</v>
      </c>
      <c r="S287">
        <f t="shared" ca="1" si="90"/>
        <v>153</v>
      </c>
      <c r="T287">
        <f t="shared" ca="1" si="91"/>
        <v>2003</v>
      </c>
      <c r="U287">
        <f t="shared" ca="1" si="92"/>
        <v>2009</v>
      </c>
      <c r="V287">
        <f t="shared" ca="1" si="93"/>
        <v>9</v>
      </c>
      <c r="W287">
        <f t="shared" ca="1" si="94"/>
        <v>16</v>
      </c>
    </row>
    <row r="288" spans="1:23">
      <c r="A288" t="s">
        <v>1016</v>
      </c>
      <c r="B288" t="str">
        <f t="shared" ca="1" si="76"/>
        <v>馬憶友</v>
      </c>
      <c r="C288" t="str">
        <f t="shared" ca="1" si="77"/>
        <v>ﾏｰ ｲｰ ﾖｳ</v>
      </c>
      <c r="D288" t="str">
        <f t="shared" ca="1" si="78"/>
        <v>Ma Yi You</v>
      </c>
      <c r="E288" t="str" cm="1">
        <f t="array" aca="1" ref="E288" ca="1">INDIRECT(ADDRESS(RANDBETWEEN(2,16),7,1,1,"valueBase"))</f>
        <v>男性</v>
      </c>
      <c r="F288" s="5">
        <f t="shared" ca="1" si="79"/>
        <v>30333</v>
      </c>
      <c r="G288" s="5">
        <f t="shared" ca="1" si="80"/>
        <v>41987</v>
      </c>
      <c r="H288" s="5">
        <f t="shared" ca="1" si="81"/>
        <v>43082</v>
      </c>
      <c r="I288" t="str">
        <f t="shared" ca="1" si="82"/>
        <v>090-2090-4633</v>
      </c>
      <c r="J288" t="str">
        <f t="shared" ca="1" si="83"/>
        <v>Ma_Yi_You_41987@outlook.jp.co</v>
      </c>
      <c r="K288" t="str">
        <f t="shared" ca="1" si="84"/>
        <v>高級</v>
      </c>
      <c r="L288" t="str">
        <f t="shared" ca="1" si="85"/>
        <v>-</v>
      </c>
      <c r="M288" t="str">
        <f t="shared" ca="1" si="86"/>
        <v>-</v>
      </c>
      <c r="N288" t="str">
        <f t="shared" ca="1" si="87"/>
        <v>有り</v>
      </c>
      <c r="O288">
        <f t="shared" ca="1" si="88"/>
        <v>55</v>
      </c>
      <c r="R288">
        <f t="shared" ca="1" si="89"/>
        <v>20</v>
      </c>
      <c r="S288">
        <f t="shared" ca="1" si="90"/>
        <v>219</v>
      </c>
      <c r="T288">
        <f t="shared" ca="1" si="91"/>
        <v>1994</v>
      </c>
      <c r="U288">
        <f t="shared" ca="1" si="92"/>
        <v>1995</v>
      </c>
      <c r="V288">
        <f t="shared" ca="1" si="93"/>
        <v>10</v>
      </c>
      <c r="W288">
        <f t="shared" ca="1" si="94"/>
        <v>14</v>
      </c>
    </row>
    <row r="289" spans="1:23">
      <c r="A289" t="s">
        <v>1017</v>
      </c>
      <c r="B289" t="str">
        <f t="shared" ca="1" si="76"/>
        <v>何康森</v>
      </c>
      <c r="C289" t="str">
        <f t="shared" ca="1" si="77"/>
        <v>ﾎｰｧ ｶｰﾝ ｾﾝ</v>
      </c>
      <c r="D289" t="str">
        <f t="shared" ca="1" si="78"/>
        <v>He Kang Sen</v>
      </c>
      <c r="E289" t="str" cm="1">
        <f t="array" aca="1" ref="E289" ca="1">INDIRECT(ADDRESS(RANDBETWEEN(2,16),7,1,1,"valueBase"))</f>
        <v>-</v>
      </c>
      <c r="F289" s="5">
        <f t="shared" ca="1" si="79"/>
        <v>37393</v>
      </c>
      <c r="G289" s="5">
        <f t="shared" ca="1" si="80"/>
        <v>44892</v>
      </c>
      <c r="H289" s="5">
        <f t="shared" ca="1" si="81"/>
        <v>45987</v>
      </c>
      <c r="I289" t="str">
        <f t="shared" ca="1" si="82"/>
        <v>080-0123-1353</v>
      </c>
      <c r="J289" t="str">
        <f t="shared" ca="1" si="83"/>
        <v>He_Kang_Sen_44892@outlook.jp.co</v>
      </c>
      <c r="K289" t="str">
        <f t="shared" ca="1" si="84"/>
        <v>高級</v>
      </c>
      <c r="L289" t="str">
        <f t="shared" ca="1" si="85"/>
        <v>有り</v>
      </c>
      <c r="M289" t="str">
        <f t="shared" ca="1" si="86"/>
        <v>10%</v>
      </c>
      <c r="N289" t="str">
        <f t="shared" ca="1" si="87"/>
        <v>有り</v>
      </c>
      <c r="O289">
        <f t="shared" ca="1" si="88"/>
        <v>925</v>
      </c>
      <c r="R289">
        <f t="shared" ca="1" si="89"/>
        <v>18</v>
      </c>
      <c r="S289">
        <f t="shared" ca="1" si="90"/>
        <v>174</v>
      </c>
      <c r="T289">
        <f t="shared" ca="1" si="91"/>
        <v>1973</v>
      </c>
      <c r="U289">
        <f t="shared" ca="1" si="92"/>
        <v>1981</v>
      </c>
      <c r="V289">
        <f t="shared" ca="1" si="93"/>
        <v>1</v>
      </c>
      <c r="W289">
        <f t="shared" ca="1" si="94"/>
        <v>9</v>
      </c>
    </row>
    <row r="290" spans="1:23">
      <c r="A290" t="s">
        <v>1018</v>
      </c>
      <c r="B290" t="str">
        <f t="shared" ca="1" si="76"/>
        <v>陳萬斌</v>
      </c>
      <c r="C290" t="str">
        <f t="shared" ca="1" si="77"/>
        <v>ﾁｪﾝ ﾜﾝ ﾋﾞﾝ</v>
      </c>
      <c r="D290" t="str">
        <f t="shared" ca="1" si="78"/>
        <v>Chen Wan Bin</v>
      </c>
      <c r="E290" t="str" cm="1">
        <f t="array" aca="1" ref="E290" ca="1">INDIRECT(ADDRESS(RANDBETWEEN(2,16),7,1,1,"valueBase"))</f>
        <v>男性</v>
      </c>
      <c r="F290" s="5">
        <f t="shared" ca="1" si="79"/>
        <v>29910</v>
      </c>
      <c r="G290" s="5">
        <f t="shared" ca="1" si="80"/>
        <v>39765</v>
      </c>
      <c r="H290" s="5">
        <f t="shared" ca="1" si="81"/>
        <v>40860</v>
      </c>
      <c r="I290" t="str">
        <f t="shared" ca="1" si="82"/>
        <v>090-2239-7443</v>
      </c>
      <c r="J290" t="str">
        <f t="shared" ca="1" si="83"/>
        <v>Chen_Wan_Bin_39765@outlook.jp.co</v>
      </c>
      <c r="K290" t="str">
        <f t="shared" ca="1" si="84"/>
        <v>普通</v>
      </c>
      <c r="L290" t="str">
        <f t="shared" ca="1" si="85"/>
        <v>有り</v>
      </c>
      <c r="M290" t="str">
        <f t="shared" ca="1" si="86"/>
        <v>5%</v>
      </c>
      <c r="N290" t="str">
        <f t="shared" ca="1" si="87"/>
        <v>有り</v>
      </c>
      <c r="O290">
        <f t="shared" ca="1" si="88"/>
        <v>507</v>
      </c>
      <c r="R290">
        <f t="shared" ca="1" si="89"/>
        <v>6</v>
      </c>
      <c r="S290">
        <f t="shared" ca="1" si="90"/>
        <v>134</v>
      </c>
      <c r="T290">
        <f t="shared" ca="1" si="91"/>
        <v>2003</v>
      </c>
      <c r="U290">
        <f t="shared" ca="1" si="92"/>
        <v>2004</v>
      </c>
      <c r="V290">
        <f t="shared" ca="1" si="93"/>
        <v>11</v>
      </c>
      <c r="W290">
        <f t="shared" ca="1" si="94"/>
        <v>26</v>
      </c>
    </row>
    <row r="291" spans="1:23">
      <c r="A291" t="s">
        <v>1019</v>
      </c>
      <c r="B291" t="str">
        <f t="shared" ca="1" si="76"/>
        <v>黃木學</v>
      </c>
      <c r="C291" t="str">
        <f t="shared" ca="1" si="77"/>
        <v>ﾎﾜｰﾝ ﾑｩ ｼｭｴ</v>
      </c>
      <c r="D291" t="str">
        <f t="shared" ca="1" si="78"/>
        <v>Huang Mu Xue</v>
      </c>
      <c r="E291" t="str" cm="1">
        <f t="array" aca="1" ref="E291" ca="1">INDIRECT(ADDRESS(RANDBETWEEN(2,16),7,1,1,"valueBase"))</f>
        <v>男性</v>
      </c>
      <c r="F291" s="5">
        <f t="shared" ca="1" si="79"/>
        <v>31166</v>
      </c>
      <c r="G291" s="5">
        <f t="shared" ca="1" si="80"/>
        <v>37886</v>
      </c>
      <c r="H291" s="5">
        <f t="shared" ca="1" si="81"/>
        <v>38616</v>
      </c>
      <c r="I291" t="str">
        <f t="shared" ca="1" si="82"/>
        <v>090-5239-4822</v>
      </c>
      <c r="J291" t="str">
        <f t="shared" ca="1" si="83"/>
        <v>Huang_Mu_Xue_37886@outlook.jp.co</v>
      </c>
      <c r="K291" t="str">
        <f t="shared" ca="1" si="84"/>
        <v>普通</v>
      </c>
      <c r="L291" t="str">
        <f t="shared" ca="1" si="85"/>
        <v>-</v>
      </c>
      <c r="M291" t="str">
        <f t="shared" ca="1" si="86"/>
        <v>-</v>
      </c>
      <c r="N291" t="str">
        <f t="shared" ca="1" si="87"/>
        <v>-</v>
      </c>
      <c r="O291" t="str">
        <f t="shared" ca="1" si="88"/>
        <v>-</v>
      </c>
      <c r="R291">
        <f t="shared" ca="1" si="89"/>
        <v>9</v>
      </c>
      <c r="S291">
        <f t="shared" ca="1" si="90"/>
        <v>57</v>
      </c>
      <c r="T291">
        <f t="shared" ca="1" si="91"/>
        <v>1994</v>
      </c>
      <c r="U291">
        <f t="shared" ca="1" si="92"/>
        <v>1998</v>
      </c>
      <c r="V291">
        <f t="shared" ca="1" si="93"/>
        <v>5</v>
      </c>
      <c r="W291">
        <f t="shared" ca="1" si="94"/>
        <v>10</v>
      </c>
    </row>
    <row r="292" spans="1:23">
      <c r="A292" t="s">
        <v>1020</v>
      </c>
      <c r="B292" t="str">
        <f t="shared" ca="1" si="76"/>
        <v>梁德基</v>
      </c>
      <c r="C292" t="str">
        <f t="shared" ca="1" si="77"/>
        <v>ﾘﾔｰﾝ ﾄﾞｰｧ ｼﾞｰ</v>
      </c>
      <c r="D292" t="str">
        <f t="shared" ca="1" si="78"/>
        <v>Liang De Ji</v>
      </c>
      <c r="E292" t="str" cm="1">
        <f t="array" aca="1" ref="E292" ca="1">INDIRECT(ADDRESS(RANDBETWEEN(2,16),7,1,1,"valueBase"))</f>
        <v>女性</v>
      </c>
      <c r="F292" s="5">
        <f t="shared" ca="1" si="79"/>
        <v>28630</v>
      </c>
      <c r="G292" s="5">
        <f t="shared" ca="1" si="80"/>
        <v>36470</v>
      </c>
      <c r="H292" s="5">
        <f t="shared" ca="1" si="81"/>
        <v>37565</v>
      </c>
      <c r="I292" t="str">
        <f t="shared" ca="1" si="82"/>
        <v>090-9501-7882</v>
      </c>
      <c r="J292" t="str">
        <f t="shared" ca="1" si="83"/>
        <v>Liang_De_Ji_36470@outlook.jp.co</v>
      </c>
      <c r="K292" t="str">
        <f t="shared" ca="1" si="84"/>
        <v>普通</v>
      </c>
      <c r="L292" t="str">
        <f t="shared" ca="1" si="85"/>
        <v>有り</v>
      </c>
      <c r="M292" t="str">
        <f t="shared" ca="1" si="86"/>
        <v>5%</v>
      </c>
      <c r="N292" t="str">
        <f t="shared" ca="1" si="87"/>
        <v>-</v>
      </c>
      <c r="O292" t="str">
        <f t="shared" ca="1" si="88"/>
        <v>-</v>
      </c>
      <c r="R292">
        <f t="shared" ca="1" si="89"/>
        <v>22</v>
      </c>
      <c r="S292">
        <f t="shared" ca="1" si="90"/>
        <v>181</v>
      </c>
      <c r="T292">
        <f t="shared" ca="1" si="91"/>
        <v>1982</v>
      </c>
      <c r="U292">
        <f t="shared" ca="1" si="92"/>
        <v>1991</v>
      </c>
      <c r="V292">
        <f t="shared" ca="1" si="93"/>
        <v>7</v>
      </c>
      <c r="W292">
        <f t="shared" ca="1" si="94"/>
        <v>27</v>
      </c>
    </row>
    <row r="293" spans="1:23">
      <c r="A293" t="s">
        <v>1021</v>
      </c>
      <c r="B293" t="str">
        <f t="shared" ca="1" si="76"/>
        <v>徐毅格</v>
      </c>
      <c r="C293" t="str">
        <f t="shared" ca="1" si="77"/>
        <v>ｼｭｲ ｲｰ ｺﾞｰｧ</v>
      </c>
      <c r="D293" t="str">
        <f t="shared" ca="1" si="78"/>
        <v>Xu Yi Ge</v>
      </c>
      <c r="E293" t="str" cm="1">
        <f t="array" aca="1" ref="E293" ca="1">INDIRECT(ADDRESS(RANDBETWEEN(2,16),7,1,1,"valueBase"))</f>
        <v>男性</v>
      </c>
      <c r="F293" s="5">
        <f t="shared" ca="1" si="79"/>
        <v>28407</v>
      </c>
      <c r="G293" s="5">
        <f t="shared" ca="1" si="80"/>
        <v>39779</v>
      </c>
      <c r="H293" s="5">
        <f t="shared" ca="1" si="81"/>
        <v>40509</v>
      </c>
      <c r="I293" t="str">
        <f t="shared" ca="1" si="82"/>
        <v>090-4185-1442</v>
      </c>
      <c r="J293" t="str">
        <f t="shared" ca="1" si="83"/>
        <v>Xu_Yi_Ge_39779@outlook.jp.co</v>
      </c>
      <c r="K293" t="str">
        <f t="shared" ca="1" si="84"/>
        <v>普通</v>
      </c>
      <c r="L293" t="str">
        <f t="shared" ca="1" si="85"/>
        <v>-</v>
      </c>
      <c r="M293" t="str">
        <f t="shared" ca="1" si="86"/>
        <v>-</v>
      </c>
      <c r="N293" t="str">
        <f t="shared" ca="1" si="87"/>
        <v>有り</v>
      </c>
      <c r="O293">
        <f t="shared" ca="1" si="88"/>
        <v>66</v>
      </c>
      <c r="R293">
        <f t="shared" ca="1" si="89"/>
        <v>12</v>
      </c>
      <c r="S293">
        <f t="shared" ca="1" si="90"/>
        <v>172</v>
      </c>
      <c r="T293">
        <f t="shared" ca="1" si="91"/>
        <v>2000</v>
      </c>
      <c r="U293">
        <f t="shared" ca="1" si="92"/>
        <v>2003</v>
      </c>
      <c r="V293">
        <f t="shared" ca="1" si="93"/>
        <v>5</v>
      </c>
      <c r="W293">
        <f t="shared" ca="1" si="94"/>
        <v>11</v>
      </c>
    </row>
    <row r="294" spans="1:23">
      <c r="A294" t="s">
        <v>1022</v>
      </c>
      <c r="B294" t="str">
        <f t="shared" ca="1" si="76"/>
        <v>孫泓聽</v>
      </c>
      <c r="C294" t="str">
        <f t="shared" ca="1" si="77"/>
        <v>ｽｩﾝ ﾎｰﾝ ﾃｨｰﾝ</v>
      </c>
      <c r="D294" t="str">
        <f t="shared" ca="1" si="78"/>
        <v>Sun Hong Ting</v>
      </c>
      <c r="E294" t="str" cm="1">
        <f t="array" aca="1" ref="E294" ca="1">INDIRECT(ADDRESS(RANDBETWEEN(2,16),7,1,1,"valueBase"))</f>
        <v>女性</v>
      </c>
      <c r="F294" s="5">
        <f t="shared" ca="1" si="79"/>
        <v>33580</v>
      </c>
      <c r="G294" s="5">
        <f t="shared" ca="1" si="80"/>
        <v>44919</v>
      </c>
      <c r="H294" s="5">
        <f t="shared" ca="1" si="81"/>
        <v>45284</v>
      </c>
      <c r="I294" t="str">
        <f t="shared" ca="1" si="82"/>
        <v>090-3020-3873</v>
      </c>
      <c r="J294" t="str">
        <f t="shared" ca="1" si="83"/>
        <v>Sun_Hong_Ting_44919@outlook.jp.co</v>
      </c>
      <c r="K294" t="str">
        <f t="shared" ca="1" si="84"/>
        <v>高級</v>
      </c>
      <c r="L294" t="str">
        <f t="shared" ca="1" si="85"/>
        <v>有り</v>
      </c>
      <c r="M294" t="str">
        <f t="shared" ca="1" si="86"/>
        <v>10%</v>
      </c>
      <c r="N294" t="str">
        <f t="shared" ca="1" si="87"/>
        <v>有り</v>
      </c>
      <c r="O294">
        <f t="shared" ca="1" si="88"/>
        <v>995</v>
      </c>
      <c r="R294">
        <f t="shared" ca="1" si="89"/>
        <v>13</v>
      </c>
      <c r="S294">
        <f t="shared" ca="1" si="90"/>
        <v>248</v>
      </c>
      <c r="T294">
        <f t="shared" ca="1" si="91"/>
        <v>2009</v>
      </c>
      <c r="U294">
        <f t="shared" ca="1" si="92"/>
        <v>2021</v>
      </c>
      <c r="V294">
        <f t="shared" ca="1" si="93"/>
        <v>11</v>
      </c>
      <c r="W294">
        <f t="shared" ca="1" si="94"/>
        <v>26</v>
      </c>
    </row>
    <row r="295" spans="1:23">
      <c r="A295" t="s">
        <v>1023</v>
      </c>
      <c r="B295" t="str">
        <f t="shared" ca="1" si="76"/>
        <v>朱品夢</v>
      </c>
      <c r="C295" t="str">
        <f t="shared" ca="1" si="77"/>
        <v>ｼﾞｭｳ ﾋﾟﾝ ﾑｵﾝ</v>
      </c>
      <c r="D295" t="str">
        <f t="shared" ca="1" si="78"/>
        <v>Zhu Pin Meng</v>
      </c>
      <c r="E295" t="str" cm="1">
        <f t="array" aca="1" ref="E295" ca="1">INDIRECT(ADDRESS(RANDBETWEEN(2,16),7,1,1,"valueBase"))</f>
        <v>女性</v>
      </c>
      <c r="F295" s="5">
        <f t="shared" ca="1" si="79"/>
        <v>37930</v>
      </c>
      <c r="G295" s="5">
        <f t="shared" ca="1" si="80"/>
        <v>45364</v>
      </c>
      <c r="H295" s="5">
        <f t="shared" ca="1" si="81"/>
        <v>45729</v>
      </c>
      <c r="I295" t="str">
        <f t="shared" ca="1" si="82"/>
        <v>090-4101-5337</v>
      </c>
      <c r="J295" t="str">
        <f t="shared" ca="1" si="83"/>
        <v>Zhu_Pin_Meng_45364@outlook.jp.co</v>
      </c>
      <c r="K295" t="str">
        <f t="shared" ca="1" si="84"/>
        <v>普通</v>
      </c>
      <c r="L295" t="str">
        <f t="shared" ca="1" si="85"/>
        <v>-</v>
      </c>
      <c r="M295" t="str">
        <f t="shared" ca="1" si="86"/>
        <v>-</v>
      </c>
      <c r="N295" t="str">
        <f t="shared" ca="1" si="87"/>
        <v>有り</v>
      </c>
      <c r="O295">
        <f t="shared" ca="1" si="88"/>
        <v>964</v>
      </c>
      <c r="R295">
        <f t="shared" ca="1" si="89"/>
        <v>15</v>
      </c>
      <c r="S295">
        <f t="shared" ca="1" si="90"/>
        <v>282</v>
      </c>
      <c r="T295">
        <f t="shared" ca="1" si="91"/>
        <v>1986</v>
      </c>
      <c r="U295">
        <f t="shared" ca="1" si="92"/>
        <v>1990</v>
      </c>
      <c r="V295">
        <f t="shared" ca="1" si="93"/>
        <v>7</v>
      </c>
      <c r="W295">
        <f t="shared" ca="1" si="94"/>
        <v>10</v>
      </c>
    </row>
    <row r="296" spans="1:23">
      <c r="A296" t="s">
        <v>1024</v>
      </c>
      <c r="B296" t="str">
        <f t="shared" ca="1" si="76"/>
        <v>王樂萊</v>
      </c>
      <c r="C296" t="str">
        <f t="shared" ca="1" si="77"/>
        <v>ﾜｰﾝ ﾛｰｧ ﾗｲ</v>
      </c>
      <c r="D296" t="str">
        <f t="shared" ca="1" si="78"/>
        <v>Wang Le Lai</v>
      </c>
      <c r="E296" t="str" cm="1">
        <f t="array" aca="1" ref="E296" ca="1">INDIRECT(ADDRESS(RANDBETWEEN(2,16),7,1,1,"valueBase"))</f>
        <v>男性</v>
      </c>
      <c r="F296" s="5">
        <f t="shared" ca="1" si="79"/>
        <v>36975</v>
      </c>
      <c r="G296" s="5">
        <f t="shared" ca="1" si="80"/>
        <v>45032</v>
      </c>
      <c r="H296" s="5">
        <f t="shared" ca="1" si="81"/>
        <v>45762</v>
      </c>
      <c r="I296" t="str">
        <f t="shared" ca="1" si="82"/>
        <v>090-3596-5586</v>
      </c>
      <c r="J296" t="str">
        <f t="shared" ca="1" si="83"/>
        <v>Wang_Le Lai_45032@outlook.jp.co</v>
      </c>
      <c r="K296" t="str">
        <f t="shared" ca="1" si="84"/>
        <v>普通</v>
      </c>
      <c r="L296" t="str">
        <f t="shared" ca="1" si="85"/>
        <v>-</v>
      </c>
      <c r="M296" t="str">
        <f t="shared" ca="1" si="86"/>
        <v>-</v>
      </c>
      <c r="N296" t="str">
        <f t="shared" ca="1" si="87"/>
        <v>有り</v>
      </c>
      <c r="O296">
        <f t="shared" ca="1" si="88"/>
        <v>855</v>
      </c>
      <c r="R296">
        <f t="shared" ca="1" si="89"/>
        <v>3</v>
      </c>
      <c r="S296">
        <f t="shared" ca="1" si="90"/>
        <v>159</v>
      </c>
      <c r="T296">
        <f t="shared" ca="1" si="91"/>
        <v>1981</v>
      </c>
      <c r="U296">
        <f t="shared" ca="1" si="92"/>
        <v>1990</v>
      </c>
      <c r="V296">
        <f t="shared" ca="1" si="93"/>
        <v>8</v>
      </c>
      <c r="W296">
        <f t="shared" ca="1" si="94"/>
        <v>29</v>
      </c>
    </row>
    <row r="297" spans="1:23">
      <c r="A297" t="s">
        <v>1025</v>
      </c>
      <c r="B297" t="str">
        <f t="shared" ca="1" si="76"/>
        <v>朱悅協</v>
      </c>
      <c r="C297" t="str">
        <f t="shared" ca="1" si="77"/>
        <v>ｼﾞｭｳ ﾕｴ ｼｴ</v>
      </c>
      <c r="D297" t="str">
        <f t="shared" ca="1" si="78"/>
        <v>Zhu Yue Xie</v>
      </c>
      <c r="E297" t="str" cm="1">
        <f t="array" aca="1" ref="E297" ca="1">INDIRECT(ADDRESS(RANDBETWEEN(2,16),7,1,1,"valueBase"))</f>
        <v>男性</v>
      </c>
      <c r="F297" s="5">
        <f t="shared" ca="1" si="79"/>
        <v>25836</v>
      </c>
      <c r="G297" s="5">
        <f t="shared" ca="1" si="80"/>
        <v>37365</v>
      </c>
      <c r="H297" s="5">
        <f t="shared" ca="1" si="81"/>
        <v>38095</v>
      </c>
      <c r="I297" t="str">
        <f t="shared" ca="1" si="82"/>
        <v>090-6500-9255</v>
      </c>
      <c r="J297" t="str">
        <f t="shared" ca="1" si="83"/>
        <v>Zhu_Yue_Xie_37365@outlook.jp.co</v>
      </c>
      <c r="K297" t="str">
        <f t="shared" ca="1" si="84"/>
        <v>普通</v>
      </c>
      <c r="L297" t="str">
        <f t="shared" ca="1" si="85"/>
        <v>有り</v>
      </c>
      <c r="M297" t="str">
        <f t="shared" ca="1" si="86"/>
        <v>5%</v>
      </c>
      <c r="N297" t="str">
        <f t="shared" ca="1" si="87"/>
        <v>有り</v>
      </c>
      <c r="O297">
        <f t="shared" ca="1" si="88"/>
        <v>571</v>
      </c>
      <c r="R297">
        <f t="shared" ca="1" si="89"/>
        <v>15</v>
      </c>
      <c r="S297">
        <f t="shared" ca="1" si="90"/>
        <v>49</v>
      </c>
      <c r="T297">
        <f t="shared" ca="1" si="91"/>
        <v>1976</v>
      </c>
      <c r="U297">
        <f t="shared" ca="1" si="92"/>
        <v>1983</v>
      </c>
      <c r="V297">
        <f t="shared" ca="1" si="93"/>
        <v>1</v>
      </c>
      <c r="W297">
        <f t="shared" ca="1" si="94"/>
        <v>12</v>
      </c>
    </row>
    <row r="298" spans="1:23">
      <c r="A298" t="s">
        <v>1026</v>
      </c>
      <c r="B298" t="str">
        <f t="shared" ca="1" si="76"/>
        <v>趙忠博</v>
      </c>
      <c r="C298" t="str">
        <f t="shared" ca="1" si="77"/>
        <v>ｼﾞｬｵ ｼﾞｮｰﾝ ﾎﾞｰ</v>
      </c>
      <c r="D298" t="str">
        <f t="shared" ca="1" si="78"/>
        <v>Zhao Zhong Bo</v>
      </c>
      <c r="E298" t="str" cm="1">
        <f t="array" aca="1" ref="E298" ca="1">INDIRECT(ADDRESS(RANDBETWEEN(2,16),7,1,1,"valueBase"))</f>
        <v>女性</v>
      </c>
      <c r="F298" s="5">
        <f t="shared" ca="1" si="79"/>
        <v>30600</v>
      </c>
      <c r="G298" s="5">
        <f t="shared" ca="1" si="80"/>
        <v>44148</v>
      </c>
      <c r="H298" s="5">
        <f t="shared" ca="1" si="81"/>
        <v>45243</v>
      </c>
      <c r="I298" t="str">
        <f t="shared" ca="1" si="82"/>
        <v>090-1287-4113</v>
      </c>
      <c r="J298" t="str">
        <f t="shared" ca="1" si="83"/>
        <v>Zhao_Zhong_Bo_44148@outlook.jp.co</v>
      </c>
      <c r="K298" t="str">
        <f t="shared" ca="1" si="84"/>
        <v>高級</v>
      </c>
      <c r="L298" t="str">
        <f t="shared" ca="1" si="85"/>
        <v>-</v>
      </c>
      <c r="M298" t="str">
        <f t="shared" ca="1" si="86"/>
        <v>-</v>
      </c>
      <c r="N298" t="str">
        <f t="shared" ca="1" si="87"/>
        <v>有り</v>
      </c>
      <c r="O298">
        <f t="shared" ca="1" si="88"/>
        <v>450</v>
      </c>
      <c r="R298">
        <f t="shared" ca="1" si="89"/>
        <v>8</v>
      </c>
      <c r="S298">
        <f t="shared" ca="1" si="90"/>
        <v>23</v>
      </c>
      <c r="T298">
        <f t="shared" ca="1" si="91"/>
        <v>1980</v>
      </c>
      <c r="U298">
        <f t="shared" ca="1" si="92"/>
        <v>1986</v>
      </c>
      <c r="V298">
        <f t="shared" ca="1" si="93"/>
        <v>2</v>
      </c>
      <c r="W298">
        <f t="shared" ca="1" si="94"/>
        <v>7</v>
      </c>
    </row>
    <row r="299" spans="1:23">
      <c r="A299" t="s">
        <v>1027</v>
      </c>
      <c r="B299" t="str">
        <f t="shared" ca="1" si="76"/>
        <v>黃吉可</v>
      </c>
      <c r="C299" t="str">
        <f t="shared" ca="1" si="77"/>
        <v>ﾎﾜｰﾝ ｼﾞｰ ｺｰｧ</v>
      </c>
      <c r="D299" t="str">
        <f t="shared" ca="1" si="78"/>
        <v>Huang Ji Ke</v>
      </c>
      <c r="E299" t="str" cm="1">
        <f t="array" aca="1" ref="E299" ca="1">INDIRECT(ADDRESS(RANDBETWEEN(2,16),7,1,1,"valueBase"))</f>
        <v>-</v>
      </c>
      <c r="F299" s="5">
        <f t="shared" ca="1" si="79"/>
        <v>22550</v>
      </c>
      <c r="G299" s="5">
        <f t="shared" ca="1" si="80"/>
        <v>40541</v>
      </c>
      <c r="H299" s="5">
        <f t="shared" ca="1" si="81"/>
        <v>41636</v>
      </c>
      <c r="I299" t="str">
        <f t="shared" ca="1" si="82"/>
        <v>090-5064-3872</v>
      </c>
      <c r="J299" t="str">
        <f t="shared" ca="1" si="83"/>
        <v>Huang_Ji_Ke_40541@outlook.jp.co</v>
      </c>
      <c r="K299" t="str">
        <f t="shared" ca="1" si="84"/>
        <v>高級</v>
      </c>
      <c r="L299" t="str">
        <f t="shared" ca="1" si="85"/>
        <v>有り</v>
      </c>
      <c r="M299" t="str">
        <f t="shared" ca="1" si="86"/>
        <v>10%</v>
      </c>
      <c r="N299" t="str">
        <f t="shared" ca="1" si="87"/>
        <v>有り</v>
      </c>
      <c r="O299">
        <f t="shared" ca="1" si="88"/>
        <v>259</v>
      </c>
      <c r="R299">
        <f t="shared" ca="1" si="89"/>
        <v>9</v>
      </c>
      <c r="S299">
        <f t="shared" ca="1" si="90"/>
        <v>310</v>
      </c>
      <c r="T299">
        <f t="shared" ca="1" si="91"/>
        <v>1980</v>
      </c>
      <c r="U299">
        <f t="shared" ca="1" si="92"/>
        <v>1992</v>
      </c>
      <c r="V299">
        <f t="shared" ca="1" si="93"/>
        <v>2</v>
      </c>
      <c r="W299">
        <f t="shared" ca="1" si="94"/>
        <v>16</v>
      </c>
    </row>
    <row r="300" spans="1:23">
      <c r="A300" t="s">
        <v>1028</v>
      </c>
      <c r="B300" t="str">
        <f t="shared" ca="1" si="76"/>
        <v>徐含瑋</v>
      </c>
      <c r="C300" t="str">
        <f t="shared" ca="1" si="77"/>
        <v>ｼｭｲ ﾊﾝ ｳｴｲ</v>
      </c>
      <c r="D300" t="str">
        <f t="shared" ca="1" si="78"/>
        <v>Xu Han Wei</v>
      </c>
      <c r="E300" t="str" cm="1">
        <f t="array" aca="1" ref="E300" ca="1">INDIRECT(ADDRESS(RANDBETWEEN(2,16),7,1,1,"valueBase"))</f>
        <v>女性</v>
      </c>
      <c r="F300" s="5">
        <f t="shared" ca="1" si="79"/>
        <v>28437</v>
      </c>
      <c r="G300" s="5">
        <f t="shared" ca="1" si="80"/>
        <v>43126</v>
      </c>
      <c r="H300" s="5">
        <f t="shared" ca="1" si="81"/>
        <v>44221</v>
      </c>
      <c r="I300" t="str">
        <f t="shared" ca="1" si="82"/>
        <v>090-8983-9286</v>
      </c>
      <c r="J300" t="str">
        <f t="shared" ca="1" si="83"/>
        <v>Xu_Han_Wei_43126@outlook.jp.co</v>
      </c>
      <c r="K300" t="str">
        <f t="shared" ca="1" si="84"/>
        <v>普通</v>
      </c>
      <c r="L300" t="str">
        <f t="shared" ca="1" si="85"/>
        <v>有り</v>
      </c>
      <c r="M300" t="str">
        <f t="shared" ca="1" si="86"/>
        <v>5%</v>
      </c>
      <c r="N300" t="str">
        <f t="shared" ca="1" si="87"/>
        <v>有り</v>
      </c>
      <c r="O300">
        <f t="shared" ca="1" si="88"/>
        <v>524</v>
      </c>
      <c r="R300">
        <f t="shared" ca="1" si="89"/>
        <v>12</v>
      </c>
      <c r="S300">
        <f t="shared" ca="1" si="90"/>
        <v>43</v>
      </c>
      <c r="T300">
        <f t="shared" ca="1" si="91"/>
        <v>1979</v>
      </c>
      <c r="U300">
        <f t="shared" ca="1" si="92"/>
        <v>1981</v>
      </c>
      <c r="V300">
        <f t="shared" ca="1" si="93"/>
        <v>10</v>
      </c>
      <c r="W300">
        <f t="shared" ca="1" si="94"/>
        <v>29</v>
      </c>
    </row>
    <row r="301" spans="1:23">
      <c r="A301" t="s">
        <v>1029</v>
      </c>
      <c r="B301" t="str">
        <f t="shared" ca="1" si="76"/>
        <v>王滋帆</v>
      </c>
      <c r="C301" t="str">
        <f t="shared" ca="1" si="77"/>
        <v>ﾜｰﾝ ｽﾞｰ ﾌｧﾝ</v>
      </c>
      <c r="D301" t="str">
        <f t="shared" ca="1" si="78"/>
        <v>Wang Zi Fan</v>
      </c>
      <c r="E301" t="str" cm="1">
        <f t="array" aca="1" ref="E301" ca="1">INDIRECT(ADDRESS(RANDBETWEEN(2,16),7,1,1,"valueBase"))</f>
        <v>男性</v>
      </c>
      <c r="F301" s="5">
        <f t="shared" ca="1" si="79"/>
        <v>23232</v>
      </c>
      <c r="G301" s="5">
        <f t="shared" ca="1" si="80"/>
        <v>39655</v>
      </c>
      <c r="H301" s="5">
        <f t="shared" ca="1" si="81"/>
        <v>40020</v>
      </c>
      <c r="I301" t="str">
        <f t="shared" ca="1" si="82"/>
        <v>090-1308-2952</v>
      </c>
      <c r="J301" t="str">
        <f t="shared" ca="1" si="83"/>
        <v>Wang_Zi_Fan_39655@outlook.jp.co</v>
      </c>
      <c r="K301" t="str">
        <f t="shared" ca="1" si="84"/>
        <v>高級</v>
      </c>
      <c r="L301" t="str">
        <f t="shared" ca="1" si="85"/>
        <v>有り</v>
      </c>
      <c r="M301" t="str">
        <f t="shared" ca="1" si="86"/>
        <v>10%</v>
      </c>
      <c r="N301" t="str">
        <f t="shared" ca="1" si="87"/>
        <v>有り</v>
      </c>
      <c r="O301">
        <f t="shared" ca="1" si="88"/>
        <v>614</v>
      </c>
      <c r="R301">
        <f t="shared" ca="1" si="89"/>
        <v>3</v>
      </c>
      <c r="S301">
        <f t="shared" ca="1" si="90"/>
        <v>256</v>
      </c>
      <c r="T301">
        <f t="shared" ca="1" si="91"/>
        <v>1976</v>
      </c>
      <c r="U301">
        <f t="shared" ca="1" si="92"/>
        <v>1980</v>
      </c>
      <c r="V301">
        <f t="shared" ca="1" si="93"/>
        <v>5</v>
      </c>
      <c r="W301">
        <f t="shared" ca="1" si="94"/>
        <v>10</v>
      </c>
    </row>
    <row r="302" spans="1:23">
      <c r="A302" t="s">
        <v>1030</v>
      </c>
      <c r="B302" t="str">
        <f t="shared" ca="1" si="76"/>
        <v>謝萌至</v>
      </c>
      <c r="C302" t="str">
        <f t="shared" ca="1" si="77"/>
        <v>ｼｴ ﾑｵﾝ ｼﾞｰ</v>
      </c>
      <c r="D302" t="str">
        <f t="shared" ca="1" si="78"/>
        <v>Xie Meng Zhi</v>
      </c>
      <c r="E302" t="str" cm="1">
        <f t="array" aca="1" ref="E302" ca="1">INDIRECT(ADDRESS(RANDBETWEEN(2,16),7,1,1,"valueBase"))</f>
        <v>男性</v>
      </c>
      <c r="F302" s="5">
        <f t="shared" ca="1" si="79"/>
        <v>36185</v>
      </c>
      <c r="G302" s="5">
        <f t="shared" ca="1" si="80"/>
        <v>44035</v>
      </c>
      <c r="H302" s="5">
        <f t="shared" ca="1" si="81"/>
        <v>44765</v>
      </c>
      <c r="I302" t="str">
        <f t="shared" ca="1" si="82"/>
        <v>080-2124-7155</v>
      </c>
      <c r="J302" t="str">
        <f t="shared" ca="1" si="83"/>
        <v>Xie_Meng_Zhi_44035@outlook.jp.co</v>
      </c>
      <c r="K302" t="str">
        <f t="shared" ca="1" si="84"/>
        <v>普通</v>
      </c>
      <c r="L302" t="str">
        <f t="shared" ca="1" si="85"/>
        <v>-</v>
      </c>
      <c r="M302" t="str">
        <f t="shared" ca="1" si="86"/>
        <v>-</v>
      </c>
      <c r="N302" t="str">
        <f t="shared" ca="1" si="87"/>
        <v>有り</v>
      </c>
      <c r="O302">
        <f t="shared" ca="1" si="88"/>
        <v>66</v>
      </c>
      <c r="R302">
        <f t="shared" ca="1" si="89"/>
        <v>25</v>
      </c>
      <c r="S302">
        <f t="shared" ca="1" si="90"/>
        <v>139</v>
      </c>
      <c r="T302">
        <f t="shared" ca="1" si="91"/>
        <v>1992</v>
      </c>
      <c r="U302">
        <f t="shared" ca="1" si="92"/>
        <v>1994</v>
      </c>
      <c r="V302">
        <f t="shared" ca="1" si="93"/>
        <v>2</v>
      </c>
      <c r="W302">
        <f t="shared" ca="1" si="94"/>
        <v>25</v>
      </c>
    </row>
    <row r="303" spans="1:23">
      <c r="A303" t="s">
        <v>1031</v>
      </c>
      <c r="B303" t="str">
        <f t="shared" ca="1" si="76"/>
        <v>李網聰</v>
      </c>
      <c r="C303" t="str">
        <f t="shared" ca="1" si="77"/>
        <v>ﾘｰ ﾜｰﾝ ｯｵｰﾝ</v>
      </c>
      <c r="D303" t="str">
        <f t="shared" ca="1" si="78"/>
        <v>Li Wang Cong</v>
      </c>
      <c r="E303" t="str" cm="1">
        <f t="array" aca="1" ref="E303" ca="1">INDIRECT(ADDRESS(RANDBETWEEN(2,16),7,1,1,"valueBase"))</f>
        <v>女性</v>
      </c>
      <c r="F303" s="5">
        <f t="shared" ca="1" si="79"/>
        <v>33629</v>
      </c>
      <c r="G303" s="5">
        <f t="shared" ca="1" si="80"/>
        <v>43944</v>
      </c>
      <c r="H303" s="5">
        <f t="shared" ca="1" si="81"/>
        <v>44309</v>
      </c>
      <c r="I303" t="str">
        <f t="shared" ca="1" si="82"/>
        <v>090-9149-2160</v>
      </c>
      <c r="J303" t="str">
        <f t="shared" ca="1" si="83"/>
        <v>Li_Wang_Cong_43944@outlook.jp.co</v>
      </c>
      <c r="K303" t="str">
        <f t="shared" ca="1" si="84"/>
        <v>普通</v>
      </c>
      <c r="L303" t="str">
        <f t="shared" ca="1" si="85"/>
        <v>有り</v>
      </c>
      <c r="M303" t="str">
        <f t="shared" ca="1" si="86"/>
        <v>5%</v>
      </c>
      <c r="N303" t="str">
        <f t="shared" ca="1" si="87"/>
        <v>有り</v>
      </c>
      <c r="O303">
        <f t="shared" ca="1" si="88"/>
        <v>6</v>
      </c>
      <c r="R303">
        <f t="shared" ca="1" si="89"/>
        <v>2</v>
      </c>
      <c r="S303">
        <f t="shared" ca="1" si="90"/>
        <v>137</v>
      </c>
      <c r="T303">
        <f t="shared" ca="1" si="91"/>
        <v>1974</v>
      </c>
      <c r="U303">
        <f t="shared" ca="1" si="92"/>
        <v>1975</v>
      </c>
      <c r="V303">
        <f t="shared" ca="1" si="93"/>
        <v>7</v>
      </c>
      <c r="W303">
        <f t="shared" ca="1" si="94"/>
        <v>18</v>
      </c>
    </row>
    <row r="304" spans="1:23">
      <c r="A304" t="s">
        <v>1032</v>
      </c>
      <c r="B304" t="str">
        <f t="shared" ca="1" si="76"/>
        <v>宋朴雷</v>
      </c>
      <c r="C304" t="str">
        <f t="shared" ca="1" si="77"/>
        <v>ｿｰﾝ ﾌﾟｩ ﾚｲ</v>
      </c>
      <c r="D304" t="str">
        <f t="shared" ca="1" si="78"/>
        <v>Song Pu Lei</v>
      </c>
      <c r="E304" t="str" cm="1">
        <f t="array" aca="1" ref="E304" ca="1">INDIRECT(ADDRESS(RANDBETWEEN(2,16),7,1,1,"valueBase"))</f>
        <v>-</v>
      </c>
      <c r="F304" s="5">
        <f t="shared" ca="1" si="79"/>
        <v>38636</v>
      </c>
      <c r="G304" s="5">
        <f t="shared" ca="1" si="80"/>
        <v>45274</v>
      </c>
      <c r="H304" s="5">
        <f t="shared" ca="1" si="81"/>
        <v>45639</v>
      </c>
      <c r="I304" t="str">
        <f t="shared" ca="1" si="82"/>
        <v>080-9570-0149</v>
      </c>
      <c r="J304" t="str">
        <f t="shared" ca="1" si="83"/>
        <v>Song_Pu Lei_45274@outlook.jp.co</v>
      </c>
      <c r="K304" t="str">
        <f t="shared" ca="1" si="84"/>
        <v>普通</v>
      </c>
      <c r="L304" t="str">
        <f t="shared" ca="1" si="85"/>
        <v>有り</v>
      </c>
      <c r="M304" t="str">
        <f t="shared" ca="1" si="86"/>
        <v>5%</v>
      </c>
      <c r="N304" t="str">
        <f t="shared" ca="1" si="87"/>
        <v>有り</v>
      </c>
      <c r="O304">
        <f t="shared" ca="1" si="88"/>
        <v>297</v>
      </c>
      <c r="R304">
        <f t="shared" ca="1" si="89"/>
        <v>23</v>
      </c>
      <c r="S304">
        <f t="shared" ca="1" si="90"/>
        <v>286</v>
      </c>
      <c r="T304">
        <f t="shared" ca="1" si="91"/>
        <v>2003</v>
      </c>
      <c r="U304">
        <f t="shared" ca="1" si="92"/>
        <v>2010</v>
      </c>
      <c r="V304">
        <f t="shared" ca="1" si="93"/>
        <v>12</v>
      </c>
      <c r="W304">
        <f t="shared" ca="1" si="94"/>
        <v>20</v>
      </c>
    </row>
    <row r="305" spans="1:23">
      <c r="A305" t="s">
        <v>1033</v>
      </c>
      <c r="B305" t="str">
        <f t="shared" ca="1" si="76"/>
        <v>何憶友</v>
      </c>
      <c r="C305" t="str">
        <f t="shared" ca="1" si="77"/>
        <v>ﾎｰｧ ｲｰ ﾖｳ</v>
      </c>
      <c r="D305" t="str">
        <f t="shared" ca="1" si="78"/>
        <v>He Yi You</v>
      </c>
      <c r="E305" t="str" cm="1">
        <f t="array" aca="1" ref="E305" ca="1">INDIRECT(ADDRESS(RANDBETWEEN(2,16),7,1,1,"valueBase"))</f>
        <v>女性</v>
      </c>
      <c r="F305" s="5">
        <f t="shared" ca="1" si="79"/>
        <v>23966</v>
      </c>
      <c r="G305" s="5">
        <f t="shared" ca="1" si="80"/>
        <v>34609</v>
      </c>
      <c r="H305" s="5">
        <f t="shared" ca="1" si="81"/>
        <v>35339</v>
      </c>
      <c r="I305" t="str">
        <f t="shared" ca="1" si="82"/>
        <v>080-7658-6781</v>
      </c>
      <c r="J305" t="str">
        <f t="shared" ca="1" si="83"/>
        <v>He_Yi_You_34609@outlook.jp.co</v>
      </c>
      <c r="K305" t="str">
        <f t="shared" ca="1" si="84"/>
        <v>普通</v>
      </c>
      <c r="L305" t="str">
        <f t="shared" ca="1" si="85"/>
        <v>-</v>
      </c>
      <c r="M305" t="str">
        <f t="shared" ca="1" si="86"/>
        <v>-</v>
      </c>
      <c r="N305" t="str">
        <f t="shared" ca="1" si="87"/>
        <v>有り</v>
      </c>
      <c r="O305">
        <f t="shared" ca="1" si="88"/>
        <v>154</v>
      </c>
      <c r="R305">
        <f t="shared" ca="1" si="89"/>
        <v>18</v>
      </c>
      <c r="S305">
        <f t="shared" ca="1" si="90"/>
        <v>219</v>
      </c>
      <c r="T305">
        <f t="shared" ca="1" si="91"/>
        <v>1983</v>
      </c>
      <c r="U305">
        <f t="shared" ca="1" si="92"/>
        <v>1987</v>
      </c>
      <c r="V305">
        <f t="shared" ca="1" si="93"/>
        <v>10</v>
      </c>
      <c r="W305">
        <f t="shared" ca="1" si="94"/>
        <v>29</v>
      </c>
    </row>
    <row r="306" spans="1:23">
      <c r="A306" t="s">
        <v>1034</v>
      </c>
      <c r="B306" t="str">
        <f t="shared" ca="1" si="76"/>
        <v>謝狂宗</v>
      </c>
      <c r="C306" t="str">
        <f t="shared" ca="1" si="77"/>
        <v>ｼｴ ｸﾜｰﾝ ｿﾞｰﾝ</v>
      </c>
      <c r="D306" t="str">
        <f t="shared" ca="1" si="78"/>
        <v>Xie Kuang Zong</v>
      </c>
      <c r="E306" t="str" cm="1">
        <f t="array" aca="1" ref="E306" ca="1">INDIRECT(ADDRESS(RANDBETWEEN(2,16),7,1,1,"valueBase"))</f>
        <v>男性</v>
      </c>
      <c r="F306" s="5">
        <f t="shared" ca="1" si="79"/>
        <v>32543</v>
      </c>
      <c r="G306" s="5">
        <f t="shared" ca="1" si="80"/>
        <v>45131</v>
      </c>
      <c r="H306" s="5">
        <f t="shared" ca="1" si="81"/>
        <v>45861</v>
      </c>
      <c r="I306" t="str">
        <f t="shared" ca="1" si="82"/>
        <v>080-0617-6841</v>
      </c>
      <c r="J306" t="str">
        <f t="shared" ca="1" si="83"/>
        <v>Xie_Kuang_Zong_45131@outlook.jp.co</v>
      </c>
      <c r="K306" t="str">
        <f t="shared" ca="1" si="84"/>
        <v>高級</v>
      </c>
      <c r="L306" t="str">
        <f t="shared" ca="1" si="85"/>
        <v>-</v>
      </c>
      <c r="M306" t="str">
        <f t="shared" ca="1" si="86"/>
        <v>-</v>
      </c>
      <c r="N306" t="str">
        <f t="shared" ca="1" si="87"/>
        <v>有り</v>
      </c>
      <c r="O306">
        <f t="shared" ca="1" si="88"/>
        <v>740</v>
      </c>
      <c r="R306">
        <f t="shared" ca="1" si="89"/>
        <v>25</v>
      </c>
      <c r="S306">
        <f t="shared" ca="1" si="90"/>
        <v>292</v>
      </c>
      <c r="T306">
        <f t="shared" ca="1" si="91"/>
        <v>1988</v>
      </c>
      <c r="U306">
        <f t="shared" ca="1" si="92"/>
        <v>1997</v>
      </c>
      <c r="V306">
        <f t="shared" ca="1" si="93"/>
        <v>11</v>
      </c>
      <c r="W306">
        <f t="shared" ca="1" si="94"/>
        <v>6</v>
      </c>
    </row>
    <row r="307" spans="1:23">
      <c r="A307" t="s">
        <v>1035</v>
      </c>
      <c r="B307" t="str">
        <f t="shared" ca="1" si="76"/>
        <v>劉潤頓</v>
      </c>
      <c r="C307" t="str">
        <f t="shared" ca="1" si="77"/>
        <v>ﾘｳ ｩﾙﾝ ﾄﾞｩﾝ</v>
      </c>
      <c r="D307" t="str">
        <f t="shared" ca="1" si="78"/>
        <v>Liu Run Dun</v>
      </c>
      <c r="E307" t="str" cm="1">
        <f t="array" aca="1" ref="E307" ca="1">INDIRECT(ADDRESS(RANDBETWEEN(2,16),7,1,1,"valueBase"))</f>
        <v>女性</v>
      </c>
      <c r="F307" s="5">
        <f t="shared" ca="1" si="79"/>
        <v>26811</v>
      </c>
      <c r="G307" s="5">
        <f t="shared" ca="1" si="80"/>
        <v>43361</v>
      </c>
      <c r="H307" s="5">
        <f t="shared" ca="1" si="81"/>
        <v>44091</v>
      </c>
      <c r="I307" t="str">
        <f t="shared" ca="1" si="82"/>
        <v>090-6641-6951</v>
      </c>
      <c r="J307" t="str">
        <f t="shared" ca="1" si="83"/>
        <v>Liu_Run Dun_43361@outlook.jp.co</v>
      </c>
      <c r="K307" t="str">
        <f t="shared" ca="1" si="84"/>
        <v>高級</v>
      </c>
      <c r="L307" t="str">
        <f t="shared" ca="1" si="85"/>
        <v>有り</v>
      </c>
      <c r="M307" t="str">
        <f t="shared" ca="1" si="86"/>
        <v>10%</v>
      </c>
      <c r="N307" t="str">
        <f t="shared" ca="1" si="87"/>
        <v>有り</v>
      </c>
      <c r="O307">
        <f t="shared" ca="1" si="88"/>
        <v>995</v>
      </c>
      <c r="R307">
        <f t="shared" ca="1" si="89"/>
        <v>5</v>
      </c>
      <c r="S307">
        <f t="shared" ca="1" si="90"/>
        <v>144</v>
      </c>
      <c r="T307">
        <f t="shared" ca="1" si="91"/>
        <v>1984</v>
      </c>
      <c r="U307">
        <f t="shared" ca="1" si="92"/>
        <v>1987</v>
      </c>
      <c r="V307">
        <f t="shared" ca="1" si="93"/>
        <v>12</v>
      </c>
      <c r="W307">
        <f t="shared" ca="1" si="94"/>
        <v>2</v>
      </c>
    </row>
    <row r="308" spans="1:23">
      <c r="A308" t="s">
        <v>1036</v>
      </c>
      <c r="B308" t="str">
        <f t="shared" ca="1" si="76"/>
        <v>胡貴昂</v>
      </c>
      <c r="C308" t="str">
        <f t="shared" ca="1" si="77"/>
        <v>ﾎｩ ｸﾞｲ ｱｰﾝ</v>
      </c>
      <c r="D308" t="str">
        <f t="shared" ca="1" si="78"/>
        <v>Hu Gui Ang</v>
      </c>
      <c r="E308" t="str" cm="1">
        <f t="array" aca="1" ref="E308" ca="1">INDIRECT(ADDRESS(RANDBETWEEN(2,16),7,1,1,"valueBase"))</f>
        <v>女性</v>
      </c>
      <c r="F308" s="5">
        <f t="shared" ca="1" si="79"/>
        <v>22672</v>
      </c>
      <c r="G308" s="5">
        <f t="shared" ca="1" si="80"/>
        <v>35948</v>
      </c>
      <c r="H308" s="5">
        <f t="shared" ca="1" si="81"/>
        <v>36678</v>
      </c>
      <c r="I308" t="str">
        <f t="shared" ca="1" si="82"/>
        <v>080-5579-3523</v>
      </c>
      <c r="J308" t="str">
        <f t="shared" ca="1" si="83"/>
        <v>Hu_Gui_Ang_35948@outlook.jp.co</v>
      </c>
      <c r="K308" t="str">
        <f t="shared" ca="1" si="84"/>
        <v>普通</v>
      </c>
      <c r="L308" t="str">
        <f t="shared" ca="1" si="85"/>
        <v>-</v>
      </c>
      <c r="M308" t="str">
        <f t="shared" ca="1" si="86"/>
        <v>-</v>
      </c>
      <c r="N308" t="str">
        <f t="shared" ca="1" si="87"/>
        <v>有り</v>
      </c>
      <c r="O308">
        <f t="shared" ca="1" si="88"/>
        <v>411</v>
      </c>
      <c r="R308">
        <f t="shared" ca="1" si="89"/>
        <v>14</v>
      </c>
      <c r="S308">
        <f t="shared" ca="1" si="90"/>
        <v>41</v>
      </c>
      <c r="T308">
        <f t="shared" ca="1" si="91"/>
        <v>2003</v>
      </c>
      <c r="U308">
        <f t="shared" ca="1" si="92"/>
        <v>2014</v>
      </c>
      <c r="V308">
        <f t="shared" ca="1" si="93"/>
        <v>10</v>
      </c>
      <c r="W308">
        <f t="shared" ca="1" si="94"/>
        <v>12</v>
      </c>
    </row>
    <row r="309" spans="1:23">
      <c r="A309" t="s">
        <v>1037</v>
      </c>
      <c r="B309" t="str">
        <f t="shared" ca="1" si="76"/>
        <v>王泉紀</v>
      </c>
      <c r="C309" t="str">
        <f t="shared" ca="1" si="77"/>
        <v>ﾜｰﾝ ﾁｭｴﾝ ｼﾞｰ</v>
      </c>
      <c r="D309" t="str">
        <f t="shared" ca="1" si="78"/>
        <v>Wang Quan Ji</v>
      </c>
      <c r="E309" t="str" cm="1">
        <f t="array" aca="1" ref="E309" ca="1">INDIRECT(ADDRESS(RANDBETWEEN(2,16),7,1,1,"valueBase"))</f>
        <v>男性</v>
      </c>
      <c r="F309" s="5">
        <f t="shared" ca="1" si="79"/>
        <v>36121</v>
      </c>
      <c r="G309" s="5">
        <f t="shared" ca="1" si="80"/>
        <v>44127</v>
      </c>
      <c r="H309" s="5">
        <f t="shared" ca="1" si="81"/>
        <v>44857</v>
      </c>
      <c r="I309" t="str">
        <f t="shared" ca="1" si="82"/>
        <v>090-8619-3056</v>
      </c>
      <c r="J309" t="str">
        <f t="shared" ca="1" si="83"/>
        <v>Wang_Quan_Ji_44127@outlook.jp.co</v>
      </c>
      <c r="K309" t="str">
        <f t="shared" ca="1" si="84"/>
        <v>普通</v>
      </c>
      <c r="L309" t="str">
        <f t="shared" ca="1" si="85"/>
        <v>有り</v>
      </c>
      <c r="M309" t="str">
        <f t="shared" ca="1" si="86"/>
        <v>5%</v>
      </c>
      <c r="N309" t="str">
        <f t="shared" ca="1" si="87"/>
        <v>有り</v>
      </c>
      <c r="O309">
        <f t="shared" ca="1" si="88"/>
        <v>959</v>
      </c>
      <c r="R309">
        <f t="shared" ca="1" si="89"/>
        <v>3</v>
      </c>
      <c r="S309">
        <f t="shared" ca="1" si="90"/>
        <v>190</v>
      </c>
      <c r="T309">
        <f t="shared" ca="1" si="91"/>
        <v>1989</v>
      </c>
      <c r="U309">
        <f t="shared" ca="1" si="92"/>
        <v>1994</v>
      </c>
      <c r="V309">
        <f t="shared" ca="1" si="93"/>
        <v>3</v>
      </c>
      <c r="W309">
        <f t="shared" ca="1" si="94"/>
        <v>30</v>
      </c>
    </row>
    <row r="310" spans="1:23">
      <c r="A310" t="s">
        <v>1038</v>
      </c>
      <c r="B310" t="str">
        <f t="shared" ca="1" si="76"/>
        <v>黃賢界</v>
      </c>
      <c r="C310" t="str">
        <f t="shared" ca="1" si="77"/>
        <v>ﾎﾜｰﾝ ｼｴﾝ ｼﾞｴ</v>
      </c>
      <c r="D310" t="str">
        <f t="shared" ca="1" si="78"/>
        <v>Huang Xian Jie</v>
      </c>
      <c r="E310" t="str" cm="1">
        <f t="array" aca="1" ref="E310" ca="1">INDIRECT(ADDRESS(RANDBETWEEN(2,16),7,1,1,"valueBase"))</f>
        <v>男性</v>
      </c>
      <c r="F310" s="5">
        <f t="shared" ca="1" si="79"/>
        <v>35128</v>
      </c>
      <c r="G310" s="5">
        <f t="shared" ca="1" si="80"/>
        <v>44333</v>
      </c>
      <c r="H310" s="5">
        <f t="shared" ca="1" si="81"/>
        <v>44698</v>
      </c>
      <c r="I310" t="str">
        <f t="shared" ca="1" si="82"/>
        <v>080-0297-2507</v>
      </c>
      <c r="J310" t="str">
        <f t="shared" ca="1" si="83"/>
        <v>Huang_Xian_Jie_44333@outlook.jp.co</v>
      </c>
      <c r="K310" t="str">
        <f t="shared" ca="1" si="84"/>
        <v>普通</v>
      </c>
      <c r="L310" t="str">
        <f t="shared" ca="1" si="85"/>
        <v>有り</v>
      </c>
      <c r="M310" t="str">
        <f t="shared" ca="1" si="86"/>
        <v>5%</v>
      </c>
      <c r="N310" t="str">
        <f t="shared" ca="1" si="87"/>
        <v>有り</v>
      </c>
      <c r="O310">
        <f t="shared" ca="1" si="88"/>
        <v>673</v>
      </c>
      <c r="R310">
        <f t="shared" ca="1" si="89"/>
        <v>9</v>
      </c>
      <c r="S310">
        <f t="shared" ca="1" si="90"/>
        <v>252</v>
      </c>
      <c r="T310">
        <f t="shared" ca="1" si="91"/>
        <v>1974</v>
      </c>
      <c r="U310">
        <f t="shared" ca="1" si="92"/>
        <v>1986</v>
      </c>
      <c r="V310">
        <f t="shared" ca="1" si="93"/>
        <v>4</v>
      </c>
      <c r="W310">
        <f t="shared" ca="1" si="94"/>
        <v>25</v>
      </c>
    </row>
    <row r="311" spans="1:23">
      <c r="A311" t="s">
        <v>1039</v>
      </c>
      <c r="B311" t="str">
        <f t="shared" ca="1" si="76"/>
        <v>林鳳梅</v>
      </c>
      <c r="C311" t="str">
        <f t="shared" ca="1" si="77"/>
        <v>ﾘﾝ ﾌｵﾝ ﾒｲ</v>
      </c>
      <c r="D311" t="str">
        <f t="shared" ca="1" si="78"/>
        <v>Lin Feng Mei</v>
      </c>
      <c r="E311" t="str" cm="1">
        <f t="array" aca="1" ref="E311" ca="1">INDIRECT(ADDRESS(RANDBETWEEN(2,16),7,1,1,"valueBase"))</f>
        <v>男性</v>
      </c>
      <c r="F311" s="5">
        <f t="shared" ca="1" si="79"/>
        <v>23467</v>
      </c>
      <c r="G311" s="5">
        <f t="shared" ca="1" si="80"/>
        <v>39673</v>
      </c>
      <c r="H311" s="5">
        <f t="shared" ca="1" si="81"/>
        <v>40038</v>
      </c>
      <c r="I311" t="str">
        <f t="shared" ca="1" si="82"/>
        <v>090-6171-0211</v>
      </c>
      <c r="J311" t="str">
        <f t="shared" ca="1" si="83"/>
        <v>Lin_Feng_Mei_39673@outlook.jp.co</v>
      </c>
      <c r="K311" t="str">
        <f t="shared" ca="1" si="84"/>
        <v>普通</v>
      </c>
      <c r="L311" t="str">
        <f t="shared" ca="1" si="85"/>
        <v>有り</v>
      </c>
      <c r="M311" t="str">
        <f t="shared" ca="1" si="86"/>
        <v>5%</v>
      </c>
      <c r="N311" t="str">
        <f t="shared" ca="1" si="87"/>
        <v>有り</v>
      </c>
      <c r="O311">
        <f t="shared" ca="1" si="88"/>
        <v>765</v>
      </c>
      <c r="R311">
        <f t="shared" ca="1" si="89"/>
        <v>17</v>
      </c>
      <c r="S311">
        <f t="shared" ca="1" si="90"/>
        <v>75</v>
      </c>
      <c r="T311">
        <f t="shared" ca="1" si="91"/>
        <v>2003</v>
      </c>
      <c r="U311">
        <f t="shared" ca="1" si="92"/>
        <v>2004</v>
      </c>
      <c r="V311">
        <f t="shared" ca="1" si="93"/>
        <v>3</v>
      </c>
      <c r="W311">
        <f t="shared" ca="1" si="94"/>
        <v>15</v>
      </c>
    </row>
    <row r="312" spans="1:23">
      <c r="A312" t="s">
        <v>1040</v>
      </c>
      <c r="B312" t="str">
        <f t="shared" ca="1" si="76"/>
        <v>于緣杭</v>
      </c>
      <c r="C312" t="str">
        <f t="shared" ca="1" si="77"/>
        <v>ﾕｲ ﾕｴﾝ ﾊｰﾝ</v>
      </c>
      <c r="D312" t="str">
        <f t="shared" ca="1" si="78"/>
        <v>Yu Yuan Hang</v>
      </c>
      <c r="E312" t="str" cm="1">
        <f t="array" aca="1" ref="E312" ca="1">INDIRECT(ADDRESS(RANDBETWEEN(2,16),7,1,1,"valueBase"))</f>
        <v>女性</v>
      </c>
      <c r="F312" s="5">
        <f t="shared" ca="1" si="79"/>
        <v>34969</v>
      </c>
      <c r="G312" s="5">
        <f t="shared" ca="1" si="80"/>
        <v>44222</v>
      </c>
      <c r="H312" s="5">
        <f t="shared" ca="1" si="81"/>
        <v>44952</v>
      </c>
      <c r="I312" t="str">
        <f t="shared" ca="1" si="82"/>
        <v>090-3204-6329</v>
      </c>
      <c r="J312" t="str">
        <f t="shared" ca="1" si="83"/>
        <v>Yu_Yuan_Hang_44222@outlook.jp.co</v>
      </c>
      <c r="K312" t="str">
        <f t="shared" ca="1" si="84"/>
        <v>普通</v>
      </c>
      <c r="L312" t="str">
        <f t="shared" ca="1" si="85"/>
        <v>有り</v>
      </c>
      <c r="M312" t="str">
        <f t="shared" ca="1" si="86"/>
        <v>5%</v>
      </c>
      <c r="N312" t="str">
        <f t="shared" ca="1" si="87"/>
        <v>有り</v>
      </c>
      <c r="O312">
        <f t="shared" ca="1" si="88"/>
        <v>122</v>
      </c>
      <c r="R312">
        <f t="shared" ca="1" si="89"/>
        <v>29</v>
      </c>
      <c r="S312">
        <f t="shared" ca="1" si="90"/>
        <v>311</v>
      </c>
      <c r="T312">
        <f t="shared" ca="1" si="91"/>
        <v>1986</v>
      </c>
      <c r="U312">
        <f t="shared" ca="1" si="92"/>
        <v>1997</v>
      </c>
      <c r="V312">
        <f t="shared" ca="1" si="93"/>
        <v>1</v>
      </c>
      <c r="W312">
        <f t="shared" ca="1" si="94"/>
        <v>11</v>
      </c>
    </row>
    <row r="313" spans="1:23">
      <c r="A313" t="s">
        <v>1041</v>
      </c>
      <c r="B313" t="str">
        <f t="shared" ca="1" si="76"/>
        <v>黃系迅</v>
      </c>
      <c r="C313" t="str">
        <f t="shared" ca="1" si="77"/>
        <v>ﾎﾜｰﾝ ｼｲ ｼｭｲﾝ</v>
      </c>
      <c r="D313" t="str">
        <f t="shared" ca="1" si="78"/>
        <v>Huang Xi Xun</v>
      </c>
      <c r="E313" t="str" cm="1">
        <f t="array" aca="1" ref="E313" ca="1">INDIRECT(ADDRESS(RANDBETWEEN(2,16),7,1,1,"valueBase"))</f>
        <v>女性</v>
      </c>
      <c r="F313" s="5">
        <f t="shared" ca="1" si="79"/>
        <v>33146</v>
      </c>
      <c r="G313" s="5">
        <f t="shared" ca="1" si="80"/>
        <v>41558</v>
      </c>
      <c r="H313" s="5">
        <f t="shared" ca="1" si="81"/>
        <v>42288</v>
      </c>
      <c r="I313" t="str">
        <f t="shared" ca="1" si="82"/>
        <v>090-3800-4884</v>
      </c>
      <c r="J313" t="str">
        <f t="shared" ca="1" si="83"/>
        <v>Huang_Xi Xun_41558@outlook.jp.co</v>
      </c>
      <c r="K313" t="str">
        <f t="shared" ca="1" si="84"/>
        <v>高級</v>
      </c>
      <c r="L313" t="str">
        <f t="shared" ca="1" si="85"/>
        <v>有り</v>
      </c>
      <c r="M313" t="str">
        <f t="shared" ca="1" si="86"/>
        <v>10%</v>
      </c>
      <c r="N313" t="str">
        <f t="shared" ca="1" si="87"/>
        <v>有り</v>
      </c>
      <c r="O313">
        <f t="shared" ca="1" si="88"/>
        <v>0</v>
      </c>
      <c r="R313">
        <f t="shared" ca="1" si="89"/>
        <v>9</v>
      </c>
      <c r="S313">
        <f t="shared" ca="1" si="90"/>
        <v>284</v>
      </c>
      <c r="T313">
        <f t="shared" ca="1" si="91"/>
        <v>1988</v>
      </c>
      <c r="U313">
        <f t="shared" ca="1" si="92"/>
        <v>1998</v>
      </c>
      <c r="V313">
        <f t="shared" ca="1" si="93"/>
        <v>4</v>
      </c>
      <c r="W313">
        <f t="shared" ca="1" si="94"/>
        <v>29</v>
      </c>
    </row>
    <row r="314" spans="1:23">
      <c r="A314" t="s">
        <v>1042</v>
      </c>
      <c r="B314" t="str">
        <f t="shared" ca="1" si="76"/>
        <v>高泓索</v>
      </c>
      <c r="C314" t="str">
        <f t="shared" ca="1" si="77"/>
        <v>ｶﾞｵ ﾎｰﾝ ｽｩｵ</v>
      </c>
      <c r="D314" t="str">
        <f t="shared" ca="1" si="78"/>
        <v>Gao Hong Suo</v>
      </c>
      <c r="E314" t="str" cm="1">
        <f t="array" aca="1" ref="E314" ca="1">INDIRECT(ADDRESS(RANDBETWEEN(2,16),7,1,1,"valueBase"))</f>
        <v>男性</v>
      </c>
      <c r="F314" s="5">
        <f t="shared" ca="1" si="79"/>
        <v>29606</v>
      </c>
      <c r="G314" s="5">
        <f t="shared" ca="1" si="80"/>
        <v>39593</v>
      </c>
      <c r="H314" s="5">
        <f t="shared" ca="1" si="81"/>
        <v>40323</v>
      </c>
      <c r="I314" t="str">
        <f t="shared" ca="1" si="82"/>
        <v>080-8587-9719</v>
      </c>
      <c r="J314" t="str">
        <f t="shared" ca="1" si="83"/>
        <v>Gao_Hong_Suo_39593@outlook.jp.co</v>
      </c>
      <c r="K314" t="str">
        <f t="shared" ca="1" si="84"/>
        <v>高級</v>
      </c>
      <c r="L314" t="str">
        <f t="shared" ca="1" si="85"/>
        <v>有り</v>
      </c>
      <c r="M314" t="str">
        <f t="shared" ca="1" si="86"/>
        <v>10%</v>
      </c>
      <c r="N314" t="str">
        <f t="shared" ca="1" si="87"/>
        <v>有り</v>
      </c>
      <c r="O314">
        <f t="shared" ca="1" si="88"/>
        <v>544</v>
      </c>
      <c r="R314">
        <f t="shared" ca="1" si="89"/>
        <v>16</v>
      </c>
      <c r="S314">
        <f t="shared" ca="1" si="90"/>
        <v>328</v>
      </c>
      <c r="T314">
        <f t="shared" ca="1" si="91"/>
        <v>1986</v>
      </c>
      <c r="U314">
        <f t="shared" ca="1" si="92"/>
        <v>1993</v>
      </c>
      <c r="V314">
        <f t="shared" ca="1" si="93"/>
        <v>1</v>
      </c>
      <c r="W314">
        <f t="shared" ca="1" si="94"/>
        <v>24</v>
      </c>
    </row>
    <row r="315" spans="1:23">
      <c r="A315" t="s">
        <v>1043</v>
      </c>
      <c r="B315" t="str">
        <f t="shared" ca="1" si="76"/>
        <v>吳軒荒</v>
      </c>
      <c r="C315" t="str">
        <f t="shared" ca="1" si="77"/>
        <v>ｳｰ ｼｭｴﾝ ﾎﾜｰﾝ</v>
      </c>
      <c r="D315" t="str">
        <f t="shared" ca="1" si="78"/>
        <v>Wu Xuan Huang</v>
      </c>
      <c r="E315" t="str" cm="1">
        <f t="array" aca="1" ref="E315" ca="1">INDIRECT(ADDRESS(RANDBETWEEN(2,16),7,1,1,"valueBase"))</f>
        <v>男性</v>
      </c>
      <c r="F315" s="5">
        <f t="shared" ca="1" si="79"/>
        <v>36520</v>
      </c>
      <c r="G315" s="5">
        <f t="shared" ca="1" si="80"/>
        <v>44624</v>
      </c>
      <c r="H315" s="5">
        <f t="shared" ca="1" si="81"/>
        <v>45354</v>
      </c>
      <c r="I315" t="str">
        <f t="shared" ca="1" si="82"/>
        <v>080-6564-3048</v>
      </c>
      <c r="J315" t="str">
        <f t="shared" ca="1" si="83"/>
        <v>Wu_Xuan_Huang_44624@outlook.jp.co</v>
      </c>
      <c r="K315" t="str">
        <f t="shared" ca="1" si="84"/>
        <v>高級</v>
      </c>
      <c r="L315" t="str">
        <f t="shared" ca="1" si="85"/>
        <v>有り</v>
      </c>
      <c r="M315" t="str">
        <f t="shared" ca="1" si="86"/>
        <v>10%</v>
      </c>
      <c r="N315" t="str">
        <f t="shared" ca="1" si="87"/>
        <v>有り</v>
      </c>
      <c r="O315">
        <f t="shared" ca="1" si="88"/>
        <v>248</v>
      </c>
      <c r="R315">
        <f t="shared" ca="1" si="89"/>
        <v>11</v>
      </c>
      <c r="S315">
        <f t="shared" ca="1" si="90"/>
        <v>86</v>
      </c>
      <c r="T315">
        <f t="shared" ca="1" si="91"/>
        <v>2009</v>
      </c>
      <c r="U315">
        <f t="shared" ca="1" si="92"/>
        <v>2016</v>
      </c>
      <c r="V315">
        <f t="shared" ca="1" si="93"/>
        <v>6</v>
      </c>
      <c r="W315">
        <f t="shared" ca="1" si="94"/>
        <v>8</v>
      </c>
    </row>
    <row r="316" spans="1:23">
      <c r="A316" t="s">
        <v>1044</v>
      </c>
      <c r="B316" t="str">
        <f t="shared" ca="1" si="76"/>
        <v>宋美貿</v>
      </c>
      <c r="C316" t="str">
        <f t="shared" ca="1" si="77"/>
        <v>ｿｰﾝ ﾒｲ ﾏｵ</v>
      </c>
      <c r="D316" t="str">
        <f t="shared" ca="1" si="78"/>
        <v>Song Mei Mao</v>
      </c>
      <c r="E316" t="str" cm="1">
        <f t="array" aca="1" ref="E316" ca="1">INDIRECT(ADDRESS(RANDBETWEEN(2,16),7,1,1,"valueBase"))</f>
        <v>女性</v>
      </c>
      <c r="F316" s="5">
        <f t="shared" ca="1" si="79"/>
        <v>23101</v>
      </c>
      <c r="G316" s="5">
        <f t="shared" ca="1" si="80"/>
        <v>45143</v>
      </c>
      <c r="H316" s="5">
        <f t="shared" ca="1" si="81"/>
        <v>45873</v>
      </c>
      <c r="I316" t="str">
        <f t="shared" ca="1" si="82"/>
        <v>090-6539-1994</v>
      </c>
      <c r="J316" t="str">
        <f t="shared" ca="1" si="83"/>
        <v>Song_Mei_Mao_45143@outlook.jp.co</v>
      </c>
      <c r="K316" t="str">
        <f t="shared" ca="1" si="84"/>
        <v>高級</v>
      </c>
      <c r="L316" t="str">
        <f t="shared" ca="1" si="85"/>
        <v>有り</v>
      </c>
      <c r="M316" t="str">
        <f t="shared" ca="1" si="86"/>
        <v>10%</v>
      </c>
      <c r="N316" t="str">
        <f t="shared" ca="1" si="87"/>
        <v>有り</v>
      </c>
      <c r="O316">
        <f t="shared" ca="1" si="88"/>
        <v>238</v>
      </c>
      <c r="R316">
        <f t="shared" ca="1" si="89"/>
        <v>23</v>
      </c>
      <c r="S316">
        <f t="shared" ca="1" si="90"/>
        <v>89</v>
      </c>
      <c r="T316">
        <f t="shared" ca="1" si="91"/>
        <v>1993</v>
      </c>
      <c r="U316">
        <f t="shared" ca="1" si="92"/>
        <v>1994</v>
      </c>
      <c r="V316">
        <f t="shared" ca="1" si="93"/>
        <v>5</v>
      </c>
      <c r="W316">
        <f t="shared" ca="1" si="94"/>
        <v>12</v>
      </c>
    </row>
    <row r="317" spans="1:23">
      <c r="A317" t="s">
        <v>1045</v>
      </c>
      <c r="B317" t="str">
        <f t="shared" ca="1" si="76"/>
        <v>羅茂韋</v>
      </c>
      <c r="C317" t="str">
        <f t="shared" ca="1" si="77"/>
        <v>ﾙｵ ﾏｵ ｳｴｲ</v>
      </c>
      <c r="D317" t="str">
        <f t="shared" ca="1" si="78"/>
        <v>Luo Mao Wei</v>
      </c>
      <c r="E317" t="str" cm="1">
        <f t="array" aca="1" ref="E317" ca="1">INDIRECT(ADDRESS(RANDBETWEEN(2,16),7,1,1,"valueBase"))</f>
        <v>男性</v>
      </c>
      <c r="F317" s="5">
        <f t="shared" ca="1" si="79"/>
        <v>38812</v>
      </c>
      <c r="G317" s="5">
        <f t="shared" ca="1" si="80"/>
        <v>45450</v>
      </c>
      <c r="H317" s="5">
        <f t="shared" ca="1" si="81"/>
        <v>45815</v>
      </c>
      <c r="I317" t="str">
        <f t="shared" ca="1" si="82"/>
        <v>080-4611-3438</v>
      </c>
      <c r="J317" t="str">
        <f t="shared" ca="1" si="83"/>
        <v>Luo_Mao_Wei_45450@outlook.jp.co</v>
      </c>
      <c r="K317" t="str">
        <f t="shared" ca="1" si="84"/>
        <v>高級</v>
      </c>
      <c r="L317" t="str">
        <f t="shared" ca="1" si="85"/>
        <v>有り</v>
      </c>
      <c r="M317" t="str">
        <f t="shared" ca="1" si="86"/>
        <v>10%</v>
      </c>
      <c r="N317" t="str">
        <f t="shared" ca="1" si="87"/>
        <v>有り</v>
      </c>
      <c r="O317">
        <f t="shared" ca="1" si="88"/>
        <v>289</v>
      </c>
      <c r="R317">
        <f t="shared" ca="1" si="89"/>
        <v>21</v>
      </c>
      <c r="S317">
        <f t="shared" ca="1" si="90"/>
        <v>152</v>
      </c>
      <c r="T317">
        <f t="shared" ca="1" si="91"/>
        <v>1976</v>
      </c>
      <c r="U317">
        <f t="shared" ca="1" si="92"/>
        <v>1988</v>
      </c>
      <c r="V317">
        <f t="shared" ca="1" si="93"/>
        <v>10</v>
      </c>
      <c r="W317">
        <f t="shared" ca="1" si="94"/>
        <v>18</v>
      </c>
    </row>
    <row r="318" spans="1:23">
      <c r="A318" t="s">
        <v>1046</v>
      </c>
      <c r="B318" t="str">
        <f t="shared" ca="1" si="76"/>
        <v>楊木學</v>
      </c>
      <c r="C318" t="str">
        <f t="shared" ca="1" si="77"/>
        <v>ﾔｰﾝ ﾑｩ ｼｭｴ</v>
      </c>
      <c r="D318" t="str">
        <f t="shared" ca="1" si="78"/>
        <v>Yang Mu Xue</v>
      </c>
      <c r="E318" t="str" cm="1">
        <f t="array" aca="1" ref="E318" ca="1">INDIRECT(ADDRESS(RANDBETWEEN(2,16),7,1,1,"valueBase"))</f>
        <v>女性</v>
      </c>
      <c r="F318" s="5">
        <f t="shared" ca="1" si="79"/>
        <v>34035</v>
      </c>
      <c r="G318" s="5">
        <f t="shared" ca="1" si="80"/>
        <v>41550</v>
      </c>
      <c r="H318" s="5">
        <f t="shared" ca="1" si="81"/>
        <v>41915</v>
      </c>
      <c r="I318" t="str">
        <f t="shared" ca="1" si="82"/>
        <v>090-5947-7534</v>
      </c>
      <c r="J318" t="str">
        <f t="shared" ca="1" si="83"/>
        <v>Yang_Mu_Xue_41550@outlook.jp.co</v>
      </c>
      <c r="K318" t="str">
        <f t="shared" ca="1" si="84"/>
        <v>普通</v>
      </c>
      <c r="L318" t="str">
        <f t="shared" ca="1" si="85"/>
        <v>有り</v>
      </c>
      <c r="M318" t="str">
        <f t="shared" ca="1" si="86"/>
        <v>5%</v>
      </c>
      <c r="N318" t="str">
        <f t="shared" ca="1" si="87"/>
        <v>-</v>
      </c>
      <c r="O318" t="str">
        <f t="shared" ca="1" si="88"/>
        <v>-</v>
      </c>
      <c r="R318">
        <f t="shared" ca="1" si="89"/>
        <v>7</v>
      </c>
      <c r="S318">
        <f t="shared" ca="1" si="90"/>
        <v>57</v>
      </c>
      <c r="T318">
        <f t="shared" ca="1" si="91"/>
        <v>1983</v>
      </c>
      <c r="U318">
        <f t="shared" ca="1" si="92"/>
        <v>1987</v>
      </c>
      <c r="V318">
        <f t="shared" ca="1" si="93"/>
        <v>9</v>
      </c>
      <c r="W318">
        <f t="shared" ca="1" si="94"/>
        <v>4</v>
      </c>
    </row>
    <row r="319" spans="1:23">
      <c r="A319" t="s">
        <v>1047</v>
      </c>
      <c r="B319" t="str">
        <f t="shared" ca="1" si="76"/>
        <v>何林會</v>
      </c>
      <c r="C319" t="str">
        <f t="shared" ca="1" si="77"/>
        <v>ﾎｰｧ ﾘﾝ ﾎｩｲ</v>
      </c>
      <c r="D319" t="str">
        <f t="shared" ca="1" si="78"/>
        <v>He Lin Hui</v>
      </c>
      <c r="E319" t="str" cm="1">
        <f t="array" aca="1" ref="E319" ca="1">INDIRECT(ADDRESS(RANDBETWEEN(2,16),7,1,1,"valueBase"))</f>
        <v>女性</v>
      </c>
      <c r="F319" s="5">
        <f t="shared" ca="1" si="79"/>
        <v>37784</v>
      </c>
      <c r="G319" s="5">
        <f t="shared" ca="1" si="80"/>
        <v>45204</v>
      </c>
      <c r="H319" s="5">
        <f t="shared" ca="1" si="81"/>
        <v>45934</v>
      </c>
      <c r="I319" t="str">
        <f t="shared" ca="1" si="82"/>
        <v>090-0749-4924</v>
      </c>
      <c r="J319" t="str">
        <f t="shared" ca="1" si="83"/>
        <v>He_Lin Hui_45204@outlook.jp.co</v>
      </c>
      <c r="K319" t="str">
        <f t="shared" ca="1" si="84"/>
        <v>普通</v>
      </c>
      <c r="L319" t="str">
        <f t="shared" ca="1" si="85"/>
        <v>有り</v>
      </c>
      <c r="M319" t="str">
        <f t="shared" ca="1" si="86"/>
        <v>5%</v>
      </c>
      <c r="N319" t="str">
        <f t="shared" ca="1" si="87"/>
        <v>有り</v>
      </c>
      <c r="O319">
        <f t="shared" ca="1" si="88"/>
        <v>476</v>
      </c>
      <c r="R319">
        <f t="shared" ca="1" si="89"/>
        <v>18</v>
      </c>
      <c r="S319">
        <f t="shared" ca="1" si="90"/>
        <v>250</v>
      </c>
      <c r="T319">
        <f t="shared" ca="1" si="91"/>
        <v>1976</v>
      </c>
      <c r="U319">
        <f t="shared" ca="1" si="92"/>
        <v>1977</v>
      </c>
      <c r="V319">
        <f t="shared" ca="1" si="93"/>
        <v>8</v>
      </c>
      <c r="W319">
        <f t="shared" ca="1" si="94"/>
        <v>1</v>
      </c>
    </row>
    <row r="320" spans="1:23">
      <c r="A320" t="s">
        <v>1048</v>
      </c>
      <c r="B320" t="str">
        <f t="shared" ca="1" si="76"/>
        <v>梁心禹</v>
      </c>
      <c r="C320" t="str">
        <f t="shared" ca="1" si="77"/>
        <v>ﾘﾔｰﾝ ｼﾝ ﾕｲ</v>
      </c>
      <c r="D320" t="str">
        <f t="shared" ca="1" si="78"/>
        <v>Liang Xin Yu</v>
      </c>
      <c r="E320" t="str" cm="1">
        <f t="array" aca="1" ref="E320" ca="1">INDIRECT(ADDRESS(RANDBETWEEN(2,16),7,1,1,"valueBase"))</f>
        <v>女性</v>
      </c>
      <c r="F320" s="5">
        <f t="shared" ca="1" si="79"/>
        <v>37335</v>
      </c>
      <c r="G320" s="5">
        <f t="shared" ca="1" si="80"/>
        <v>44973</v>
      </c>
      <c r="H320" s="5">
        <f t="shared" ca="1" si="81"/>
        <v>46068</v>
      </c>
      <c r="I320" t="str">
        <f t="shared" ca="1" si="82"/>
        <v>080-7192-4906</v>
      </c>
      <c r="J320" t="str">
        <f t="shared" ca="1" si="83"/>
        <v>Liang_Xin_Yu_44973@outlook.jp.co</v>
      </c>
      <c r="K320" t="str">
        <f t="shared" ca="1" si="84"/>
        <v>普通</v>
      </c>
      <c r="L320" t="str">
        <f t="shared" ca="1" si="85"/>
        <v>有り</v>
      </c>
      <c r="M320" t="str">
        <f t="shared" ca="1" si="86"/>
        <v>5%</v>
      </c>
      <c r="N320" t="str">
        <f t="shared" ca="1" si="87"/>
        <v>有り</v>
      </c>
      <c r="O320">
        <f t="shared" ca="1" si="88"/>
        <v>50</v>
      </c>
      <c r="R320">
        <f t="shared" ca="1" si="89"/>
        <v>22</v>
      </c>
      <c r="S320">
        <f t="shared" ca="1" si="90"/>
        <v>196</v>
      </c>
      <c r="T320">
        <f t="shared" ca="1" si="91"/>
        <v>2010</v>
      </c>
      <c r="U320">
        <f t="shared" ca="1" si="92"/>
        <v>2020</v>
      </c>
      <c r="V320">
        <f t="shared" ca="1" si="93"/>
        <v>6</v>
      </c>
      <c r="W320">
        <f t="shared" ca="1" si="94"/>
        <v>13</v>
      </c>
    </row>
    <row r="321" spans="1:23">
      <c r="A321" t="s">
        <v>1049</v>
      </c>
      <c r="B321" t="str">
        <f t="shared" ca="1" si="76"/>
        <v>徐驕健</v>
      </c>
      <c r="C321" t="str">
        <f t="shared" ca="1" si="77"/>
        <v>ｼｭｲ ｼﾞｱｵ ｼﾞｴﾝ</v>
      </c>
      <c r="D321" t="str">
        <f t="shared" ca="1" si="78"/>
        <v>Xu Jiao Jian</v>
      </c>
      <c r="E321" t="str" cm="1">
        <f t="array" aca="1" ref="E321" ca="1">INDIRECT(ADDRESS(RANDBETWEEN(2,16),7,1,1,"valueBase"))</f>
        <v>男性</v>
      </c>
      <c r="F321" s="5">
        <f t="shared" ca="1" si="79"/>
        <v>27358</v>
      </c>
      <c r="G321" s="5">
        <f t="shared" ca="1" si="80"/>
        <v>34601</v>
      </c>
      <c r="H321" s="5">
        <f t="shared" ca="1" si="81"/>
        <v>34966</v>
      </c>
      <c r="I321" t="str">
        <f t="shared" ca="1" si="82"/>
        <v>080-9947-2181</v>
      </c>
      <c r="J321" t="str">
        <f t="shared" ca="1" si="83"/>
        <v>Xu_Jiao_Jian_34601@outlook.jp.co</v>
      </c>
      <c r="K321" t="str">
        <f t="shared" ca="1" si="84"/>
        <v>普通</v>
      </c>
      <c r="L321" t="str">
        <f t="shared" ca="1" si="85"/>
        <v>有り</v>
      </c>
      <c r="M321" t="str">
        <f t="shared" ca="1" si="86"/>
        <v>5%</v>
      </c>
      <c r="N321" t="str">
        <f t="shared" ca="1" si="87"/>
        <v>-</v>
      </c>
      <c r="O321" t="str">
        <f t="shared" ca="1" si="88"/>
        <v>-</v>
      </c>
      <c r="R321">
        <f t="shared" ca="1" si="89"/>
        <v>12</v>
      </c>
      <c r="S321">
        <f t="shared" ca="1" si="90"/>
        <v>72</v>
      </c>
      <c r="T321">
        <f t="shared" ca="1" si="91"/>
        <v>2006</v>
      </c>
      <c r="U321">
        <f t="shared" ca="1" si="92"/>
        <v>2013</v>
      </c>
      <c r="V321">
        <f t="shared" ca="1" si="93"/>
        <v>6</v>
      </c>
      <c r="W321">
        <f t="shared" ca="1" si="94"/>
        <v>17</v>
      </c>
    </row>
    <row r="322" spans="1:23">
      <c r="A322" t="s">
        <v>1050</v>
      </c>
      <c r="B322" t="str">
        <f t="shared" ca="1" si="76"/>
        <v>郭寧金</v>
      </c>
      <c r="C322" t="str">
        <f t="shared" ca="1" si="77"/>
        <v>ｸﾞｵ ﾆｰﾝ ｼﾞﾝ</v>
      </c>
      <c r="D322" t="str">
        <f t="shared" ca="1" si="78"/>
        <v>Guo Ning Jin</v>
      </c>
      <c r="E322" t="str" cm="1">
        <f t="array" aca="1" ref="E322" ca="1">INDIRECT(ADDRESS(RANDBETWEEN(2,16),7,1,1,"valueBase"))</f>
        <v>男性</v>
      </c>
      <c r="F322" s="5">
        <f t="shared" ca="1" si="79"/>
        <v>30721</v>
      </c>
      <c r="G322" s="5">
        <f t="shared" ca="1" si="80"/>
        <v>39534</v>
      </c>
      <c r="H322" s="5">
        <f t="shared" ca="1" si="81"/>
        <v>40629</v>
      </c>
      <c r="I322" t="str">
        <f t="shared" ca="1" si="82"/>
        <v>080-4353-7856</v>
      </c>
      <c r="J322" t="str">
        <f t="shared" ca="1" si="83"/>
        <v>Guo_Ning_Jin_39534@outlook.jp.co</v>
      </c>
      <c r="K322" t="str">
        <f t="shared" ca="1" si="84"/>
        <v>普通</v>
      </c>
      <c r="L322" t="str">
        <f t="shared" ca="1" si="85"/>
        <v>有り</v>
      </c>
      <c r="M322" t="str">
        <f t="shared" ca="1" si="86"/>
        <v>5%</v>
      </c>
      <c r="N322" t="str">
        <f t="shared" ca="1" si="87"/>
        <v>有り</v>
      </c>
      <c r="O322">
        <f t="shared" ca="1" si="88"/>
        <v>145</v>
      </c>
      <c r="R322">
        <f t="shared" ca="1" si="89"/>
        <v>19</v>
      </c>
      <c r="S322">
        <f t="shared" ca="1" si="90"/>
        <v>306</v>
      </c>
      <c r="T322">
        <f t="shared" ca="1" si="91"/>
        <v>2006</v>
      </c>
      <c r="U322">
        <f t="shared" ca="1" si="92"/>
        <v>2013</v>
      </c>
      <c r="V322">
        <f t="shared" ca="1" si="93"/>
        <v>4</v>
      </c>
      <c r="W322">
        <f t="shared" ca="1" si="94"/>
        <v>8</v>
      </c>
    </row>
    <row r="323" spans="1:23">
      <c r="A323" t="s">
        <v>1051</v>
      </c>
      <c r="B323" t="str">
        <f t="shared" ref="B323:B386" ca="1" si="95">_xlfn.CONCAT(INDIRECT(ADDRESS(R323,1,1,1,"valueBase")),INDIRECT(ADDRESS(S323,4,1,1,"valueBase")))</f>
        <v>徐騰瑞</v>
      </c>
      <c r="C323" t="str">
        <f t="shared" ref="C323:C386" ca="1" si="96">_xlfn.CONCAT(INDIRECT(ADDRESS(R323,2,1,1,"valueBase")),INDIRECT(ADDRESS(S323,5,1,1,"valueBase")))</f>
        <v>ｼｭｲ ﾄｩｵﾝ ｩﾙｲ</v>
      </c>
      <c r="D323" t="str">
        <f t="shared" ref="D323:D386" ca="1" si="97">_xlfn.CONCAT(INDIRECT(ADDRESS(R323,3,1,1,"valueBase")),INDIRECT(ADDRESS(S323,6,1,1,"valueBase")))</f>
        <v>Xu Teng Rui</v>
      </c>
      <c r="E323" t="str" cm="1">
        <f t="array" aca="1" ref="E323" ca="1">INDIRECT(ADDRESS(RANDBETWEEN(2,16),7,1,1,"valueBase"))</f>
        <v>男性</v>
      </c>
      <c r="F323" s="5">
        <f t="shared" ref="F323:F386" ca="1" si="98">RANDBETWEEN(21916,NOW() - 6574)</f>
        <v>29242</v>
      </c>
      <c r="G323" s="5">
        <f t="shared" ref="G323:G386" ca="1" si="99">RANDBETWEEN(F323 + 6574,NOW())</f>
        <v>42224</v>
      </c>
      <c r="H323" s="5">
        <f t="shared" ref="H323:H386" ca="1" si="100">G323 + RANDBETWEEN(1,3) * 365</f>
        <v>42589</v>
      </c>
      <c r="I323" t="str">
        <f t="shared" ref="I323:I386" ca="1" si="101">CONCATENATE("0",RANDBETWEEN(8,9),"0","-",RANDBETWEEN(0,9),RANDBETWEEN(0,9),RANDBETWEEN(0,9),RANDBETWEEN(0,9),"-",RANDBETWEEN(0,9),RANDBETWEEN(0,9),RANDBETWEEN(0,9),RANDBETWEEN(0,9))</f>
        <v>090-6542-3048</v>
      </c>
      <c r="J323" t="str">
        <f t="shared" ref="J323:J386" ca="1" si="102">CONCATENATE(SUBSTITUTE(D323," ","_"),"_",SUBSTITUTE(G323,"/","_"),"@outlook.jp.co")</f>
        <v>Xu_Teng_Rui_42224@outlook.jp.co</v>
      </c>
      <c r="K323" t="str">
        <f t="shared" ref="K323:K386" ca="1" si="103">IF(RANDBETWEEN(1,10) &gt; 6,"高級","普通")</f>
        <v>普通</v>
      </c>
      <c r="L323" t="str">
        <f t="shared" ref="L323:L386" ca="1" si="104">IF(RANDBETWEEN(1,10) &gt; 8,"-","有り")</f>
        <v>有り</v>
      </c>
      <c r="M323" t="str">
        <f t="shared" ref="M323:M386" ca="1" si="105">IF(L323 = "有り",IF(K323 = "高級","10%","5%"),"-")</f>
        <v>5%</v>
      </c>
      <c r="N323" t="str">
        <f t="shared" ref="N323:N386" ca="1" si="106">IF(RANDBETWEEN(1,10) &gt; 8,"-","有り")</f>
        <v>有り</v>
      </c>
      <c r="O323">
        <f t="shared" ref="O323:O386" ca="1" si="107">IF(N323 = "有り",RANDBETWEEN(0,1000),"-")</f>
        <v>329</v>
      </c>
      <c r="R323">
        <f t="shared" ref="R323:R386" ca="1" si="108">RANDBETWEEN(2,29)</f>
        <v>12</v>
      </c>
      <c r="S323">
        <f t="shared" ref="S323:S386" ca="1" si="109">RANDBETWEEN(2,331)</f>
        <v>197</v>
      </c>
      <c r="T323">
        <f t="shared" ref="T323:T386" ca="1" si="110">RANDBETWEEN(1970,2010)</f>
        <v>1984</v>
      </c>
      <c r="U323">
        <f t="shared" ref="U323:U386" ca="1" si="111">T323 + RANDBETWEEN(1,12)</f>
        <v>1993</v>
      </c>
      <c r="V323">
        <f t="shared" ref="V323:V386" ca="1" si="112">RANDBETWEEN(1,12)</f>
        <v>11</v>
      </c>
      <c r="W323">
        <f t="shared" ref="W323:W386" ca="1" si="113">IF(V323=2,RANDBETWEEN(1,28),IF(V323=4,RANDBETWEEN(1,30),IF(V323=6,RANDBETWEEN(1,30),IF(V323=9,RANDBETWEEN(1,30),IF(V323=11,RANDBETWEEN(1,30),RANDBETWEEN(1,31))))))</f>
        <v>3</v>
      </c>
    </row>
    <row r="324" spans="1:23">
      <c r="A324" t="s">
        <v>1052</v>
      </c>
      <c r="B324" t="str">
        <f t="shared" ca="1" si="95"/>
        <v>陳濤泉</v>
      </c>
      <c r="C324" t="str">
        <f t="shared" ca="1" si="96"/>
        <v>ﾁｪﾝ ﾀｵ ﾁｭｴﾝ</v>
      </c>
      <c r="D324" t="str">
        <f t="shared" ca="1" si="97"/>
        <v>Chen Tao Quan</v>
      </c>
      <c r="E324" t="str" cm="1">
        <f t="array" aca="1" ref="E324" ca="1">INDIRECT(ADDRESS(RANDBETWEEN(2,16),7,1,1,"valueBase"))</f>
        <v>女性</v>
      </c>
      <c r="F324" s="5">
        <f t="shared" ca="1" si="98"/>
        <v>30887</v>
      </c>
      <c r="G324" s="5">
        <f t="shared" ca="1" si="99"/>
        <v>41414</v>
      </c>
      <c r="H324" s="5">
        <f t="shared" ca="1" si="100"/>
        <v>42509</v>
      </c>
      <c r="I324" t="str">
        <f t="shared" ca="1" si="101"/>
        <v>090-9173-6032</v>
      </c>
      <c r="J324" t="str">
        <f t="shared" ca="1" si="102"/>
        <v>Chen_Tao_Quan_41414@outlook.jp.co</v>
      </c>
      <c r="K324" t="str">
        <f t="shared" ca="1" si="103"/>
        <v>普通</v>
      </c>
      <c r="L324" t="str">
        <f t="shared" ca="1" si="104"/>
        <v>有り</v>
      </c>
      <c r="M324" t="str">
        <f t="shared" ca="1" si="105"/>
        <v>5%</v>
      </c>
      <c r="N324" t="str">
        <f t="shared" ca="1" si="106"/>
        <v>有り</v>
      </c>
      <c r="O324">
        <f t="shared" ca="1" si="107"/>
        <v>724</v>
      </c>
      <c r="R324">
        <f t="shared" ca="1" si="108"/>
        <v>6</v>
      </c>
      <c r="S324">
        <f t="shared" ca="1" si="109"/>
        <v>313</v>
      </c>
      <c r="T324">
        <f t="shared" ca="1" si="110"/>
        <v>2009</v>
      </c>
      <c r="U324">
        <f t="shared" ca="1" si="111"/>
        <v>2020</v>
      </c>
      <c r="V324">
        <f t="shared" ca="1" si="112"/>
        <v>5</v>
      </c>
      <c r="W324">
        <f t="shared" ca="1" si="113"/>
        <v>2</v>
      </c>
    </row>
    <row r="325" spans="1:23">
      <c r="A325" t="s">
        <v>1053</v>
      </c>
      <c r="B325" t="str">
        <f t="shared" ca="1" si="95"/>
        <v>宋月心</v>
      </c>
      <c r="C325" t="str">
        <f t="shared" ca="1" si="96"/>
        <v>ｿｰﾝ ﾕｴ ｼﾝ</v>
      </c>
      <c r="D325" t="str">
        <f t="shared" ca="1" si="97"/>
        <v>Song Yue Xin</v>
      </c>
      <c r="E325" t="str" cm="1">
        <f t="array" aca="1" ref="E325" ca="1">INDIRECT(ADDRESS(RANDBETWEEN(2,16),7,1,1,"valueBase"))</f>
        <v>男性</v>
      </c>
      <c r="F325" s="5">
        <f t="shared" ca="1" si="98"/>
        <v>34934</v>
      </c>
      <c r="G325" s="5">
        <f t="shared" ca="1" si="99"/>
        <v>41575</v>
      </c>
      <c r="H325" s="5">
        <f t="shared" ca="1" si="100"/>
        <v>42670</v>
      </c>
      <c r="I325" t="str">
        <f t="shared" ca="1" si="101"/>
        <v>090-2403-0458</v>
      </c>
      <c r="J325" t="str">
        <f t="shared" ca="1" si="102"/>
        <v>Song_Yue_Xin_41575@outlook.jp.co</v>
      </c>
      <c r="K325" t="str">
        <f t="shared" ca="1" si="103"/>
        <v>高級</v>
      </c>
      <c r="L325" t="str">
        <f t="shared" ca="1" si="104"/>
        <v>有り</v>
      </c>
      <c r="M325" t="str">
        <f t="shared" ca="1" si="105"/>
        <v>10%</v>
      </c>
      <c r="N325" t="str">
        <f t="shared" ca="1" si="106"/>
        <v>有り</v>
      </c>
      <c r="O325">
        <f t="shared" ca="1" si="107"/>
        <v>378</v>
      </c>
      <c r="R325">
        <f t="shared" ca="1" si="108"/>
        <v>23</v>
      </c>
      <c r="S325">
        <f t="shared" ca="1" si="109"/>
        <v>316</v>
      </c>
      <c r="T325">
        <f t="shared" ca="1" si="110"/>
        <v>1972</v>
      </c>
      <c r="U325">
        <f t="shared" ca="1" si="111"/>
        <v>1977</v>
      </c>
      <c r="V325">
        <f t="shared" ca="1" si="112"/>
        <v>11</v>
      </c>
      <c r="W325">
        <f t="shared" ca="1" si="113"/>
        <v>4</v>
      </c>
    </row>
    <row r="326" spans="1:23">
      <c r="A326" t="s">
        <v>1054</v>
      </c>
      <c r="B326" t="str">
        <f t="shared" ca="1" si="95"/>
        <v>孫宇頃</v>
      </c>
      <c r="C326" t="str">
        <f t="shared" ca="1" si="96"/>
        <v>ｽｩﾝ ﾕｲ ﾁｰﾝ</v>
      </c>
      <c r="D326" t="str">
        <f t="shared" ca="1" si="97"/>
        <v>Sun Yu Qing</v>
      </c>
      <c r="E326" t="str" cm="1">
        <f t="array" aca="1" ref="E326" ca="1">INDIRECT(ADDRESS(RANDBETWEEN(2,16),7,1,1,"valueBase"))</f>
        <v>男性</v>
      </c>
      <c r="F326" s="5">
        <f t="shared" ca="1" si="98"/>
        <v>38557</v>
      </c>
      <c r="G326" s="5">
        <f t="shared" ca="1" si="99"/>
        <v>45239</v>
      </c>
      <c r="H326" s="5">
        <f t="shared" ca="1" si="100"/>
        <v>45969</v>
      </c>
      <c r="I326" t="str">
        <f t="shared" ca="1" si="101"/>
        <v>090-3710-1183</v>
      </c>
      <c r="J326" t="str">
        <f t="shared" ca="1" si="102"/>
        <v>Sun_Yu_Qing_45239@outlook.jp.co</v>
      </c>
      <c r="K326" t="str">
        <f t="shared" ca="1" si="103"/>
        <v>普通</v>
      </c>
      <c r="L326" t="str">
        <f t="shared" ca="1" si="104"/>
        <v>-</v>
      </c>
      <c r="M326" t="str">
        <f t="shared" ca="1" si="105"/>
        <v>-</v>
      </c>
      <c r="N326" t="str">
        <f t="shared" ca="1" si="106"/>
        <v>有り</v>
      </c>
      <c r="O326">
        <f t="shared" ca="1" si="107"/>
        <v>827</v>
      </c>
      <c r="R326">
        <f t="shared" ca="1" si="108"/>
        <v>13</v>
      </c>
      <c r="S326">
        <f t="shared" ca="1" si="109"/>
        <v>107</v>
      </c>
      <c r="T326">
        <f t="shared" ca="1" si="110"/>
        <v>2006</v>
      </c>
      <c r="U326">
        <f t="shared" ca="1" si="111"/>
        <v>2017</v>
      </c>
      <c r="V326">
        <f t="shared" ca="1" si="112"/>
        <v>11</v>
      </c>
      <c r="W326">
        <f t="shared" ca="1" si="113"/>
        <v>11</v>
      </c>
    </row>
    <row r="327" spans="1:23">
      <c r="A327" t="s">
        <v>1055</v>
      </c>
      <c r="B327" t="str">
        <f t="shared" ca="1" si="95"/>
        <v>楊劍納</v>
      </c>
      <c r="C327" t="str">
        <f t="shared" ca="1" si="96"/>
        <v>ﾔｰﾝ ｼﾞｴﾝ ﾅｰ</v>
      </c>
      <c r="D327" t="str">
        <f t="shared" ca="1" si="97"/>
        <v>Yang Jian Na</v>
      </c>
      <c r="E327" t="str" cm="1">
        <f t="array" aca="1" ref="E327" ca="1">INDIRECT(ADDRESS(RANDBETWEEN(2,16),7,1,1,"valueBase"))</f>
        <v>男性</v>
      </c>
      <c r="F327" s="5">
        <f t="shared" ca="1" si="98"/>
        <v>38630</v>
      </c>
      <c r="G327" s="5">
        <f t="shared" ca="1" si="99"/>
        <v>45409</v>
      </c>
      <c r="H327" s="5">
        <f t="shared" ca="1" si="100"/>
        <v>45774</v>
      </c>
      <c r="I327" t="str">
        <f t="shared" ca="1" si="101"/>
        <v>090-0543-9261</v>
      </c>
      <c r="J327" t="str">
        <f t="shared" ca="1" si="102"/>
        <v>Yang_Jian_Na_45409@outlook.jp.co</v>
      </c>
      <c r="K327" t="str">
        <f t="shared" ca="1" si="103"/>
        <v>高級</v>
      </c>
      <c r="L327" t="str">
        <f t="shared" ca="1" si="104"/>
        <v>有り</v>
      </c>
      <c r="M327" t="str">
        <f t="shared" ca="1" si="105"/>
        <v>10%</v>
      </c>
      <c r="N327" t="str">
        <f t="shared" ca="1" si="106"/>
        <v>有り</v>
      </c>
      <c r="O327">
        <f t="shared" ca="1" si="107"/>
        <v>223</v>
      </c>
      <c r="R327">
        <f t="shared" ca="1" si="108"/>
        <v>7</v>
      </c>
      <c r="S327">
        <f t="shared" ca="1" si="109"/>
        <v>168</v>
      </c>
      <c r="T327">
        <f t="shared" ca="1" si="110"/>
        <v>1972</v>
      </c>
      <c r="U327">
        <f t="shared" ca="1" si="111"/>
        <v>1973</v>
      </c>
      <c r="V327">
        <f t="shared" ca="1" si="112"/>
        <v>3</v>
      </c>
      <c r="W327">
        <f t="shared" ca="1" si="113"/>
        <v>31</v>
      </c>
    </row>
    <row r="328" spans="1:23">
      <c r="A328" t="s">
        <v>1056</v>
      </c>
      <c r="B328" t="str">
        <f t="shared" ca="1" si="95"/>
        <v>郭濤泉</v>
      </c>
      <c r="C328" t="str">
        <f t="shared" ca="1" si="96"/>
        <v>ｸﾞｵ ﾀｵ ﾁｭｴﾝ</v>
      </c>
      <c r="D328" t="str">
        <f t="shared" ca="1" si="97"/>
        <v>Guo Tao Quan</v>
      </c>
      <c r="E328" t="str" cm="1">
        <f t="array" aca="1" ref="E328" ca="1">INDIRECT(ADDRESS(RANDBETWEEN(2,16),7,1,1,"valueBase"))</f>
        <v>男性</v>
      </c>
      <c r="F328" s="5">
        <f t="shared" ca="1" si="98"/>
        <v>29021</v>
      </c>
      <c r="G328" s="5">
        <f t="shared" ca="1" si="99"/>
        <v>41098</v>
      </c>
      <c r="H328" s="5">
        <f t="shared" ca="1" si="100"/>
        <v>41828</v>
      </c>
      <c r="I328" t="str">
        <f t="shared" ca="1" si="101"/>
        <v>090-2337-9280</v>
      </c>
      <c r="J328" t="str">
        <f t="shared" ca="1" si="102"/>
        <v>Guo_Tao_Quan_41098@outlook.jp.co</v>
      </c>
      <c r="K328" t="str">
        <f t="shared" ca="1" si="103"/>
        <v>普通</v>
      </c>
      <c r="L328" t="str">
        <f t="shared" ca="1" si="104"/>
        <v>-</v>
      </c>
      <c r="M328" t="str">
        <f t="shared" ca="1" si="105"/>
        <v>-</v>
      </c>
      <c r="N328" t="str">
        <f t="shared" ca="1" si="106"/>
        <v>-</v>
      </c>
      <c r="O328" t="str">
        <f t="shared" ca="1" si="107"/>
        <v>-</v>
      </c>
      <c r="R328">
        <f t="shared" ca="1" si="108"/>
        <v>19</v>
      </c>
      <c r="S328">
        <f t="shared" ca="1" si="109"/>
        <v>313</v>
      </c>
      <c r="T328">
        <f t="shared" ca="1" si="110"/>
        <v>2004</v>
      </c>
      <c r="U328">
        <f t="shared" ca="1" si="111"/>
        <v>2014</v>
      </c>
      <c r="V328">
        <f t="shared" ca="1" si="112"/>
        <v>2</v>
      </c>
      <c r="W328">
        <f t="shared" ca="1" si="113"/>
        <v>10</v>
      </c>
    </row>
    <row r="329" spans="1:23">
      <c r="A329" t="s">
        <v>1057</v>
      </c>
      <c r="B329" t="str">
        <f t="shared" ca="1" si="95"/>
        <v>陳木納</v>
      </c>
      <c r="C329" t="str">
        <f t="shared" ca="1" si="96"/>
        <v>ﾁｪﾝ ﾑｩ ﾅｰ</v>
      </c>
      <c r="D329" t="str">
        <f t="shared" ca="1" si="97"/>
        <v>Chen Mu Na</v>
      </c>
      <c r="E329" t="str" cm="1">
        <f t="array" aca="1" ref="E329" ca="1">INDIRECT(ADDRESS(RANDBETWEEN(2,16),7,1,1,"valueBase"))</f>
        <v>男性</v>
      </c>
      <c r="F329" s="5">
        <f t="shared" ca="1" si="98"/>
        <v>22701</v>
      </c>
      <c r="G329" s="5">
        <f t="shared" ca="1" si="99"/>
        <v>32906</v>
      </c>
      <c r="H329" s="5">
        <f t="shared" ca="1" si="100"/>
        <v>34001</v>
      </c>
      <c r="I329" t="str">
        <f t="shared" ca="1" si="101"/>
        <v>090-2893-0021</v>
      </c>
      <c r="J329" t="str">
        <f t="shared" ca="1" si="102"/>
        <v>Chen_Mu_Na_32906@outlook.jp.co</v>
      </c>
      <c r="K329" t="str">
        <f t="shared" ca="1" si="103"/>
        <v>普通</v>
      </c>
      <c r="L329" t="str">
        <f t="shared" ca="1" si="104"/>
        <v>有り</v>
      </c>
      <c r="M329" t="str">
        <f t="shared" ca="1" si="105"/>
        <v>5%</v>
      </c>
      <c r="N329" t="str">
        <f t="shared" ca="1" si="106"/>
        <v>-</v>
      </c>
      <c r="O329" t="str">
        <f t="shared" ca="1" si="107"/>
        <v>-</v>
      </c>
      <c r="R329">
        <f t="shared" ca="1" si="108"/>
        <v>6</v>
      </c>
      <c r="S329">
        <f t="shared" ca="1" si="109"/>
        <v>200</v>
      </c>
      <c r="T329">
        <f t="shared" ca="1" si="110"/>
        <v>2004</v>
      </c>
      <c r="U329">
        <f t="shared" ca="1" si="111"/>
        <v>2009</v>
      </c>
      <c r="V329">
        <f t="shared" ca="1" si="112"/>
        <v>10</v>
      </c>
      <c r="W329">
        <f t="shared" ca="1" si="113"/>
        <v>27</v>
      </c>
    </row>
    <row r="330" spans="1:23">
      <c r="A330" t="s">
        <v>1058</v>
      </c>
      <c r="B330" t="str">
        <f t="shared" ca="1" si="95"/>
        <v>謝冠聆</v>
      </c>
      <c r="C330" t="str">
        <f t="shared" ca="1" si="96"/>
        <v>ｼｴ ｸﾞﾜﾝ ﾘｰﾝ</v>
      </c>
      <c r="D330" t="str">
        <f t="shared" ca="1" si="97"/>
        <v>Xie Guan Ling</v>
      </c>
      <c r="E330" t="str" cm="1">
        <f t="array" aca="1" ref="E330" ca="1">INDIRECT(ADDRESS(RANDBETWEEN(2,16),7,1,1,"valueBase"))</f>
        <v>女性</v>
      </c>
      <c r="F330" s="5">
        <f t="shared" ca="1" si="98"/>
        <v>36034</v>
      </c>
      <c r="G330" s="5">
        <f t="shared" ca="1" si="99"/>
        <v>45023</v>
      </c>
      <c r="H330" s="5">
        <f t="shared" ca="1" si="100"/>
        <v>46118</v>
      </c>
      <c r="I330" t="str">
        <f t="shared" ca="1" si="101"/>
        <v>080-2922-6312</v>
      </c>
      <c r="J330" t="str">
        <f t="shared" ca="1" si="102"/>
        <v>Xie_Guan_Ling_45023@outlook.jp.co</v>
      </c>
      <c r="K330" t="str">
        <f t="shared" ca="1" si="103"/>
        <v>普通</v>
      </c>
      <c r="L330" t="str">
        <f t="shared" ca="1" si="104"/>
        <v>有り</v>
      </c>
      <c r="M330" t="str">
        <f t="shared" ca="1" si="105"/>
        <v>5%</v>
      </c>
      <c r="N330" t="str">
        <f t="shared" ca="1" si="106"/>
        <v>-</v>
      </c>
      <c r="O330" t="str">
        <f t="shared" ca="1" si="107"/>
        <v>-</v>
      </c>
      <c r="R330">
        <f t="shared" ca="1" si="108"/>
        <v>25</v>
      </c>
      <c r="S330">
        <f t="shared" ca="1" si="109"/>
        <v>156</v>
      </c>
      <c r="T330">
        <f t="shared" ca="1" si="110"/>
        <v>1977</v>
      </c>
      <c r="U330">
        <f t="shared" ca="1" si="111"/>
        <v>1986</v>
      </c>
      <c r="V330">
        <f t="shared" ca="1" si="112"/>
        <v>7</v>
      </c>
      <c r="W330">
        <f t="shared" ca="1" si="113"/>
        <v>11</v>
      </c>
    </row>
    <row r="331" spans="1:23">
      <c r="A331" t="s">
        <v>1059</v>
      </c>
      <c r="B331" t="str">
        <f t="shared" ca="1" si="95"/>
        <v>何泰聚</v>
      </c>
      <c r="C331" t="str">
        <f t="shared" ca="1" si="96"/>
        <v>ﾎｰｧ ﾀｲ ｼﾞｭｲ</v>
      </c>
      <c r="D331" t="str">
        <f t="shared" ca="1" si="97"/>
        <v>He Tai Ju</v>
      </c>
      <c r="E331" t="str" cm="1">
        <f t="array" aca="1" ref="E331" ca="1">INDIRECT(ADDRESS(RANDBETWEEN(2,16),7,1,1,"valueBase"))</f>
        <v>男性</v>
      </c>
      <c r="F331" s="5">
        <f t="shared" ca="1" si="98"/>
        <v>29178</v>
      </c>
      <c r="G331" s="5">
        <f t="shared" ca="1" si="99"/>
        <v>39129</v>
      </c>
      <c r="H331" s="5">
        <f t="shared" ca="1" si="100"/>
        <v>40224</v>
      </c>
      <c r="I331" t="str">
        <f t="shared" ca="1" si="101"/>
        <v>080-2222-6320</v>
      </c>
      <c r="J331" t="str">
        <f t="shared" ca="1" si="102"/>
        <v>He_Tai_Ju_39129@outlook.jp.co</v>
      </c>
      <c r="K331" t="str">
        <f t="shared" ca="1" si="103"/>
        <v>普通</v>
      </c>
      <c r="L331" t="str">
        <f t="shared" ca="1" si="104"/>
        <v>有り</v>
      </c>
      <c r="M331" t="str">
        <f t="shared" ca="1" si="105"/>
        <v>5%</v>
      </c>
      <c r="N331" t="str">
        <f t="shared" ca="1" si="106"/>
        <v>有り</v>
      </c>
      <c r="O331">
        <f t="shared" ca="1" si="107"/>
        <v>46</v>
      </c>
      <c r="R331">
        <f t="shared" ca="1" si="108"/>
        <v>18</v>
      </c>
      <c r="S331">
        <f t="shared" ca="1" si="109"/>
        <v>235</v>
      </c>
      <c r="T331">
        <f t="shared" ca="1" si="110"/>
        <v>1986</v>
      </c>
      <c r="U331">
        <f t="shared" ca="1" si="111"/>
        <v>1989</v>
      </c>
      <c r="V331">
        <f t="shared" ca="1" si="112"/>
        <v>3</v>
      </c>
      <c r="W331">
        <f t="shared" ca="1" si="113"/>
        <v>2</v>
      </c>
    </row>
    <row r="332" spans="1:23">
      <c r="A332" t="s">
        <v>1060</v>
      </c>
      <c r="B332" t="str">
        <f t="shared" ca="1" si="95"/>
        <v>謝耿晏</v>
      </c>
      <c r="C332" t="str">
        <f t="shared" ca="1" si="96"/>
        <v>ｼｴ ｸﾞｵﾝ ｲｴﾝ</v>
      </c>
      <c r="D332" t="str">
        <f t="shared" ca="1" si="97"/>
        <v>Xie Geng Yan</v>
      </c>
      <c r="E332" t="str" cm="1">
        <f t="array" aca="1" ref="E332" ca="1">INDIRECT(ADDRESS(RANDBETWEEN(2,16),7,1,1,"valueBase"))</f>
        <v>女性</v>
      </c>
      <c r="F332" s="5">
        <f t="shared" ca="1" si="98"/>
        <v>30007</v>
      </c>
      <c r="G332" s="5">
        <f t="shared" ca="1" si="99"/>
        <v>42729</v>
      </c>
      <c r="H332" s="5">
        <f t="shared" ca="1" si="100"/>
        <v>43824</v>
      </c>
      <c r="I332" t="str">
        <f t="shared" ca="1" si="101"/>
        <v>080-8211-3346</v>
      </c>
      <c r="J332" t="str">
        <f t="shared" ca="1" si="102"/>
        <v>Xie_Geng_Yan_42729@outlook.jp.co</v>
      </c>
      <c r="K332" t="str">
        <f t="shared" ca="1" si="103"/>
        <v>高級</v>
      </c>
      <c r="L332" t="str">
        <f t="shared" ca="1" si="104"/>
        <v>有り</v>
      </c>
      <c r="M332" t="str">
        <f t="shared" ca="1" si="105"/>
        <v>10%</v>
      </c>
      <c r="N332" t="str">
        <f t="shared" ca="1" si="106"/>
        <v>有り</v>
      </c>
      <c r="O332">
        <f t="shared" ca="1" si="107"/>
        <v>159</v>
      </c>
      <c r="R332">
        <f t="shared" ca="1" si="108"/>
        <v>25</v>
      </c>
      <c r="S332">
        <f t="shared" ca="1" si="109"/>
        <v>241</v>
      </c>
      <c r="T332">
        <f t="shared" ca="1" si="110"/>
        <v>1984</v>
      </c>
      <c r="U332">
        <f t="shared" ca="1" si="111"/>
        <v>1996</v>
      </c>
      <c r="V332">
        <f t="shared" ca="1" si="112"/>
        <v>6</v>
      </c>
      <c r="W332">
        <f t="shared" ca="1" si="113"/>
        <v>2</v>
      </c>
    </row>
    <row r="333" spans="1:23">
      <c r="A333" t="s">
        <v>1061</v>
      </c>
      <c r="B333" t="str">
        <f t="shared" ca="1" si="95"/>
        <v>韓泓唯</v>
      </c>
      <c r="C333" t="str">
        <f t="shared" ca="1" si="96"/>
        <v>ﾊﾝ ﾎｰﾝ ｳｴｲ</v>
      </c>
      <c r="D333" t="str">
        <f t="shared" ca="1" si="97"/>
        <v>Han Hong Wei</v>
      </c>
      <c r="E333" t="str" cm="1">
        <f t="array" aca="1" ref="E333" ca="1">INDIRECT(ADDRESS(RANDBETWEEN(2,16),7,1,1,"valueBase"))</f>
        <v>男性</v>
      </c>
      <c r="F333" s="5">
        <f t="shared" ca="1" si="98"/>
        <v>25524</v>
      </c>
      <c r="G333" s="5">
        <f t="shared" ca="1" si="99"/>
        <v>44696</v>
      </c>
      <c r="H333" s="5">
        <f t="shared" ca="1" si="100"/>
        <v>45791</v>
      </c>
      <c r="I333" t="str">
        <f t="shared" ca="1" si="101"/>
        <v>080-7959-7030</v>
      </c>
      <c r="J333" t="str">
        <f t="shared" ca="1" si="102"/>
        <v>Han_Hong_Wei_44696@outlook.jp.co</v>
      </c>
      <c r="K333" t="str">
        <f t="shared" ca="1" si="103"/>
        <v>高級</v>
      </c>
      <c r="L333" t="str">
        <f t="shared" ca="1" si="104"/>
        <v>有り</v>
      </c>
      <c r="M333" t="str">
        <f t="shared" ca="1" si="105"/>
        <v>10%</v>
      </c>
      <c r="N333" t="str">
        <f t="shared" ca="1" si="106"/>
        <v>有り</v>
      </c>
      <c r="O333">
        <f t="shared" ca="1" si="107"/>
        <v>155</v>
      </c>
      <c r="R333">
        <f t="shared" ca="1" si="108"/>
        <v>26</v>
      </c>
      <c r="S333">
        <f t="shared" ca="1" si="109"/>
        <v>242</v>
      </c>
      <c r="T333">
        <f t="shared" ca="1" si="110"/>
        <v>1980</v>
      </c>
      <c r="U333">
        <f t="shared" ca="1" si="111"/>
        <v>1985</v>
      </c>
      <c r="V333">
        <f t="shared" ca="1" si="112"/>
        <v>9</v>
      </c>
      <c r="W333">
        <f t="shared" ca="1" si="113"/>
        <v>4</v>
      </c>
    </row>
    <row r="334" spans="1:23">
      <c r="A334" t="s">
        <v>1062</v>
      </c>
      <c r="B334" t="str">
        <f t="shared" ca="1" si="95"/>
        <v>羅群圓</v>
      </c>
      <c r="C334" t="str">
        <f t="shared" ca="1" si="96"/>
        <v>ﾙｵ ﾁｭｲﾝ ﾕｴﾝ</v>
      </c>
      <c r="D334" t="str">
        <f t="shared" ca="1" si="97"/>
        <v>Luo Qun Yuan</v>
      </c>
      <c r="E334" t="str" cm="1">
        <f t="array" aca="1" ref="E334" ca="1">INDIRECT(ADDRESS(RANDBETWEEN(2,16),7,1,1,"valueBase"))</f>
        <v>男性</v>
      </c>
      <c r="F334" s="5">
        <f t="shared" ca="1" si="98"/>
        <v>28563</v>
      </c>
      <c r="G334" s="5">
        <f t="shared" ca="1" si="99"/>
        <v>45212</v>
      </c>
      <c r="H334" s="5">
        <f t="shared" ca="1" si="100"/>
        <v>46307</v>
      </c>
      <c r="I334" t="str">
        <f t="shared" ca="1" si="101"/>
        <v>080-1869-0297</v>
      </c>
      <c r="J334" t="str">
        <f t="shared" ca="1" si="102"/>
        <v>Luo_Qun_Yuan_45212@outlook.jp.co</v>
      </c>
      <c r="K334" t="str">
        <f t="shared" ca="1" si="103"/>
        <v>普通</v>
      </c>
      <c r="L334" t="str">
        <f t="shared" ca="1" si="104"/>
        <v>有り</v>
      </c>
      <c r="M334" t="str">
        <f t="shared" ca="1" si="105"/>
        <v>5%</v>
      </c>
      <c r="N334" t="str">
        <f t="shared" ca="1" si="106"/>
        <v>有り</v>
      </c>
      <c r="O334">
        <f t="shared" ca="1" si="107"/>
        <v>421</v>
      </c>
      <c r="R334">
        <f t="shared" ca="1" si="108"/>
        <v>21</v>
      </c>
      <c r="S334">
        <f t="shared" ca="1" si="109"/>
        <v>293</v>
      </c>
      <c r="T334">
        <f t="shared" ca="1" si="110"/>
        <v>2005</v>
      </c>
      <c r="U334">
        <f t="shared" ca="1" si="111"/>
        <v>2008</v>
      </c>
      <c r="V334">
        <f t="shared" ca="1" si="112"/>
        <v>8</v>
      </c>
      <c r="W334">
        <f t="shared" ca="1" si="113"/>
        <v>26</v>
      </c>
    </row>
    <row r="335" spans="1:23">
      <c r="A335" t="s">
        <v>1063</v>
      </c>
      <c r="B335" t="str">
        <f t="shared" ca="1" si="95"/>
        <v>郭衛影</v>
      </c>
      <c r="C335" t="str">
        <f t="shared" ca="1" si="96"/>
        <v>ｸﾞｵ ｳｴｲ ｲｰﾝ</v>
      </c>
      <c r="D335" t="str">
        <f t="shared" ca="1" si="97"/>
        <v>Guo Wei Ying</v>
      </c>
      <c r="E335" t="str" cm="1">
        <f t="array" aca="1" ref="E335" ca="1">INDIRECT(ADDRESS(RANDBETWEEN(2,16),7,1,1,"valueBase"))</f>
        <v>女性</v>
      </c>
      <c r="F335" s="5">
        <f t="shared" ca="1" si="98"/>
        <v>38827</v>
      </c>
      <c r="G335" s="5">
        <f t="shared" ca="1" si="99"/>
        <v>45427</v>
      </c>
      <c r="H335" s="5">
        <f t="shared" ca="1" si="100"/>
        <v>45792</v>
      </c>
      <c r="I335" t="str">
        <f t="shared" ca="1" si="101"/>
        <v>090-5741-2033</v>
      </c>
      <c r="J335" t="str">
        <f t="shared" ca="1" si="102"/>
        <v>Guo_Wei_Ying_45427@outlook.jp.co</v>
      </c>
      <c r="K335" t="str">
        <f t="shared" ca="1" si="103"/>
        <v>高級</v>
      </c>
      <c r="L335" t="str">
        <f t="shared" ca="1" si="104"/>
        <v>有り</v>
      </c>
      <c r="M335" t="str">
        <f t="shared" ca="1" si="105"/>
        <v>10%</v>
      </c>
      <c r="N335" t="str">
        <f t="shared" ca="1" si="106"/>
        <v>有り</v>
      </c>
      <c r="O335">
        <f t="shared" ca="1" si="107"/>
        <v>273</v>
      </c>
      <c r="R335">
        <f t="shared" ca="1" si="108"/>
        <v>19</v>
      </c>
      <c r="S335">
        <f t="shared" ca="1" si="109"/>
        <v>142</v>
      </c>
      <c r="T335">
        <f t="shared" ca="1" si="110"/>
        <v>1989</v>
      </c>
      <c r="U335">
        <f t="shared" ca="1" si="111"/>
        <v>1993</v>
      </c>
      <c r="V335">
        <f t="shared" ca="1" si="112"/>
        <v>12</v>
      </c>
      <c r="W335">
        <f t="shared" ca="1" si="113"/>
        <v>25</v>
      </c>
    </row>
    <row r="336" spans="1:23">
      <c r="A336" t="s">
        <v>1064</v>
      </c>
      <c r="B336" t="str">
        <f t="shared" ca="1" si="95"/>
        <v>何奧常</v>
      </c>
      <c r="C336" t="str">
        <f t="shared" ca="1" si="96"/>
        <v>ﾎｰｧ ｱｵ ﾁｬｰﾝ</v>
      </c>
      <c r="D336" t="str">
        <f t="shared" ca="1" si="97"/>
        <v>He Ao Chang</v>
      </c>
      <c r="E336" t="str" cm="1">
        <f t="array" aca="1" ref="E336" ca="1">INDIRECT(ADDRESS(RANDBETWEEN(2,16),7,1,1,"valueBase"))</f>
        <v>女性</v>
      </c>
      <c r="F336" s="5">
        <f t="shared" ca="1" si="98"/>
        <v>26604</v>
      </c>
      <c r="G336" s="5">
        <f t="shared" ca="1" si="99"/>
        <v>37681</v>
      </c>
      <c r="H336" s="5">
        <f t="shared" ca="1" si="100"/>
        <v>38046</v>
      </c>
      <c r="I336" t="str">
        <f t="shared" ca="1" si="101"/>
        <v>090-5524-3625</v>
      </c>
      <c r="J336" t="str">
        <f t="shared" ca="1" si="102"/>
        <v>He_Ao_Chang_37681@outlook.jp.co</v>
      </c>
      <c r="K336" t="str">
        <f t="shared" ca="1" si="103"/>
        <v>高級</v>
      </c>
      <c r="L336" t="str">
        <f t="shared" ca="1" si="104"/>
        <v>有り</v>
      </c>
      <c r="M336" t="str">
        <f t="shared" ca="1" si="105"/>
        <v>10%</v>
      </c>
      <c r="N336" t="str">
        <f t="shared" ca="1" si="106"/>
        <v>有り</v>
      </c>
      <c r="O336">
        <f t="shared" ca="1" si="107"/>
        <v>758</v>
      </c>
      <c r="R336">
        <f t="shared" ca="1" si="108"/>
        <v>18</v>
      </c>
      <c r="S336">
        <f t="shared" ca="1" si="109"/>
        <v>178</v>
      </c>
      <c r="T336">
        <f t="shared" ca="1" si="110"/>
        <v>1981</v>
      </c>
      <c r="U336">
        <f t="shared" ca="1" si="111"/>
        <v>1982</v>
      </c>
      <c r="V336">
        <f t="shared" ca="1" si="112"/>
        <v>12</v>
      </c>
      <c r="W336">
        <f t="shared" ca="1" si="113"/>
        <v>18</v>
      </c>
    </row>
    <row r="337" spans="1:23">
      <c r="A337" t="s">
        <v>1065</v>
      </c>
      <c r="B337" t="str">
        <f t="shared" ca="1" si="95"/>
        <v>唐亦茗</v>
      </c>
      <c r="C337" t="str">
        <f t="shared" ca="1" si="96"/>
        <v>ﾀｰﾝ ｲｰ ﾐｰﾝ</v>
      </c>
      <c r="D337" t="str">
        <f t="shared" ca="1" si="97"/>
        <v>Tang Yi Ming</v>
      </c>
      <c r="E337" t="str" cm="1">
        <f t="array" aca="1" ref="E337" ca="1">INDIRECT(ADDRESS(RANDBETWEEN(2,16),7,1,1,"valueBase"))</f>
        <v>女性</v>
      </c>
      <c r="F337" s="5">
        <f t="shared" ca="1" si="98"/>
        <v>22490</v>
      </c>
      <c r="G337" s="5">
        <f t="shared" ca="1" si="99"/>
        <v>39470</v>
      </c>
      <c r="H337" s="5">
        <f t="shared" ca="1" si="100"/>
        <v>40565</v>
      </c>
      <c r="I337" t="str">
        <f t="shared" ca="1" si="101"/>
        <v>080-7185-6476</v>
      </c>
      <c r="J337" t="str">
        <f t="shared" ca="1" si="102"/>
        <v>Tang_Yi_Ming_39470@outlook.jp.co</v>
      </c>
      <c r="K337" t="str">
        <f t="shared" ca="1" si="103"/>
        <v>高級</v>
      </c>
      <c r="L337" t="str">
        <f t="shared" ca="1" si="104"/>
        <v>有り</v>
      </c>
      <c r="M337" t="str">
        <f t="shared" ca="1" si="105"/>
        <v>10%</v>
      </c>
      <c r="N337" t="str">
        <f t="shared" ca="1" si="106"/>
        <v>有り</v>
      </c>
      <c r="O337">
        <f t="shared" ca="1" si="107"/>
        <v>525</v>
      </c>
      <c r="R337">
        <f t="shared" ca="1" si="108"/>
        <v>27</v>
      </c>
      <c r="S337">
        <f t="shared" ca="1" si="109"/>
        <v>35</v>
      </c>
      <c r="T337">
        <f t="shared" ca="1" si="110"/>
        <v>1995</v>
      </c>
      <c r="U337">
        <f t="shared" ca="1" si="111"/>
        <v>2000</v>
      </c>
      <c r="V337">
        <f t="shared" ca="1" si="112"/>
        <v>10</v>
      </c>
      <c r="W337">
        <f t="shared" ca="1" si="113"/>
        <v>9</v>
      </c>
    </row>
    <row r="338" spans="1:23">
      <c r="A338" t="s">
        <v>1066</v>
      </c>
      <c r="B338" t="str">
        <f t="shared" ca="1" si="95"/>
        <v>謝唯慶</v>
      </c>
      <c r="C338" t="str">
        <f t="shared" ca="1" si="96"/>
        <v>ｼｴ ｳｴｲ ﾁｰﾝ</v>
      </c>
      <c r="D338" t="str">
        <f t="shared" ca="1" si="97"/>
        <v>Xie Wei Qing</v>
      </c>
      <c r="E338" t="str" cm="1">
        <f t="array" aca="1" ref="E338" ca="1">INDIRECT(ADDRESS(RANDBETWEEN(2,16),7,1,1,"valueBase"))</f>
        <v>女性</v>
      </c>
      <c r="F338" s="5">
        <f t="shared" ca="1" si="98"/>
        <v>24364</v>
      </c>
      <c r="G338" s="5">
        <f t="shared" ca="1" si="99"/>
        <v>42209</v>
      </c>
      <c r="H338" s="5">
        <f t="shared" ca="1" si="100"/>
        <v>42939</v>
      </c>
      <c r="I338" t="str">
        <f t="shared" ca="1" si="101"/>
        <v>090-3403-3125</v>
      </c>
      <c r="J338" t="str">
        <f t="shared" ca="1" si="102"/>
        <v>Xie_Wei_Qing_42209@outlook.jp.co</v>
      </c>
      <c r="K338" t="str">
        <f t="shared" ca="1" si="103"/>
        <v>高級</v>
      </c>
      <c r="L338" t="str">
        <f t="shared" ca="1" si="104"/>
        <v>有り</v>
      </c>
      <c r="M338" t="str">
        <f t="shared" ca="1" si="105"/>
        <v>10%</v>
      </c>
      <c r="N338" t="str">
        <f t="shared" ca="1" si="106"/>
        <v>-</v>
      </c>
      <c r="O338" t="str">
        <f t="shared" ca="1" si="107"/>
        <v>-</v>
      </c>
      <c r="R338">
        <f t="shared" ca="1" si="108"/>
        <v>25</v>
      </c>
      <c r="S338">
        <f t="shared" ca="1" si="109"/>
        <v>301</v>
      </c>
      <c r="T338">
        <f t="shared" ca="1" si="110"/>
        <v>1979</v>
      </c>
      <c r="U338">
        <f t="shared" ca="1" si="111"/>
        <v>1982</v>
      </c>
      <c r="V338">
        <f t="shared" ca="1" si="112"/>
        <v>10</v>
      </c>
      <c r="W338">
        <f t="shared" ca="1" si="113"/>
        <v>16</v>
      </c>
    </row>
    <row r="339" spans="1:23">
      <c r="A339" t="s">
        <v>1067</v>
      </c>
      <c r="B339" t="str">
        <f t="shared" ca="1" si="95"/>
        <v>郭雅雪</v>
      </c>
      <c r="C339" t="str">
        <f t="shared" ca="1" si="96"/>
        <v>ｸﾞｵ ﾔｰ ｼｭｴ</v>
      </c>
      <c r="D339" t="str">
        <f t="shared" ca="1" si="97"/>
        <v>Guo Ya Xue</v>
      </c>
      <c r="E339" t="str" cm="1">
        <f t="array" aca="1" ref="E339" ca="1">INDIRECT(ADDRESS(RANDBETWEEN(2,16),7,1,1,"valueBase"))</f>
        <v>男性</v>
      </c>
      <c r="F339" s="5">
        <f t="shared" ca="1" si="98"/>
        <v>24397</v>
      </c>
      <c r="G339" s="5">
        <f t="shared" ca="1" si="99"/>
        <v>30980</v>
      </c>
      <c r="H339" s="5">
        <f t="shared" ca="1" si="100"/>
        <v>31345</v>
      </c>
      <c r="I339" t="str">
        <f t="shared" ca="1" si="101"/>
        <v>080-6248-7137</v>
      </c>
      <c r="J339" t="str">
        <f t="shared" ca="1" si="102"/>
        <v>Guo_Ya_Xue_30980@outlook.jp.co</v>
      </c>
      <c r="K339" t="str">
        <f t="shared" ca="1" si="103"/>
        <v>普通</v>
      </c>
      <c r="L339" t="str">
        <f t="shared" ca="1" si="104"/>
        <v>有り</v>
      </c>
      <c r="M339" t="str">
        <f t="shared" ca="1" si="105"/>
        <v>5%</v>
      </c>
      <c r="N339" t="str">
        <f t="shared" ca="1" si="106"/>
        <v>有り</v>
      </c>
      <c r="O339">
        <f t="shared" ca="1" si="107"/>
        <v>735</v>
      </c>
      <c r="R339">
        <f t="shared" ca="1" si="108"/>
        <v>19</v>
      </c>
      <c r="S339">
        <f t="shared" ca="1" si="109"/>
        <v>182</v>
      </c>
      <c r="T339">
        <f t="shared" ca="1" si="110"/>
        <v>1985</v>
      </c>
      <c r="U339">
        <f t="shared" ca="1" si="111"/>
        <v>1990</v>
      </c>
      <c r="V339">
        <f t="shared" ca="1" si="112"/>
        <v>8</v>
      </c>
      <c r="W339">
        <f t="shared" ca="1" si="113"/>
        <v>22</v>
      </c>
    </row>
    <row r="340" spans="1:23">
      <c r="A340" t="s">
        <v>1068</v>
      </c>
      <c r="B340" t="str">
        <f t="shared" ca="1" si="95"/>
        <v>宋濤泉</v>
      </c>
      <c r="C340" t="str">
        <f t="shared" ca="1" si="96"/>
        <v>ｿｰﾝ ﾀｵ ﾁｭｴﾝ</v>
      </c>
      <c r="D340" t="str">
        <f t="shared" ca="1" si="97"/>
        <v>Song Tao Quan</v>
      </c>
      <c r="E340" t="str" cm="1">
        <f t="array" aca="1" ref="E340" ca="1">INDIRECT(ADDRESS(RANDBETWEEN(2,16),7,1,1,"valueBase"))</f>
        <v>女性</v>
      </c>
      <c r="F340" s="5">
        <f t="shared" ca="1" si="98"/>
        <v>26112</v>
      </c>
      <c r="G340" s="5">
        <f t="shared" ca="1" si="99"/>
        <v>35589</v>
      </c>
      <c r="H340" s="5">
        <f t="shared" ca="1" si="100"/>
        <v>35954</v>
      </c>
      <c r="I340" t="str">
        <f t="shared" ca="1" si="101"/>
        <v>090-2568-4259</v>
      </c>
      <c r="J340" t="str">
        <f t="shared" ca="1" si="102"/>
        <v>Song_Tao_Quan_35589@outlook.jp.co</v>
      </c>
      <c r="K340" t="str">
        <f t="shared" ca="1" si="103"/>
        <v>普通</v>
      </c>
      <c r="L340" t="str">
        <f t="shared" ca="1" si="104"/>
        <v>有り</v>
      </c>
      <c r="M340" t="str">
        <f t="shared" ca="1" si="105"/>
        <v>5%</v>
      </c>
      <c r="N340" t="str">
        <f t="shared" ca="1" si="106"/>
        <v>有り</v>
      </c>
      <c r="O340">
        <f t="shared" ca="1" si="107"/>
        <v>343</v>
      </c>
      <c r="R340">
        <f t="shared" ca="1" si="108"/>
        <v>23</v>
      </c>
      <c r="S340">
        <f t="shared" ca="1" si="109"/>
        <v>313</v>
      </c>
      <c r="T340">
        <f t="shared" ca="1" si="110"/>
        <v>1978</v>
      </c>
      <c r="U340">
        <f t="shared" ca="1" si="111"/>
        <v>1985</v>
      </c>
      <c r="V340">
        <f t="shared" ca="1" si="112"/>
        <v>7</v>
      </c>
      <c r="W340">
        <f t="shared" ca="1" si="113"/>
        <v>14</v>
      </c>
    </row>
    <row r="341" spans="1:23">
      <c r="A341" t="s">
        <v>1069</v>
      </c>
      <c r="B341" t="str">
        <f t="shared" ca="1" si="95"/>
        <v>高亦茗</v>
      </c>
      <c r="C341" t="str">
        <f t="shared" ca="1" si="96"/>
        <v>ｶﾞｵ ｲｰ ﾐｰﾝ</v>
      </c>
      <c r="D341" t="str">
        <f t="shared" ca="1" si="97"/>
        <v>Gao Yi Ming</v>
      </c>
      <c r="E341" t="str" cm="1">
        <f t="array" aca="1" ref="E341" ca="1">INDIRECT(ADDRESS(RANDBETWEEN(2,16),7,1,1,"valueBase"))</f>
        <v>男性</v>
      </c>
      <c r="F341" s="5">
        <f t="shared" ca="1" si="98"/>
        <v>32510</v>
      </c>
      <c r="G341" s="5">
        <f t="shared" ca="1" si="99"/>
        <v>39730</v>
      </c>
      <c r="H341" s="5">
        <f t="shared" ca="1" si="100"/>
        <v>40460</v>
      </c>
      <c r="I341" t="str">
        <f t="shared" ca="1" si="101"/>
        <v>080-4912-9557</v>
      </c>
      <c r="J341" t="str">
        <f t="shared" ca="1" si="102"/>
        <v>Gao_Yi_Ming_39730@outlook.jp.co</v>
      </c>
      <c r="K341" t="str">
        <f t="shared" ca="1" si="103"/>
        <v>高級</v>
      </c>
      <c r="L341" t="str">
        <f t="shared" ca="1" si="104"/>
        <v>有り</v>
      </c>
      <c r="M341" t="str">
        <f t="shared" ca="1" si="105"/>
        <v>10%</v>
      </c>
      <c r="N341" t="str">
        <f t="shared" ca="1" si="106"/>
        <v>-</v>
      </c>
      <c r="O341" t="str">
        <f t="shared" ca="1" si="107"/>
        <v>-</v>
      </c>
      <c r="R341">
        <f t="shared" ca="1" si="108"/>
        <v>16</v>
      </c>
      <c r="S341">
        <f t="shared" ca="1" si="109"/>
        <v>35</v>
      </c>
      <c r="T341">
        <f t="shared" ca="1" si="110"/>
        <v>1975</v>
      </c>
      <c r="U341">
        <f t="shared" ca="1" si="111"/>
        <v>1987</v>
      </c>
      <c r="V341">
        <f t="shared" ca="1" si="112"/>
        <v>11</v>
      </c>
      <c r="W341">
        <f t="shared" ca="1" si="113"/>
        <v>9</v>
      </c>
    </row>
    <row r="342" spans="1:23">
      <c r="A342" t="s">
        <v>1070</v>
      </c>
      <c r="B342" t="str">
        <f t="shared" ca="1" si="95"/>
        <v>李潤頓</v>
      </c>
      <c r="C342" t="str">
        <f t="shared" ca="1" si="96"/>
        <v>ﾘｰ ｩﾙﾝ ﾄﾞｩﾝ</v>
      </c>
      <c r="D342" t="str">
        <f t="shared" ca="1" si="97"/>
        <v>Li Run Dun</v>
      </c>
      <c r="E342" t="str" cm="1">
        <f t="array" aca="1" ref="E342" ca="1">INDIRECT(ADDRESS(RANDBETWEEN(2,16),7,1,1,"valueBase"))</f>
        <v>女性</v>
      </c>
      <c r="F342" s="5">
        <f t="shared" ca="1" si="98"/>
        <v>31853</v>
      </c>
      <c r="G342" s="5">
        <f t="shared" ca="1" si="99"/>
        <v>42522</v>
      </c>
      <c r="H342" s="5">
        <f t="shared" ca="1" si="100"/>
        <v>43617</v>
      </c>
      <c r="I342" t="str">
        <f t="shared" ca="1" si="101"/>
        <v>080-6576-5598</v>
      </c>
      <c r="J342" t="str">
        <f t="shared" ca="1" si="102"/>
        <v>Li_Run Dun_42522@outlook.jp.co</v>
      </c>
      <c r="K342" t="str">
        <f t="shared" ca="1" si="103"/>
        <v>高級</v>
      </c>
      <c r="L342" t="str">
        <f t="shared" ca="1" si="104"/>
        <v>有り</v>
      </c>
      <c r="M342" t="str">
        <f t="shared" ca="1" si="105"/>
        <v>10%</v>
      </c>
      <c r="N342" t="str">
        <f t="shared" ca="1" si="106"/>
        <v>有り</v>
      </c>
      <c r="O342">
        <f t="shared" ca="1" si="107"/>
        <v>383</v>
      </c>
      <c r="R342">
        <f t="shared" ca="1" si="108"/>
        <v>2</v>
      </c>
      <c r="S342">
        <f t="shared" ca="1" si="109"/>
        <v>144</v>
      </c>
      <c r="T342">
        <f t="shared" ca="1" si="110"/>
        <v>1971</v>
      </c>
      <c r="U342">
        <f t="shared" ca="1" si="111"/>
        <v>1976</v>
      </c>
      <c r="V342">
        <f t="shared" ca="1" si="112"/>
        <v>11</v>
      </c>
      <c r="W342">
        <f t="shared" ca="1" si="113"/>
        <v>5</v>
      </c>
    </row>
    <row r="343" spans="1:23">
      <c r="A343" t="s">
        <v>1071</v>
      </c>
      <c r="B343" t="str">
        <f t="shared" ca="1" si="95"/>
        <v>劉心禹</v>
      </c>
      <c r="C343" t="str">
        <f t="shared" ca="1" si="96"/>
        <v>ﾘｳ ｼﾝ ﾕｲ</v>
      </c>
      <c r="D343" t="str">
        <f t="shared" ca="1" si="97"/>
        <v>Liu Xin Yu</v>
      </c>
      <c r="E343" t="str" cm="1">
        <f t="array" aca="1" ref="E343" ca="1">INDIRECT(ADDRESS(RANDBETWEEN(2,16),7,1,1,"valueBase"))</f>
        <v>男性</v>
      </c>
      <c r="F343" s="5">
        <f t="shared" ca="1" si="98"/>
        <v>29599</v>
      </c>
      <c r="G343" s="5">
        <f t="shared" ca="1" si="99"/>
        <v>41261</v>
      </c>
      <c r="H343" s="5">
        <f t="shared" ca="1" si="100"/>
        <v>41991</v>
      </c>
      <c r="I343" t="str">
        <f t="shared" ca="1" si="101"/>
        <v>080-6610-7858</v>
      </c>
      <c r="J343" t="str">
        <f t="shared" ca="1" si="102"/>
        <v>Liu_Xin_Yu_41261@outlook.jp.co</v>
      </c>
      <c r="K343" t="str">
        <f t="shared" ca="1" si="103"/>
        <v>普通</v>
      </c>
      <c r="L343" t="str">
        <f t="shared" ca="1" si="104"/>
        <v>有り</v>
      </c>
      <c r="M343" t="str">
        <f t="shared" ca="1" si="105"/>
        <v>5%</v>
      </c>
      <c r="N343" t="str">
        <f t="shared" ca="1" si="106"/>
        <v>有り</v>
      </c>
      <c r="O343">
        <f t="shared" ca="1" si="107"/>
        <v>470</v>
      </c>
      <c r="R343">
        <f t="shared" ca="1" si="108"/>
        <v>5</v>
      </c>
      <c r="S343">
        <f t="shared" ca="1" si="109"/>
        <v>196</v>
      </c>
      <c r="T343">
        <f t="shared" ca="1" si="110"/>
        <v>2000</v>
      </c>
      <c r="U343">
        <f t="shared" ca="1" si="111"/>
        <v>2012</v>
      </c>
      <c r="V343">
        <f t="shared" ca="1" si="112"/>
        <v>3</v>
      </c>
      <c r="W343">
        <f t="shared" ca="1" si="113"/>
        <v>25</v>
      </c>
    </row>
    <row r="344" spans="1:23">
      <c r="A344" t="s">
        <v>1072</v>
      </c>
      <c r="B344" t="str">
        <f t="shared" ca="1" si="95"/>
        <v>羅赫佑</v>
      </c>
      <c r="C344" t="str">
        <f t="shared" ca="1" si="96"/>
        <v>ﾙｵ ﾎｰｧ ﾖｳ</v>
      </c>
      <c r="D344" t="str">
        <f t="shared" ca="1" si="97"/>
        <v>Luo He You</v>
      </c>
      <c r="E344" t="str" cm="1">
        <f t="array" aca="1" ref="E344" ca="1">INDIRECT(ADDRESS(RANDBETWEEN(2,16),7,1,1,"valueBase"))</f>
        <v>男性</v>
      </c>
      <c r="F344" s="5">
        <f t="shared" ca="1" si="98"/>
        <v>24768</v>
      </c>
      <c r="G344" s="5">
        <f t="shared" ca="1" si="99"/>
        <v>36283</v>
      </c>
      <c r="H344" s="5">
        <f t="shared" ca="1" si="100"/>
        <v>37013</v>
      </c>
      <c r="I344" t="str">
        <f t="shared" ca="1" si="101"/>
        <v>080-8838-7100</v>
      </c>
      <c r="J344" t="str">
        <f t="shared" ca="1" si="102"/>
        <v>Luo_He_You_36283@outlook.jp.co</v>
      </c>
      <c r="K344" t="str">
        <f t="shared" ca="1" si="103"/>
        <v>普通</v>
      </c>
      <c r="L344" t="str">
        <f t="shared" ca="1" si="104"/>
        <v>有り</v>
      </c>
      <c r="M344" t="str">
        <f t="shared" ca="1" si="105"/>
        <v>5%</v>
      </c>
      <c r="N344" t="str">
        <f t="shared" ca="1" si="106"/>
        <v>-</v>
      </c>
      <c r="O344" t="str">
        <f t="shared" ca="1" si="107"/>
        <v>-</v>
      </c>
      <c r="R344">
        <f t="shared" ca="1" si="108"/>
        <v>21</v>
      </c>
      <c r="S344">
        <f t="shared" ca="1" si="109"/>
        <v>208</v>
      </c>
      <c r="T344">
        <f t="shared" ca="1" si="110"/>
        <v>1975</v>
      </c>
      <c r="U344">
        <f t="shared" ca="1" si="111"/>
        <v>1981</v>
      </c>
      <c r="V344">
        <f t="shared" ca="1" si="112"/>
        <v>4</v>
      </c>
      <c r="W344">
        <f t="shared" ca="1" si="113"/>
        <v>2</v>
      </c>
    </row>
    <row r="345" spans="1:23">
      <c r="A345" t="s">
        <v>1073</v>
      </c>
      <c r="B345" t="str">
        <f t="shared" ca="1" si="95"/>
        <v>韓霆名</v>
      </c>
      <c r="C345" t="str">
        <f t="shared" ca="1" si="96"/>
        <v>ﾊﾝ ﾃｨｰﾝ ﾐｰﾝ</v>
      </c>
      <c r="D345" t="str">
        <f t="shared" ca="1" si="97"/>
        <v>Han Ting Ming</v>
      </c>
      <c r="E345" t="str" cm="1">
        <f t="array" aca="1" ref="E345" ca="1">INDIRECT(ADDRESS(RANDBETWEEN(2,16),7,1,1,"valueBase"))</f>
        <v>男性</v>
      </c>
      <c r="F345" s="5">
        <f t="shared" ca="1" si="98"/>
        <v>24091</v>
      </c>
      <c r="G345" s="5">
        <f t="shared" ca="1" si="99"/>
        <v>31795</v>
      </c>
      <c r="H345" s="5">
        <f t="shared" ca="1" si="100"/>
        <v>32525</v>
      </c>
      <c r="I345" t="str">
        <f t="shared" ca="1" si="101"/>
        <v>080-8063-1373</v>
      </c>
      <c r="J345" t="str">
        <f t="shared" ca="1" si="102"/>
        <v>Han_Ting_Ming_31795@outlook.jp.co</v>
      </c>
      <c r="K345" t="str">
        <f t="shared" ca="1" si="103"/>
        <v>普通</v>
      </c>
      <c r="L345" t="str">
        <f t="shared" ca="1" si="104"/>
        <v>有り</v>
      </c>
      <c r="M345" t="str">
        <f t="shared" ca="1" si="105"/>
        <v>5%</v>
      </c>
      <c r="N345" t="str">
        <f t="shared" ca="1" si="106"/>
        <v>有り</v>
      </c>
      <c r="O345">
        <f t="shared" ca="1" si="107"/>
        <v>736</v>
      </c>
      <c r="R345">
        <f t="shared" ca="1" si="108"/>
        <v>26</v>
      </c>
      <c r="S345">
        <f t="shared" ca="1" si="109"/>
        <v>234</v>
      </c>
      <c r="T345">
        <f t="shared" ca="1" si="110"/>
        <v>2005</v>
      </c>
      <c r="U345">
        <f t="shared" ca="1" si="111"/>
        <v>2011</v>
      </c>
      <c r="V345">
        <f t="shared" ca="1" si="112"/>
        <v>9</v>
      </c>
      <c r="W345">
        <f t="shared" ca="1" si="113"/>
        <v>24</v>
      </c>
    </row>
    <row r="346" spans="1:23">
      <c r="A346" t="s">
        <v>1074</v>
      </c>
      <c r="B346" t="str">
        <f t="shared" ca="1" si="95"/>
        <v>黃彩金</v>
      </c>
      <c r="C346" t="str">
        <f t="shared" ca="1" si="96"/>
        <v>ﾎﾜｰﾝ ﾂｧｲ ｼﾞﾝ</v>
      </c>
      <c r="D346" t="str">
        <f t="shared" ca="1" si="97"/>
        <v>Huang Cai Jin</v>
      </c>
      <c r="E346" t="str" cm="1">
        <f t="array" aca="1" ref="E346" ca="1">INDIRECT(ADDRESS(RANDBETWEEN(2,16),7,1,1,"valueBase"))</f>
        <v>-</v>
      </c>
      <c r="F346" s="5">
        <f t="shared" ca="1" si="98"/>
        <v>28828</v>
      </c>
      <c r="G346" s="5">
        <f t="shared" ca="1" si="99"/>
        <v>36623</v>
      </c>
      <c r="H346" s="5">
        <f t="shared" ca="1" si="100"/>
        <v>36988</v>
      </c>
      <c r="I346" t="str">
        <f t="shared" ca="1" si="101"/>
        <v>080-1297-2741</v>
      </c>
      <c r="J346" t="str">
        <f t="shared" ca="1" si="102"/>
        <v>Huang_Cai_Jin_36623@outlook.jp.co</v>
      </c>
      <c r="K346" t="str">
        <f t="shared" ca="1" si="103"/>
        <v>高級</v>
      </c>
      <c r="L346" t="str">
        <f t="shared" ca="1" si="104"/>
        <v>有り</v>
      </c>
      <c r="M346" t="str">
        <f t="shared" ca="1" si="105"/>
        <v>10%</v>
      </c>
      <c r="N346" t="str">
        <f t="shared" ca="1" si="106"/>
        <v>有り</v>
      </c>
      <c r="O346">
        <f t="shared" ca="1" si="107"/>
        <v>966</v>
      </c>
      <c r="R346">
        <f t="shared" ca="1" si="108"/>
        <v>9</v>
      </c>
      <c r="S346">
        <f t="shared" ca="1" si="109"/>
        <v>214</v>
      </c>
      <c r="T346">
        <f t="shared" ca="1" si="110"/>
        <v>2001</v>
      </c>
      <c r="U346">
        <f t="shared" ca="1" si="111"/>
        <v>2008</v>
      </c>
      <c r="V346">
        <f t="shared" ca="1" si="112"/>
        <v>11</v>
      </c>
      <c r="W346">
        <f t="shared" ca="1" si="113"/>
        <v>15</v>
      </c>
    </row>
    <row r="347" spans="1:23">
      <c r="A347" t="s">
        <v>1075</v>
      </c>
      <c r="B347" t="str">
        <f t="shared" ca="1" si="95"/>
        <v>周斯蘭</v>
      </c>
      <c r="C347" t="str">
        <f t="shared" ca="1" si="96"/>
        <v>ｼﾞｮｳ ｽｰ ﾗﾝ</v>
      </c>
      <c r="D347" t="str">
        <f t="shared" ca="1" si="97"/>
        <v>Zhou Si Lan</v>
      </c>
      <c r="E347" t="str" cm="1">
        <f t="array" aca="1" ref="E347" ca="1">INDIRECT(ADDRESS(RANDBETWEEN(2,16),7,1,1,"valueBase"))</f>
        <v>女性</v>
      </c>
      <c r="F347" s="5">
        <f t="shared" ca="1" si="98"/>
        <v>36298</v>
      </c>
      <c r="G347" s="5">
        <f t="shared" ca="1" si="99"/>
        <v>44168</v>
      </c>
      <c r="H347" s="5">
        <f t="shared" ca="1" si="100"/>
        <v>45263</v>
      </c>
      <c r="I347" t="str">
        <f t="shared" ca="1" si="101"/>
        <v>080-3561-4531</v>
      </c>
      <c r="J347" t="str">
        <f t="shared" ca="1" si="102"/>
        <v>Zhou_Si_Lan_44168@outlook.jp.co</v>
      </c>
      <c r="K347" t="str">
        <f t="shared" ca="1" si="103"/>
        <v>普通</v>
      </c>
      <c r="L347" t="str">
        <f t="shared" ca="1" si="104"/>
        <v>有り</v>
      </c>
      <c r="M347" t="str">
        <f t="shared" ca="1" si="105"/>
        <v>5%</v>
      </c>
      <c r="N347" t="str">
        <f t="shared" ca="1" si="106"/>
        <v>有り</v>
      </c>
      <c r="O347">
        <f t="shared" ca="1" si="107"/>
        <v>513</v>
      </c>
      <c r="R347">
        <f t="shared" ca="1" si="108"/>
        <v>10</v>
      </c>
      <c r="S347">
        <f t="shared" ca="1" si="109"/>
        <v>30</v>
      </c>
      <c r="T347">
        <f t="shared" ca="1" si="110"/>
        <v>1995</v>
      </c>
      <c r="U347">
        <f t="shared" ca="1" si="111"/>
        <v>2005</v>
      </c>
      <c r="V347">
        <f t="shared" ca="1" si="112"/>
        <v>7</v>
      </c>
      <c r="W347">
        <f t="shared" ca="1" si="113"/>
        <v>31</v>
      </c>
    </row>
    <row r="348" spans="1:23">
      <c r="A348" t="s">
        <v>1076</v>
      </c>
      <c r="B348" t="str">
        <f t="shared" ca="1" si="95"/>
        <v>唐耿晏</v>
      </c>
      <c r="C348" t="str">
        <f t="shared" ca="1" si="96"/>
        <v>ﾀｰﾝ ｸﾞｵﾝ ｲｴﾝ</v>
      </c>
      <c r="D348" t="str">
        <f t="shared" ca="1" si="97"/>
        <v>Tang Geng Yan</v>
      </c>
      <c r="E348" t="str" cm="1">
        <f t="array" aca="1" ref="E348" ca="1">INDIRECT(ADDRESS(RANDBETWEEN(2,16),7,1,1,"valueBase"))</f>
        <v>女性</v>
      </c>
      <c r="F348" s="5">
        <f t="shared" ca="1" si="98"/>
        <v>35721</v>
      </c>
      <c r="G348" s="5">
        <f t="shared" ca="1" si="99"/>
        <v>45157</v>
      </c>
      <c r="H348" s="5">
        <f t="shared" ca="1" si="100"/>
        <v>45887</v>
      </c>
      <c r="I348" t="str">
        <f t="shared" ca="1" si="101"/>
        <v>090-8296-4512</v>
      </c>
      <c r="J348" t="str">
        <f t="shared" ca="1" si="102"/>
        <v>Tang_Geng_Yan_45157@outlook.jp.co</v>
      </c>
      <c r="K348" t="str">
        <f t="shared" ca="1" si="103"/>
        <v>普通</v>
      </c>
      <c r="L348" t="str">
        <f t="shared" ca="1" si="104"/>
        <v>有り</v>
      </c>
      <c r="M348" t="str">
        <f t="shared" ca="1" si="105"/>
        <v>5%</v>
      </c>
      <c r="N348" t="str">
        <f t="shared" ca="1" si="106"/>
        <v>有り</v>
      </c>
      <c r="O348">
        <f t="shared" ca="1" si="107"/>
        <v>261</v>
      </c>
      <c r="R348">
        <f t="shared" ca="1" si="108"/>
        <v>27</v>
      </c>
      <c r="S348">
        <f t="shared" ca="1" si="109"/>
        <v>241</v>
      </c>
      <c r="T348">
        <f t="shared" ca="1" si="110"/>
        <v>1992</v>
      </c>
      <c r="U348">
        <f t="shared" ca="1" si="111"/>
        <v>1994</v>
      </c>
      <c r="V348">
        <f t="shared" ca="1" si="112"/>
        <v>11</v>
      </c>
      <c r="W348">
        <f t="shared" ca="1" si="113"/>
        <v>16</v>
      </c>
    </row>
    <row r="349" spans="1:23">
      <c r="A349" t="s">
        <v>1077</v>
      </c>
      <c r="B349" t="str">
        <f t="shared" ca="1" si="95"/>
        <v>周鼎華</v>
      </c>
      <c r="C349" t="str">
        <f t="shared" ca="1" si="96"/>
        <v>ｼﾞｮｳ ﾃﾞｨｰﾝ ﾎﾜ</v>
      </c>
      <c r="D349" t="str">
        <f t="shared" ca="1" si="97"/>
        <v>Zhou Ding Hua</v>
      </c>
      <c r="E349" t="str" cm="1">
        <f t="array" aca="1" ref="E349" ca="1">INDIRECT(ADDRESS(RANDBETWEEN(2,16),7,1,1,"valueBase"))</f>
        <v>男性</v>
      </c>
      <c r="F349" s="5">
        <f t="shared" ca="1" si="98"/>
        <v>27716</v>
      </c>
      <c r="G349" s="5">
        <f t="shared" ca="1" si="99"/>
        <v>40583</v>
      </c>
      <c r="H349" s="5">
        <f t="shared" ca="1" si="100"/>
        <v>41678</v>
      </c>
      <c r="I349" t="str">
        <f t="shared" ca="1" si="101"/>
        <v>080-3147-0201</v>
      </c>
      <c r="J349" t="str">
        <f t="shared" ca="1" si="102"/>
        <v>Zhou_Ding_Hua_40583@outlook.jp.co</v>
      </c>
      <c r="K349" t="str">
        <f t="shared" ca="1" si="103"/>
        <v>高級</v>
      </c>
      <c r="L349" t="str">
        <f t="shared" ca="1" si="104"/>
        <v>有り</v>
      </c>
      <c r="M349" t="str">
        <f t="shared" ca="1" si="105"/>
        <v>10%</v>
      </c>
      <c r="N349" t="str">
        <f t="shared" ca="1" si="106"/>
        <v>有り</v>
      </c>
      <c r="O349">
        <f t="shared" ca="1" si="107"/>
        <v>905</v>
      </c>
      <c r="R349">
        <f t="shared" ca="1" si="108"/>
        <v>10</v>
      </c>
      <c r="S349">
        <f t="shared" ca="1" si="109"/>
        <v>14</v>
      </c>
      <c r="T349">
        <f t="shared" ca="1" si="110"/>
        <v>2006</v>
      </c>
      <c r="U349">
        <f t="shared" ca="1" si="111"/>
        <v>2011</v>
      </c>
      <c r="V349">
        <f t="shared" ca="1" si="112"/>
        <v>1</v>
      </c>
      <c r="W349">
        <f t="shared" ca="1" si="113"/>
        <v>16</v>
      </c>
    </row>
    <row r="350" spans="1:23">
      <c r="A350" t="s">
        <v>1078</v>
      </c>
      <c r="B350" t="str">
        <f t="shared" ca="1" si="95"/>
        <v>徐賢沃</v>
      </c>
      <c r="C350" t="str">
        <f t="shared" ca="1" si="96"/>
        <v>ｼｭｲ ｼｴﾝ ｳｫ</v>
      </c>
      <c r="D350" t="str">
        <f t="shared" ca="1" si="97"/>
        <v>Xu Xian Wo</v>
      </c>
      <c r="E350" t="str" cm="1">
        <f t="array" aca="1" ref="E350" ca="1">INDIRECT(ADDRESS(RANDBETWEEN(2,16),7,1,1,"valueBase"))</f>
        <v>男性</v>
      </c>
      <c r="F350" s="5">
        <f t="shared" ca="1" si="98"/>
        <v>31781</v>
      </c>
      <c r="G350" s="5">
        <f t="shared" ca="1" si="99"/>
        <v>44342</v>
      </c>
      <c r="H350" s="5">
        <f t="shared" ca="1" si="100"/>
        <v>45072</v>
      </c>
      <c r="I350" t="str">
        <f t="shared" ca="1" si="101"/>
        <v>080-7072-1480</v>
      </c>
      <c r="J350" t="str">
        <f t="shared" ca="1" si="102"/>
        <v>Xu_Xian_Wo_44342@outlook.jp.co</v>
      </c>
      <c r="K350" t="str">
        <f t="shared" ca="1" si="103"/>
        <v>普通</v>
      </c>
      <c r="L350" t="str">
        <f t="shared" ca="1" si="104"/>
        <v>有り</v>
      </c>
      <c r="M350" t="str">
        <f t="shared" ca="1" si="105"/>
        <v>5%</v>
      </c>
      <c r="N350" t="str">
        <f t="shared" ca="1" si="106"/>
        <v>有り</v>
      </c>
      <c r="O350">
        <f t="shared" ca="1" si="107"/>
        <v>575</v>
      </c>
      <c r="R350">
        <f t="shared" ca="1" si="108"/>
        <v>12</v>
      </c>
      <c r="S350">
        <f t="shared" ca="1" si="109"/>
        <v>150</v>
      </c>
      <c r="T350">
        <f t="shared" ca="1" si="110"/>
        <v>2006</v>
      </c>
      <c r="U350">
        <f t="shared" ca="1" si="111"/>
        <v>2007</v>
      </c>
      <c r="V350">
        <f t="shared" ca="1" si="112"/>
        <v>7</v>
      </c>
      <c r="W350">
        <f t="shared" ca="1" si="113"/>
        <v>15</v>
      </c>
    </row>
    <row r="351" spans="1:23">
      <c r="A351" t="s">
        <v>1079</v>
      </c>
      <c r="B351" t="str">
        <f t="shared" ca="1" si="95"/>
        <v>馬亦麥</v>
      </c>
      <c r="C351" t="str">
        <f t="shared" ca="1" si="96"/>
        <v>ﾏｰ ｲｰ ﾏｲ</v>
      </c>
      <c r="D351" t="str">
        <f t="shared" ca="1" si="97"/>
        <v>Ma Yi Mai</v>
      </c>
      <c r="E351" t="str" cm="1">
        <f t="array" aca="1" ref="E351" ca="1">INDIRECT(ADDRESS(RANDBETWEEN(2,16),7,1,1,"valueBase"))</f>
        <v>女性</v>
      </c>
      <c r="F351" s="5">
        <f t="shared" ca="1" si="98"/>
        <v>30454</v>
      </c>
      <c r="G351" s="5">
        <f t="shared" ca="1" si="99"/>
        <v>40242</v>
      </c>
      <c r="H351" s="5">
        <f t="shared" ca="1" si="100"/>
        <v>41337</v>
      </c>
      <c r="I351" t="str">
        <f t="shared" ca="1" si="101"/>
        <v>090-1859-1530</v>
      </c>
      <c r="J351" t="str">
        <f t="shared" ca="1" si="102"/>
        <v>Ma_Yi_Mai_40242@outlook.jp.co</v>
      </c>
      <c r="K351" t="str">
        <f t="shared" ca="1" si="103"/>
        <v>普通</v>
      </c>
      <c r="L351" t="str">
        <f t="shared" ca="1" si="104"/>
        <v>有り</v>
      </c>
      <c r="M351" t="str">
        <f t="shared" ca="1" si="105"/>
        <v>5%</v>
      </c>
      <c r="N351" t="str">
        <f t="shared" ca="1" si="106"/>
        <v>有り</v>
      </c>
      <c r="O351">
        <f t="shared" ca="1" si="107"/>
        <v>753</v>
      </c>
      <c r="R351">
        <f t="shared" ca="1" si="108"/>
        <v>20</v>
      </c>
      <c r="S351">
        <f t="shared" ca="1" si="109"/>
        <v>105</v>
      </c>
      <c r="T351">
        <f t="shared" ca="1" si="110"/>
        <v>1975</v>
      </c>
      <c r="U351">
        <f t="shared" ca="1" si="111"/>
        <v>1984</v>
      </c>
      <c r="V351">
        <f t="shared" ca="1" si="112"/>
        <v>1</v>
      </c>
      <c r="W351">
        <f t="shared" ca="1" si="113"/>
        <v>23</v>
      </c>
    </row>
    <row r="352" spans="1:23">
      <c r="A352" t="s">
        <v>1080</v>
      </c>
      <c r="B352" t="str">
        <f t="shared" ca="1" si="95"/>
        <v>楊慕頻</v>
      </c>
      <c r="C352" t="str">
        <f t="shared" ca="1" si="96"/>
        <v>ﾔｰﾝ ﾑｩ ﾋﾟﾝ</v>
      </c>
      <c r="D352" t="str">
        <f t="shared" ca="1" si="97"/>
        <v>Yang Mu Pin</v>
      </c>
      <c r="E352" t="str" cm="1">
        <f t="array" aca="1" ref="E352" ca="1">INDIRECT(ADDRESS(RANDBETWEEN(2,16),7,1,1,"valueBase"))</f>
        <v>男性</v>
      </c>
      <c r="F352" s="5">
        <f t="shared" ca="1" si="98"/>
        <v>24512</v>
      </c>
      <c r="G352" s="5">
        <f t="shared" ca="1" si="99"/>
        <v>42316</v>
      </c>
      <c r="H352" s="5">
        <f t="shared" ca="1" si="100"/>
        <v>42681</v>
      </c>
      <c r="I352" t="str">
        <f t="shared" ca="1" si="101"/>
        <v>090-2814-7683</v>
      </c>
      <c r="J352" t="str">
        <f t="shared" ca="1" si="102"/>
        <v>Yang_Mu_Pin_42316@outlook.jp.co</v>
      </c>
      <c r="K352" t="str">
        <f t="shared" ca="1" si="103"/>
        <v>普通</v>
      </c>
      <c r="L352" t="str">
        <f t="shared" ca="1" si="104"/>
        <v>有り</v>
      </c>
      <c r="M352" t="str">
        <f t="shared" ca="1" si="105"/>
        <v>5%</v>
      </c>
      <c r="N352" t="str">
        <f t="shared" ca="1" si="106"/>
        <v>-</v>
      </c>
      <c r="O352" t="str">
        <f t="shared" ca="1" si="107"/>
        <v>-</v>
      </c>
      <c r="R352">
        <f t="shared" ca="1" si="108"/>
        <v>7</v>
      </c>
      <c r="S352">
        <f t="shared" ca="1" si="109"/>
        <v>162</v>
      </c>
      <c r="T352">
        <f t="shared" ca="1" si="110"/>
        <v>1988</v>
      </c>
      <c r="U352">
        <f t="shared" ca="1" si="111"/>
        <v>2000</v>
      </c>
      <c r="V352">
        <f t="shared" ca="1" si="112"/>
        <v>12</v>
      </c>
      <c r="W352">
        <f t="shared" ca="1" si="113"/>
        <v>9</v>
      </c>
    </row>
    <row r="353" spans="1:23">
      <c r="A353" t="s">
        <v>1081</v>
      </c>
      <c r="B353" t="str">
        <f t="shared" ca="1" si="95"/>
        <v>馬靜耿</v>
      </c>
      <c r="C353" t="str">
        <f t="shared" ca="1" si="96"/>
        <v>ﾏｰ ｼﾞｰﾝ ｸﾞｵﾝ</v>
      </c>
      <c r="D353" t="str">
        <f t="shared" ca="1" si="97"/>
        <v>Ma Jing Geng</v>
      </c>
      <c r="E353" t="str" cm="1">
        <f t="array" aca="1" ref="E353" ca="1">INDIRECT(ADDRESS(RANDBETWEEN(2,16),7,1,1,"valueBase"))</f>
        <v>女性</v>
      </c>
      <c r="F353" s="5">
        <f t="shared" ca="1" si="98"/>
        <v>30714</v>
      </c>
      <c r="G353" s="5">
        <f t="shared" ca="1" si="99"/>
        <v>41718</v>
      </c>
      <c r="H353" s="5">
        <f t="shared" ca="1" si="100"/>
        <v>42448</v>
      </c>
      <c r="I353" t="str">
        <f t="shared" ca="1" si="101"/>
        <v>090-5134-5459</v>
      </c>
      <c r="J353" t="str">
        <f t="shared" ca="1" si="102"/>
        <v>Ma_Jing_Geng_41718@outlook.jp.co</v>
      </c>
      <c r="K353" t="str">
        <f t="shared" ca="1" si="103"/>
        <v>普通</v>
      </c>
      <c r="L353" t="str">
        <f t="shared" ca="1" si="104"/>
        <v>有り</v>
      </c>
      <c r="M353" t="str">
        <f t="shared" ca="1" si="105"/>
        <v>5%</v>
      </c>
      <c r="N353" t="str">
        <f t="shared" ca="1" si="106"/>
        <v>-</v>
      </c>
      <c r="O353" t="str">
        <f t="shared" ca="1" si="107"/>
        <v>-</v>
      </c>
      <c r="R353">
        <f t="shared" ca="1" si="108"/>
        <v>20</v>
      </c>
      <c r="S353">
        <f t="shared" ca="1" si="109"/>
        <v>5</v>
      </c>
      <c r="T353">
        <f t="shared" ca="1" si="110"/>
        <v>1994</v>
      </c>
      <c r="U353">
        <f t="shared" ca="1" si="111"/>
        <v>2005</v>
      </c>
      <c r="V353">
        <f t="shared" ca="1" si="112"/>
        <v>7</v>
      </c>
      <c r="W353">
        <f t="shared" ca="1" si="113"/>
        <v>12</v>
      </c>
    </row>
    <row r="354" spans="1:23">
      <c r="A354" t="s">
        <v>1082</v>
      </c>
      <c r="B354" t="str">
        <f t="shared" ca="1" si="95"/>
        <v>王具幽</v>
      </c>
      <c r="C354" t="str">
        <f t="shared" ca="1" si="96"/>
        <v>ﾜｰﾝ ｼﾞｭｲ ﾖｳ</v>
      </c>
      <c r="D354" t="str">
        <f t="shared" ca="1" si="97"/>
        <v>Wang Ju You</v>
      </c>
      <c r="E354" t="str" cm="1">
        <f t="array" aca="1" ref="E354" ca="1">INDIRECT(ADDRESS(RANDBETWEEN(2,16),7,1,1,"valueBase"))</f>
        <v>男性</v>
      </c>
      <c r="F354" s="5">
        <f t="shared" ca="1" si="98"/>
        <v>35790</v>
      </c>
      <c r="G354" s="5">
        <f t="shared" ca="1" si="99"/>
        <v>44091</v>
      </c>
      <c r="H354" s="5">
        <f t="shared" ca="1" si="100"/>
        <v>44456</v>
      </c>
      <c r="I354" t="str">
        <f t="shared" ca="1" si="101"/>
        <v>080-8653-4751</v>
      </c>
      <c r="J354" t="str">
        <f t="shared" ca="1" si="102"/>
        <v>Wang_Ju_You_44091@outlook.jp.co</v>
      </c>
      <c r="K354" t="str">
        <f t="shared" ca="1" si="103"/>
        <v>普通</v>
      </c>
      <c r="L354" t="str">
        <f t="shared" ca="1" si="104"/>
        <v>有り</v>
      </c>
      <c r="M354" t="str">
        <f t="shared" ca="1" si="105"/>
        <v>5%</v>
      </c>
      <c r="N354" t="str">
        <f t="shared" ca="1" si="106"/>
        <v>有り</v>
      </c>
      <c r="O354">
        <f t="shared" ca="1" si="107"/>
        <v>697</v>
      </c>
      <c r="R354">
        <f t="shared" ca="1" si="108"/>
        <v>3</v>
      </c>
      <c r="S354">
        <f t="shared" ca="1" si="109"/>
        <v>279</v>
      </c>
      <c r="T354">
        <f t="shared" ca="1" si="110"/>
        <v>2002</v>
      </c>
      <c r="U354">
        <f t="shared" ca="1" si="111"/>
        <v>2003</v>
      </c>
      <c r="V354">
        <f t="shared" ca="1" si="112"/>
        <v>4</v>
      </c>
      <c r="W354">
        <f t="shared" ca="1" si="113"/>
        <v>3</v>
      </c>
    </row>
    <row r="355" spans="1:23">
      <c r="A355" t="s">
        <v>1083</v>
      </c>
      <c r="B355" t="str">
        <f t="shared" ca="1" si="95"/>
        <v>王聰晨</v>
      </c>
      <c r="C355" t="str">
        <f t="shared" ca="1" si="96"/>
        <v>ﾜｰﾝ ｯｵｰﾝ ﾁｪﾝ</v>
      </c>
      <c r="D355" t="str">
        <f t="shared" ca="1" si="97"/>
        <v>Wang Cong Chen</v>
      </c>
      <c r="E355" t="str" cm="1">
        <f t="array" aca="1" ref="E355" ca="1">INDIRECT(ADDRESS(RANDBETWEEN(2,16),7,1,1,"valueBase"))</f>
        <v>女性</v>
      </c>
      <c r="F355" s="5">
        <f t="shared" ca="1" si="98"/>
        <v>22044</v>
      </c>
      <c r="G355" s="5">
        <f t="shared" ca="1" si="99"/>
        <v>38272</v>
      </c>
      <c r="H355" s="5">
        <f t="shared" ca="1" si="100"/>
        <v>39367</v>
      </c>
      <c r="I355" t="str">
        <f t="shared" ca="1" si="101"/>
        <v>090-5060-1351</v>
      </c>
      <c r="J355" t="str">
        <f t="shared" ca="1" si="102"/>
        <v>Wang_Cong_Chen_38272@outlook.jp.co</v>
      </c>
      <c r="K355" t="str">
        <f t="shared" ca="1" si="103"/>
        <v>普通</v>
      </c>
      <c r="L355" t="str">
        <f t="shared" ca="1" si="104"/>
        <v>有り</v>
      </c>
      <c r="M355" t="str">
        <f t="shared" ca="1" si="105"/>
        <v>5%</v>
      </c>
      <c r="N355" t="str">
        <f t="shared" ca="1" si="106"/>
        <v>有り</v>
      </c>
      <c r="O355">
        <f t="shared" ca="1" si="107"/>
        <v>339</v>
      </c>
      <c r="R355">
        <f t="shared" ca="1" si="108"/>
        <v>3</v>
      </c>
      <c r="S355">
        <f t="shared" ca="1" si="109"/>
        <v>262</v>
      </c>
      <c r="T355">
        <f t="shared" ca="1" si="110"/>
        <v>1974</v>
      </c>
      <c r="U355">
        <f t="shared" ca="1" si="111"/>
        <v>1983</v>
      </c>
      <c r="V355">
        <f t="shared" ca="1" si="112"/>
        <v>2</v>
      </c>
      <c r="W355">
        <f t="shared" ca="1" si="113"/>
        <v>27</v>
      </c>
    </row>
    <row r="356" spans="1:23">
      <c r="A356" t="s">
        <v>1084</v>
      </c>
      <c r="B356" t="str">
        <f t="shared" ca="1" si="95"/>
        <v>張州紹</v>
      </c>
      <c r="C356" t="str">
        <f t="shared" ca="1" si="96"/>
        <v>ｼﾞｬｰﾝ ｼﾞｮｳ ｼｬｵ</v>
      </c>
      <c r="D356" t="str">
        <f t="shared" ca="1" si="97"/>
        <v>Zhang Zhou Shao</v>
      </c>
      <c r="E356" t="str" cm="1">
        <f t="array" aca="1" ref="E356" ca="1">INDIRECT(ADDRESS(RANDBETWEEN(2,16),7,1,1,"valueBase"))</f>
        <v>女性</v>
      </c>
      <c r="F356" s="5">
        <f t="shared" ca="1" si="98"/>
        <v>24416</v>
      </c>
      <c r="G356" s="5">
        <f t="shared" ca="1" si="99"/>
        <v>32337</v>
      </c>
      <c r="H356" s="5">
        <f t="shared" ca="1" si="100"/>
        <v>32702</v>
      </c>
      <c r="I356" t="str">
        <f t="shared" ca="1" si="101"/>
        <v>080-1469-8918</v>
      </c>
      <c r="J356" t="str">
        <f t="shared" ca="1" si="102"/>
        <v>Zhang_Zhou_Shao_32337@outlook.jp.co</v>
      </c>
      <c r="K356" t="str">
        <f t="shared" ca="1" si="103"/>
        <v>普通</v>
      </c>
      <c r="L356" t="str">
        <f t="shared" ca="1" si="104"/>
        <v>有り</v>
      </c>
      <c r="M356" t="str">
        <f t="shared" ca="1" si="105"/>
        <v>5%</v>
      </c>
      <c r="N356" t="str">
        <f t="shared" ca="1" si="106"/>
        <v>有り</v>
      </c>
      <c r="O356">
        <f t="shared" ca="1" si="107"/>
        <v>22</v>
      </c>
      <c r="R356">
        <f t="shared" ca="1" si="108"/>
        <v>4</v>
      </c>
      <c r="S356">
        <f t="shared" ca="1" si="109"/>
        <v>233</v>
      </c>
      <c r="T356">
        <f t="shared" ca="1" si="110"/>
        <v>1975</v>
      </c>
      <c r="U356">
        <f t="shared" ca="1" si="111"/>
        <v>1979</v>
      </c>
      <c r="V356">
        <f t="shared" ca="1" si="112"/>
        <v>2</v>
      </c>
      <c r="W356">
        <f t="shared" ca="1" si="113"/>
        <v>28</v>
      </c>
    </row>
    <row r="357" spans="1:23">
      <c r="A357" t="s">
        <v>1085</v>
      </c>
      <c r="B357" t="str">
        <f t="shared" ca="1" si="95"/>
        <v>林彤存</v>
      </c>
      <c r="C357" t="str">
        <f t="shared" ca="1" si="96"/>
        <v>ﾘﾝ ﾄｰﾝ ﾂｩﾝ</v>
      </c>
      <c r="D357" t="str">
        <f t="shared" ca="1" si="97"/>
        <v>Lin Tong Cun</v>
      </c>
      <c r="E357" t="str" cm="1">
        <f t="array" aca="1" ref="E357" ca="1">INDIRECT(ADDRESS(RANDBETWEEN(2,16),7,1,1,"valueBase"))</f>
        <v>女性</v>
      </c>
      <c r="F357" s="5">
        <f t="shared" ca="1" si="98"/>
        <v>25969</v>
      </c>
      <c r="G357" s="5">
        <f t="shared" ca="1" si="99"/>
        <v>41496</v>
      </c>
      <c r="H357" s="5">
        <f t="shared" ca="1" si="100"/>
        <v>42591</v>
      </c>
      <c r="I357" t="str">
        <f t="shared" ca="1" si="101"/>
        <v>080-0515-8267</v>
      </c>
      <c r="J357" t="str">
        <f t="shared" ca="1" si="102"/>
        <v>Lin_Tong_Cun_41496@outlook.jp.co</v>
      </c>
      <c r="K357" t="str">
        <f t="shared" ca="1" si="103"/>
        <v>普通</v>
      </c>
      <c r="L357" t="str">
        <f t="shared" ca="1" si="104"/>
        <v>有り</v>
      </c>
      <c r="M357" t="str">
        <f t="shared" ca="1" si="105"/>
        <v>5%</v>
      </c>
      <c r="N357" t="str">
        <f t="shared" ca="1" si="106"/>
        <v>有り</v>
      </c>
      <c r="O357">
        <f t="shared" ca="1" si="107"/>
        <v>930</v>
      </c>
      <c r="R357">
        <f t="shared" ca="1" si="108"/>
        <v>17</v>
      </c>
      <c r="S357">
        <f t="shared" ca="1" si="109"/>
        <v>187</v>
      </c>
      <c r="T357">
        <f t="shared" ca="1" si="110"/>
        <v>1996</v>
      </c>
      <c r="U357">
        <f t="shared" ca="1" si="111"/>
        <v>1999</v>
      </c>
      <c r="V357">
        <f t="shared" ca="1" si="112"/>
        <v>2</v>
      </c>
      <c r="W357">
        <f t="shared" ca="1" si="113"/>
        <v>5</v>
      </c>
    </row>
    <row r="358" spans="1:23">
      <c r="A358" t="s">
        <v>1086</v>
      </c>
      <c r="B358" t="str">
        <f t="shared" ca="1" si="95"/>
        <v>謝創和</v>
      </c>
      <c r="C358" t="str">
        <f t="shared" ca="1" si="96"/>
        <v>ｼｴ ﾁｭﾜｰﾝ ﾎｰｧ</v>
      </c>
      <c r="D358" t="str">
        <f t="shared" ca="1" si="97"/>
        <v>Xie Chuang He</v>
      </c>
      <c r="E358" t="str" cm="1">
        <f t="array" aca="1" ref="E358" ca="1">INDIRECT(ADDRESS(RANDBETWEEN(2,16),7,1,1,"valueBase"))</f>
        <v>男性</v>
      </c>
      <c r="F358" s="5">
        <f t="shared" ca="1" si="98"/>
        <v>25656</v>
      </c>
      <c r="G358" s="5">
        <f t="shared" ca="1" si="99"/>
        <v>33830</v>
      </c>
      <c r="H358" s="5">
        <f t="shared" ca="1" si="100"/>
        <v>34195</v>
      </c>
      <c r="I358" t="str">
        <f t="shared" ca="1" si="101"/>
        <v>080-9907-2926</v>
      </c>
      <c r="J358" t="str">
        <f t="shared" ca="1" si="102"/>
        <v>Xie_Chuang He_33830@outlook.jp.co</v>
      </c>
      <c r="K358" t="str">
        <f t="shared" ca="1" si="103"/>
        <v>普通</v>
      </c>
      <c r="L358" t="str">
        <f t="shared" ca="1" si="104"/>
        <v>有り</v>
      </c>
      <c r="M358" t="str">
        <f t="shared" ca="1" si="105"/>
        <v>5%</v>
      </c>
      <c r="N358" t="str">
        <f t="shared" ca="1" si="106"/>
        <v>有り</v>
      </c>
      <c r="O358">
        <f t="shared" ca="1" si="107"/>
        <v>902</v>
      </c>
      <c r="R358">
        <f t="shared" ca="1" si="108"/>
        <v>25</v>
      </c>
      <c r="S358">
        <f t="shared" ca="1" si="109"/>
        <v>125</v>
      </c>
      <c r="T358">
        <f t="shared" ca="1" si="110"/>
        <v>1975</v>
      </c>
      <c r="U358">
        <f t="shared" ca="1" si="111"/>
        <v>1984</v>
      </c>
      <c r="V358">
        <f t="shared" ca="1" si="112"/>
        <v>11</v>
      </c>
      <c r="W358">
        <f t="shared" ca="1" si="113"/>
        <v>5</v>
      </c>
    </row>
    <row r="359" spans="1:23">
      <c r="A359" t="s">
        <v>1087</v>
      </c>
      <c r="B359" t="str">
        <f t="shared" ca="1" si="95"/>
        <v>吳盟玲</v>
      </c>
      <c r="C359" t="str">
        <f t="shared" ca="1" si="96"/>
        <v>ｳｰ ﾑｵﾝ ﾘｰﾝ</v>
      </c>
      <c r="D359" t="str">
        <f t="shared" ca="1" si="97"/>
        <v>Wu Meng Ling</v>
      </c>
      <c r="E359" t="str" cm="1">
        <f t="array" aca="1" ref="E359" ca="1">INDIRECT(ADDRESS(RANDBETWEEN(2,16),7,1,1,"valueBase"))</f>
        <v>男性</v>
      </c>
      <c r="F359" s="5">
        <f t="shared" ca="1" si="98"/>
        <v>30707</v>
      </c>
      <c r="G359" s="5">
        <f t="shared" ca="1" si="99"/>
        <v>41637</v>
      </c>
      <c r="H359" s="5">
        <f t="shared" ca="1" si="100"/>
        <v>42367</v>
      </c>
      <c r="I359" t="str">
        <f t="shared" ca="1" si="101"/>
        <v>090-9999-3975</v>
      </c>
      <c r="J359" t="str">
        <f t="shared" ca="1" si="102"/>
        <v>Wu_Meng_Ling_41637@outlook.jp.co</v>
      </c>
      <c r="K359" t="str">
        <f t="shared" ca="1" si="103"/>
        <v>普通</v>
      </c>
      <c r="L359" t="str">
        <f t="shared" ca="1" si="104"/>
        <v>有り</v>
      </c>
      <c r="M359" t="str">
        <f t="shared" ca="1" si="105"/>
        <v>5%</v>
      </c>
      <c r="N359" t="str">
        <f t="shared" ca="1" si="106"/>
        <v>有り</v>
      </c>
      <c r="O359">
        <f t="shared" ca="1" si="107"/>
        <v>773</v>
      </c>
      <c r="R359">
        <f t="shared" ca="1" si="108"/>
        <v>11</v>
      </c>
      <c r="S359">
        <f t="shared" ca="1" si="109"/>
        <v>102</v>
      </c>
      <c r="T359">
        <f t="shared" ca="1" si="110"/>
        <v>2000</v>
      </c>
      <c r="U359">
        <f t="shared" ca="1" si="111"/>
        <v>2004</v>
      </c>
      <c r="V359">
        <f t="shared" ca="1" si="112"/>
        <v>5</v>
      </c>
      <c r="W359">
        <f t="shared" ca="1" si="113"/>
        <v>4</v>
      </c>
    </row>
    <row r="360" spans="1:23">
      <c r="A360" t="s">
        <v>1088</v>
      </c>
      <c r="B360" t="str">
        <f t="shared" ca="1" si="95"/>
        <v>徐泰聚</v>
      </c>
      <c r="C360" t="str">
        <f t="shared" ca="1" si="96"/>
        <v>ｼｭｲ ﾀｲ ｼﾞｭｲ</v>
      </c>
      <c r="D360" t="str">
        <f t="shared" ca="1" si="97"/>
        <v>Xu Tai Ju</v>
      </c>
      <c r="E360" t="str" cm="1">
        <f t="array" aca="1" ref="E360" ca="1">INDIRECT(ADDRESS(RANDBETWEEN(2,16),7,1,1,"valueBase"))</f>
        <v>女性</v>
      </c>
      <c r="F360" s="5">
        <f t="shared" ca="1" si="98"/>
        <v>31455</v>
      </c>
      <c r="G360" s="5">
        <f t="shared" ca="1" si="99"/>
        <v>38551</v>
      </c>
      <c r="H360" s="5">
        <f t="shared" ca="1" si="100"/>
        <v>39281</v>
      </c>
      <c r="I360" t="str">
        <f t="shared" ca="1" si="101"/>
        <v>080-7309-9611</v>
      </c>
      <c r="J360" t="str">
        <f t="shared" ca="1" si="102"/>
        <v>Xu_Tai_Ju_38551@outlook.jp.co</v>
      </c>
      <c r="K360" t="str">
        <f t="shared" ca="1" si="103"/>
        <v>普通</v>
      </c>
      <c r="L360" t="str">
        <f t="shared" ca="1" si="104"/>
        <v>有り</v>
      </c>
      <c r="M360" t="str">
        <f t="shared" ca="1" si="105"/>
        <v>5%</v>
      </c>
      <c r="N360" t="str">
        <f t="shared" ca="1" si="106"/>
        <v>有り</v>
      </c>
      <c r="O360">
        <f t="shared" ca="1" si="107"/>
        <v>631</v>
      </c>
      <c r="R360">
        <f t="shared" ca="1" si="108"/>
        <v>12</v>
      </c>
      <c r="S360">
        <f t="shared" ca="1" si="109"/>
        <v>235</v>
      </c>
      <c r="T360">
        <f t="shared" ca="1" si="110"/>
        <v>1971</v>
      </c>
      <c r="U360">
        <f t="shared" ca="1" si="111"/>
        <v>1979</v>
      </c>
      <c r="V360">
        <f t="shared" ca="1" si="112"/>
        <v>2</v>
      </c>
      <c r="W360">
        <f t="shared" ca="1" si="113"/>
        <v>10</v>
      </c>
    </row>
    <row r="361" spans="1:23">
      <c r="A361" t="s">
        <v>1089</v>
      </c>
      <c r="B361" t="str">
        <f t="shared" ca="1" si="95"/>
        <v>于源俊</v>
      </c>
      <c r="C361" t="str">
        <f t="shared" ca="1" si="96"/>
        <v>ﾕｲ ﾕｴﾝ ｼﾞｭｲﾝ</v>
      </c>
      <c r="D361" t="str">
        <f t="shared" ca="1" si="97"/>
        <v>Yu Yuan Jun</v>
      </c>
      <c r="E361" t="str" cm="1">
        <f t="array" aca="1" ref="E361" ca="1">INDIRECT(ADDRESS(RANDBETWEEN(2,16),7,1,1,"valueBase"))</f>
        <v>男性</v>
      </c>
      <c r="F361" s="5">
        <f t="shared" ca="1" si="98"/>
        <v>24910</v>
      </c>
      <c r="G361" s="5">
        <f t="shared" ca="1" si="99"/>
        <v>31736</v>
      </c>
      <c r="H361" s="5">
        <f t="shared" ca="1" si="100"/>
        <v>32101</v>
      </c>
      <c r="I361" t="str">
        <f t="shared" ca="1" si="101"/>
        <v>080-5400-5891</v>
      </c>
      <c r="J361" t="str">
        <f t="shared" ca="1" si="102"/>
        <v>Yu_Yuan_Jun_31736@outlook.jp.co</v>
      </c>
      <c r="K361" t="str">
        <f t="shared" ca="1" si="103"/>
        <v>普通</v>
      </c>
      <c r="L361" t="str">
        <f t="shared" ca="1" si="104"/>
        <v>有り</v>
      </c>
      <c r="M361" t="str">
        <f t="shared" ca="1" si="105"/>
        <v>5%</v>
      </c>
      <c r="N361" t="str">
        <f t="shared" ca="1" si="106"/>
        <v>有り</v>
      </c>
      <c r="O361">
        <f t="shared" ca="1" si="107"/>
        <v>202</v>
      </c>
      <c r="R361">
        <f t="shared" ca="1" si="108"/>
        <v>29</v>
      </c>
      <c r="S361">
        <f t="shared" ca="1" si="109"/>
        <v>185</v>
      </c>
      <c r="T361">
        <f t="shared" ca="1" si="110"/>
        <v>1988</v>
      </c>
      <c r="U361">
        <f t="shared" ca="1" si="111"/>
        <v>1996</v>
      </c>
      <c r="V361">
        <f t="shared" ca="1" si="112"/>
        <v>6</v>
      </c>
      <c r="W361">
        <f t="shared" ca="1" si="113"/>
        <v>25</v>
      </c>
    </row>
    <row r="362" spans="1:23">
      <c r="A362" t="s">
        <v>1090</v>
      </c>
      <c r="B362" t="str">
        <f t="shared" ca="1" si="95"/>
        <v>鄭晟輝</v>
      </c>
      <c r="C362" t="str">
        <f t="shared" ca="1" si="96"/>
        <v>ｼﾞｭﾖﾝ ｼｭﾖﾝ ﾎｩｲ</v>
      </c>
      <c r="D362" t="str">
        <f t="shared" ca="1" si="97"/>
        <v>Zheng Sheng Hui</v>
      </c>
      <c r="E362" t="str" cm="1">
        <f t="array" aca="1" ref="E362" ca="1">INDIRECT(ADDRESS(RANDBETWEEN(2,16),7,1,1,"valueBase"))</f>
        <v>男性</v>
      </c>
      <c r="F362" s="5">
        <f t="shared" ca="1" si="98"/>
        <v>36509</v>
      </c>
      <c r="G362" s="5">
        <f t="shared" ca="1" si="99"/>
        <v>44549</v>
      </c>
      <c r="H362" s="5">
        <f t="shared" ca="1" si="100"/>
        <v>45644</v>
      </c>
      <c r="I362" t="str">
        <f t="shared" ca="1" si="101"/>
        <v>090-9864-0771</v>
      </c>
      <c r="J362" t="str">
        <f t="shared" ca="1" si="102"/>
        <v>Zheng_Sheng_Hui_44549@outlook.jp.co</v>
      </c>
      <c r="K362" t="str">
        <f t="shared" ca="1" si="103"/>
        <v>普通</v>
      </c>
      <c r="L362" t="str">
        <f t="shared" ca="1" si="104"/>
        <v>有り</v>
      </c>
      <c r="M362" t="str">
        <f t="shared" ca="1" si="105"/>
        <v>5%</v>
      </c>
      <c r="N362" t="str">
        <f t="shared" ca="1" si="106"/>
        <v>有り</v>
      </c>
      <c r="O362">
        <f t="shared" ca="1" si="107"/>
        <v>66</v>
      </c>
      <c r="R362">
        <f t="shared" ca="1" si="108"/>
        <v>24</v>
      </c>
      <c r="S362">
        <f t="shared" ca="1" si="109"/>
        <v>303</v>
      </c>
      <c r="T362">
        <f t="shared" ca="1" si="110"/>
        <v>1977</v>
      </c>
      <c r="U362">
        <f t="shared" ca="1" si="111"/>
        <v>1983</v>
      </c>
      <c r="V362">
        <f t="shared" ca="1" si="112"/>
        <v>6</v>
      </c>
      <c r="W362">
        <f t="shared" ca="1" si="113"/>
        <v>2</v>
      </c>
    </row>
    <row r="363" spans="1:23">
      <c r="A363" t="s">
        <v>1091</v>
      </c>
      <c r="B363" t="str">
        <f t="shared" ca="1" si="95"/>
        <v>黃朋莉</v>
      </c>
      <c r="C363" t="str">
        <f t="shared" ca="1" si="96"/>
        <v>ﾎﾜｰﾝ ﾌﾟｵﾝ ﾘｰ</v>
      </c>
      <c r="D363" t="str">
        <f t="shared" ca="1" si="97"/>
        <v>Huang Peng Li</v>
      </c>
      <c r="E363" t="str" cm="1">
        <f t="array" aca="1" ref="E363" ca="1">INDIRECT(ADDRESS(RANDBETWEEN(2,16),7,1,1,"valueBase"))</f>
        <v>女性</v>
      </c>
      <c r="F363" s="5">
        <f t="shared" ca="1" si="98"/>
        <v>26323</v>
      </c>
      <c r="G363" s="5">
        <f t="shared" ca="1" si="99"/>
        <v>45072</v>
      </c>
      <c r="H363" s="5">
        <f t="shared" ca="1" si="100"/>
        <v>45802</v>
      </c>
      <c r="I363" t="str">
        <f t="shared" ca="1" si="101"/>
        <v>090-7416-2793</v>
      </c>
      <c r="J363" t="str">
        <f t="shared" ca="1" si="102"/>
        <v>Huang_Peng_Li_45072@outlook.jp.co</v>
      </c>
      <c r="K363" t="str">
        <f t="shared" ca="1" si="103"/>
        <v>普通</v>
      </c>
      <c r="L363" t="str">
        <f t="shared" ca="1" si="104"/>
        <v>有り</v>
      </c>
      <c r="M363" t="str">
        <f t="shared" ca="1" si="105"/>
        <v>5%</v>
      </c>
      <c r="N363" t="str">
        <f t="shared" ca="1" si="106"/>
        <v>-</v>
      </c>
      <c r="O363" t="str">
        <f t="shared" ca="1" si="107"/>
        <v>-</v>
      </c>
      <c r="R363">
        <f t="shared" ca="1" si="108"/>
        <v>9</v>
      </c>
      <c r="S363">
        <f t="shared" ca="1" si="109"/>
        <v>153</v>
      </c>
      <c r="T363">
        <f t="shared" ca="1" si="110"/>
        <v>1991</v>
      </c>
      <c r="U363">
        <f t="shared" ca="1" si="111"/>
        <v>2002</v>
      </c>
      <c r="V363">
        <f t="shared" ca="1" si="112"/>
        <v>8</v>
      </c>
      <c r="W363">
        <f t="shared" ca="1" si="113"/>
        <v>23</v>
      </c>
    </row>
    <row r="364" spans="1:23">
      <c r="A364" t="s">
        <v>1092</v>
      </c>
      <c r="B364" t="str">
        <f t="shared" ca="1" si="95"/>
        <v>謝皓聽</v>
      </c>
      <c r="C364" t="str">
        <f t="shared" ca="1" si="96"/>
        <v>ｼｴ ﾊｵ ﾃｨｰﾝ</v>
      </c>
      <c r="D364" t="str">
        <f t="shared" ca="1" si="97"/>
        <v>Xie Hao Ting</v>
      </c>
      <c r="E364" t="str" cm="1">
        <f t="array" aca="1" ref="E364" ca="1">INDIRECT(ADDRESS(RANDBETWEEN(2,16),7,1,1,"valueBase"))</f>
        <v>女性</v>
      </c>
      <c r="F364" s="5">
        <f t="shared" ca="1" si="98"/>
        <v>28404</v>
      </c>
      <c r="G364" s="5">
        <f t="shared" ca="1" si="99"/>
        <v>39907</v>
      </c>
      <c r="H364" s="5">
        <f t="shared" ca="1" si="100"/>
        <v>40272</v>
      </c>
      <c r="I364" t="str">
        <f t="shared" ca="1" si="101"/>
        <v>080-7700-8343</v>
      </c>
      <c r="J364" t="str">
        <f t="shared" ca="1" si="102"/>
        <v>Xie_Hao_Ting_39907@outlook.jp.co</v>
      </c>
      <c r="K364" t="str">
        <f t="shared" ca="1" si="103"/>
        <v>高級</v>
      </c>
      <c r="L364" t="str">
        <f t="shared" ca="1" si="104"/>
        <v>有り</v>
      </c>
      <c r="M364" t="str">
        <f t="shared" ca="1" si="105"/>
        <v>10%</v>
      </c>
      <c r="N364" t="str">
        <f t="shared" ca="1" si="106"/>
        <v>有り</v>
      </c>
      <c r="O364">
        <f t="shared" ca="1" si="107"/>
        <v>467</v>
      </c>
      <c r="R364">
        <f t="shared" ca="1" si="108"/>
        <v>25</v>
      </c>
      <c r="S364">
        <f t="shared" ca="1" si="109"/>
        <v>32</v>
      </c>
      <c r="T364">
        <f t="shared" ca="1" si="110"/>
        <v>1979</v>
      </c>
      <c r="U364">
        <f t="shared" ca="1" si="111"/>
        <v>1985</v>
      </c>
      <c r="V364">
        <f t="shared" ca="1" si="112"/>
        <v>12</v>
      </c>
      <c r="W364">
        <f t="shared" ca="1" si="113"/>
        <v>27</v>
      </c>
    </row>
    <row r="365" spans="1:23">
      <c r="A365" t="s">
        <v>1093</v>
      </c>
      <c r="B365" t="str">
        <f t="shared" ca="1" si="95"/>
        <v>馮創和</v>
      </c>
      <c r="C365" t="str">
        <f t="shared" ca="1" si="96"/>
        <v>ﾌｵﾝ ﾁｭﾜｰﾝ ﾎｰｧ</v>
      </c>
      <c r="D365" t="str">
        <f t="shared" ca="1" si="97"/>
        <v>Feng Chuang He</v>
      </c>
      <c r="E365" t="str" cm="1">
        <f t="array" aca="1" ref="E365" ca="1">INDIRECT(ADDRESS(RANDBETWEEN(2,16),7,1,1,"valueBase"))</f>
        <v>男性</v>
      </c>
      <c r="F365" s="5">
        <f t="shared" ca="1" si="98"/>
        <v>26563</v>
      </c>
      <c r="G365" s="5">
        <f t="shared" ca="1" si="99"/>
        <v>35418</v>
      </c>
      <c r="H365" s="5">
        <f t="shared" ca="1" si="100"/>
        <v>36513</v>
      </c>
      <c r="I365" t="str">
        <f t="shared" ca="1" si="101"/>
        <v>080-5875-4536</v>
      </c>
      <c r="J365" t="str">
        <f t="shared" ca="1" si="102"/>
        <v>Feng_Chuang He_35418@outlook.jp.co</v>
      </c>
      <c r="K365" t="str">
        <f t="shared" ca="1" si="103"/>
        <v>普通</v>
      </c>
      <c r="L365" t="str">
        <f t="shared" ca="1" si="104"/>
        <v>有り</v>
      </c>
      <c r="M365" t="str">
        <f t="shared" ca="1" si="105"/>
        <v>5%</v>
      </c>
      <c r="N365" t="str">
        <f t="shared" ca="1" si="106"/>
        <v>有り</v>
      </c>
      <c r="O365">
        <f t="shared" ca="1" si="107"/>
        <v>418</v>
      </c>
      <c r="R365">
        <f t="shared" ca="1" si="108"/>
        <v>28</v>
      </c>
      <c r="S365">
        <f t="shared" ca="1" si="109"/>
        <v>125</v>
      </c>
      <c r="T365">
        <f t="shared" ca="1" si="110"/>
        <v>1992</v>
      </c>
      <c r="U365">
        <f t="shared" ca="1" si="111"/>
        <v>2000</v>
      </c>
      <c r="V365">
        <f t="shared" ca="1" si="112"/>
        <v>10</v>
      </c>
      <c r="W365">
        <f t="shared" ca="1" si="113"/>
        <v>20</v>
      </c>
    </row>
    <row r="366" spans="1:23">
      <c r="A366" t="s">
        <v>1094</v>
      </c>
      <c r="B366" t="str">
        <f t="shared" ca="1" si="95"/>
        <v>謝樂萊</v>
      </c>
      <c r="C366" t="str">
        <f t="shared" ca="1" si="96"/>
        <v>ｼｴ ﾛｰｧ ﾗｲ</v>
      </c>
      <c r="D366" t="str">
        <f t="shared" ca="1" si="97"/>
        <v>Xie Le Lai</v>
      </c>
      <c r="E366" t="str" cm="1">
        <f t="array" aca="1" ref="E366" ca="1">INDIRECT(ADDRESS(RANDBETWEEN(2,16),7,1,1,"valueBase"))</f>
        <v>女性</v>
      </c>
      <c r="F366" s="5">
        <f t="shared" ca="1" si="98"/>
        <v>31911</v>
      </c>
      <c r="G366" s="5">
        <f t="shared" ca="1" si="99"/>
        <v>40331</v>
      </c>
      <c r="H366" s="5">
        <f t="shared" ca="1" si="100"/>
        <v>41061</v>
      </c>
      <c r="I366" t="str">
        <f t="shared" ca="1" si="101"/>
        <v>090-8964-9900</v>
      </c>
      <c r="J366" t="str">
        <f t="shared" ca="1" si="102"/>
        <v>Xie_Le Lai_40331@outlook.jp.co</v>
      </c>
      <c r="K366" t="str">
        <f t="shared" ca="1" si="103"/>
        <v>普通</v>
      </c>
      <c r="L366" t="str">
        <f t="shared" ca="1" si="104"/>
        <v>有り</v>
      </c>
      <c r="M366" t="str">
        <f t="shared" ca="1" si="105"/>
        <v>5%</v>
      </c>
      <c r="N366" t="str">
        <f t="shared" ca="1" si="106"/>
        <v>有り</v>
      </c>
      <c r="O366">
        <f t="shared" ca="1" si="107"/>
        <v>220</v>
      </c>
      <c r="R366">
        <f t="shared" ca="1" si="108"/>
        <v>25</v>
      </c>
      <c r="S366">
        <f t="shared" ca="1" si="109"/>
        <v>159</v>
      </c>
      <c r="T366">
        <f t="shared" ca="1" si="110"/>
        <v>1980</v>
      </c>
      <c r="U366">
        <f t="shared" ca="1" si="111"/>
        <v>1991</v>
      </c>
      <c r="V366">
        <f t="shared" ca="1" si="112"/>
        <v>6</v>
      </c>
      <c r="W366">
        <f t="shared" ca="1" si="113"/>
        <v>27</v>
      </c>
    </row>
    <row r="367" spans="1:23">
      <c r="A367" t="s">
        <v>1095</v>
      </c>
      <c r="B367" t="str">
        <f t="shared" ca="1" si="95"/>
        <v>張潤頓</v>
      </c>
      <c r="C367" t="str">
        <f t="shared" ca="1" si="96"/>
        <v>ｼﾞｬｰﾝ ｩﾙﾝ ﾄﾞｩﾝ</v>
      </c>
      <c r="D367" t="str">
        <f t="shared" ca="1" si="97"/>
        <v>Zhang Run Dun</v>
      </c>
      <c r="E367" t="str" cm="1">
        <f t="array" aca="1" ref="E367" ca="1">INDIRECT(ADDRESS(RANDBETWEEN(2,16),7,1,1,"valueBase"))</f>
        <v>女性</v>
      </c>
      <c r="F367" s="5">
        <f t="shared" ca="1" si="98"/>
        <v>26408</v>
      </c>
      <c r="G367" s="5">
        <f t="shared" ca="1" si="99"/>
        <v>40578</v>
      </c>
      <c r="H367" s="5">
        <f t="shared" ca="1" si="100"/>
        <v>41308</v>
      </c>
      <c r="I367" t="str">
        <f t="shared" ca="1" si="101"/>
        <v>090-1351-2150</v>
      </c>
      <c r="J367" t="str">
        <f t="shared" ca="1" si="102"/>
        <v>Zhang_Run Dun_40578@outlook.jp.co</v>
      </c>
      <c r="K367" t="str">
        <f t="shared" ca="1" si="103"/>
        <v>普通</v>
      </c>
      <c r="L367" t="str">
        <f t="shared" ca="1" si="104"/>
        <v>有り</v>
      </c>
      <c r="M367" t="str">
        <f t="shared" ca="1" si="105"/>
        <v>5%</v>
      </c>
      <c r="N367" t="str">
        <f t="shared" ca="1" si="106"/>
        <v>-</v>
      </c>
      <c r="O367" t="str">
        <f t="shared" ca="1" si="107"/>
        <v>-</v>
      </c>
      <c r="R367">
        <f t="shared" ca="1" si="108"/>
        <v>4</v>
      </c>
      <c r="S367">
        <f t="shared" ca="1" si="109"/>
        <v>144</v>
      </c>
      <c r="T367">
        <f t="shared" ca="1" si="110"/>
        <v>1976</v>
      </c>
      <c r="U367">
        <f t="shared" ca="1" si="111"/>
        <v>1978</v>
      </c>
      <c r="V367">
        <f t="shared" ca="1" si="112"/>
        <v>1</v>
      </c>
      <c r="W367">
        <f t="shared" ca="1" si="113"/>
        <v>12</v>
      </c>
    </row>
    <row r="368" spans="1:23">
      <c r="A368" t="s">
        <v>1096</v>
      </c>
      <c r="B368" t="str">
        <f t="shared" ca="1" si="95"/>
        <v>楊泰奇</v>
      </c>
      <c r="C368" t="str">
        <f t="shared" ca="1" si="96"/>
        <v>ﾔｰﾝ ﾀｲ ﾁｲ</v>
      </c>
      <c r="D368" t="str">
        <f t="shared" ca="1" si="97"/>
        <v>Yang Tai Qi</v>
      </c>
      <c r="E368" t="str" cm="1">
        <f t="array" aca="1" ref="E368" ca="1">INDIRECT(ADDRESS(RANDBETWEEN(2,16),7,1,1,"valueBase"))</f>
        <v>男性</v>
      </c>
      <c r="F368" s="5">
        <f t="shared" ca="1" si="98"/>
        <v>35301</v>
      </c>
      <c r="G368" s="5">
        <f t="shared" ca="1" si="99"/>
        <v>44767</v>
      </c>
      <c r="H368" s="5">
        <f t="shared" ca="1" si="100"/>
        <v>45862</v>
      </c>
      <c r="I368" t="str">
        <f t="shared" ca="1" si="101"/>
        <v>090-7769-4754</v>
      </c>
      <c r="J368" t="str">
        <f t="shared" ca="1" si="102"/>
        <v>Yang_Tai Qi_44767@outlook.jp.co</v>
      </c>
      <c r="K368" t="str">
        <f t="shared" ca="1" si="103"/>
        <v>普通</v>
      </c>
      <c r="L368" t="str">
        <f t="shared" ca="1" si="104"/>
        <v>有り</v>
      </c>
      <c r="M368" t="str">
        <f t="shared" ca="1" si="105"/>
        <v>5%</v>
      </c>
      <c r="N368" t="str">
        <f t="shared" ca="1" si="106"/>
        <v>有り</v>
      </c>
      <c r="O368">
        <f t="shared" ca="1" si="107"/>
        <v>192</v>
      </c>
      <c r="R368">
        <f t="shared" ca="1" si="108"/>
        <v>7</v>
      </c>
      <c r="S368">
        <f t="shared" ca="1" si="109"/>
        <v>51</v>
      </c>
      <c r="T368">
        <f t="shared" ca="1" si="110"/>
        <v>2001</v>
      </c>
      <c r="U368">
        <f t="shared" ca="1" si="111"/>
        <v>2006</v>
      </c>
      <c r="V368">
        <f t="shared" ca="1" si="112"/>
        <v>6</v>
      </c>
      <c r="W368">
        <f t="shared" ca="1" si="113"/>
        <v>12</v>
      </c>
    </row>
    <row r="369" spans="1:23">
      <c r="A369" t="s">
        <v>1097</v>
      </c>
      <c r="B369" t="str">
        <f t="shared" ca="1" si="95"/>
        <v>趙庭建</v>
      </c>
      <c r="C369" t="str">
        <f t="shared" ca="1" si="96"/>
        <v>ｼﾞｬｵ ﾃｨｰﾝ ｼﾞｴﾝ</v>
      </c>
      <c r="D369" t="str">
        <f t="shared" ca="1" si="97"/>
        <v>Zhao Ting Jian</v>
      </c>
      <c r="E369" t="str" cm="1">
        <f t="array" aca="1" ref="E369" ca="1">INDIRECT(ADDRESS(RANDBETWEEN(2,16),7,1,1,"valueBase"))</f>
        <v>女性</v>
      </c>
      <c r="F369" s="5">
        <f t="shared" ca="1" si="98"/>
        <v>37157</v>
      </c>
      <c r="G369" s="5">
        <f t="shared" ca="1" si="99"/>
        <v>44917</v>
      </c>
      <c r="H369" s="5">
        <f t="shared" ca="1" si="100"/>
        <v>45647</v>
      </c>
      <c r="I369" t="str">
        <f t="shared" ca="1" si="101"/>
        <v>090-7435-4269</v>
      </c>
      <c r="J369" t="str">
        <f t="shared" ca="1" si="102"/>
        <v>Zhao_Ting_Jian_44917@outlook.jp.co</v>
      </c>
      <c r="K369" t="str">
        <f t="shared" ca="1" si="103"/>
        <v>高級</v>
      </c>
      <c r="L369" t="str">
        <f t="shared" ca="1" si="104"/>
        <v>有り</v>
      </c>
      <c r="M369" t="str">
        <f t="shared" ca="1" si="105"/>
        <v>10%</v>
      </c>
      <c r="N369" t="str">
        <f t="shared" ca="1" si="106"/>
        <v>有り</v>
      </c>
      <c r="O369">
        <f t="shared" ca="1" si="107"/>
        <v>554</v>
      </c>
      <c r="R369">
        <f t="shared" ca="1" si="108"/>
        <v>8</v>
      </c>
      <c r="S369">
        <f t="shared" ca="1" si="109"/>
        <v>64</v>
      </c>
      <c r="T369">
        <f t="shared" ca="1" si="110"/>
        <v>1973</v>
      </c>
      <c r="U369">
        <f t="shared" ca="1" si="111"/>
        <v>1985</v>
      </c>
      <c r="V369">
        <f t="shared" ca="1" si="112"/>
        <v>9</v>
      </c>
      <c r="W369">
        <f t="shared" ca="1" si="113"/>
        <v>6</v>
      </c>
    </row>
    <row r="370" spans="1:23">
      <c r="A370" t="s">
        <v>1098</v>
      </c>
      <c r="B370" t="str">
        <f t="shared" ca="1" si="95"/>
        <v>黃盈年</v>
      </c>
      <c r="C370" t="str">
        <f t="shared" ca="1" si="96"/>
        <v>ﾎﾜｰﾝ ｲｰﾝ ﾆｴﾝ</v>
      </c>
      <c r="D370" t="str">
        <f t="shared" ca="1" si="97"/>
        <v>Huang Ying Nian</v>
      </c>
      <c r="E370" t="str" cm="1">
        <f t="array" aca="1" ref="E370" ca="1">INDIRECT(ADDRESS(RANDBETWEEN(2,16),7,1,1,"valueBase"))</f>
        <v>男性</v>
      </c>
      <c r="F370" s="5">
        <f t="shared" ca="1" si="98"/>
        <v>32538</v>
      </c>
      <c r="G370" s="5">
        <f t="shared" ca="1" si="99"/>
        <v>43475</v>
      </c>
      <c r="H370" s="5">
        <f t="shared" ca="1" si="100"/>
        <v>43840</v>
      </c>
      <c r="I370" t="str">
        <f t="shared" ca="1" si="101"/>
        <v>080-9383-6890</v>
      </c>
      <c r="J370" t="str">
        <f t="shared" ca="1" si="102"/>
        <v>Huang_Ying_Nian_43475@outlook.jp.co</v>
      </c>
      <c r="K370" t="str">
        <f t="shared" ca="1" si="103"/>
        <v>高級</v>
      </c>
      <c r="L370" t="str">
        <f t="shared" ca="1" si="104"/>
        <v>有り</v>
      </c>
      <c r="M370" t="str">
        <f t="shared" ca="1" si="105"/>
        <v>10%</v>
      </c>
      <c r="N370" t="str">
        <f t="shared" ca="1" si="106"/>
        <v>有り</v>
      </c>
      <c r="O370">
        <f t="shared" ca="1" si="107"/>
        <v>348</v>
      </c>
      <c r="R370">
        <f t="shared" ca="1" si="108"/>
        <v>9</v>
      </c>
      <c r="S370">
        <f t="shared" ca="1" si="109"/>
        <v>309</v>
      </c>
      <c r="T370">
        <f t="shared" ca="1" si="110"/>
        <v>1984</v>
      </c>
      <c r="U370">
        <f t="shared" ca="1" si="111"/>
        <v>1992</v>
      </c>
      <c r="V370">
        <f t="shared" ca="1" si="112"/>
        <v>6</v>
      </c>
      <c r="W370">
        <f t="shared" ca="1" si="113"/>
        <v>3</v>
      </c>
    </row>
    <row r="371" spans="1:23">
      <c r="A371" t="s">
        <v>1099</v>
      </c>
      <c r="B371" t="str">
        <f t="shared" ca="1" si="95"/>
        <v>張鼎華</v>
      </c>
      <c r="C371" t="str">
        <f t="shared" ca="1" si="96"/>
        <v>ｼﾞｬｰﾝ ﾃﾞｨｰﾝ ﾎﾜ</v>
      </c>
      <c r="D371" t="str">
        <f t="shared" ca="1" si="97"/>
        <v>Zhang Ding Hua</v>
      </c>
      <c r="E371" t="str" cm="1">
        <f t="array" aca="1" ref="E371" ca="1">INDIRECT(ADDRESS(RANDBETWEEN(2,16),7,1,1,"valueBase"))</f>
        <v>女性</v>
      </c>
      <c r="F371" s="5">
        <f t="shared" ca="1" si="98"/>
        <v>30905</v>
      </c>
      <c r="G371" s="5">
        <f t="shared" ca="1" si="99"/>
        <v>45176</v>
      </c>
      <c r="H371" s="5">
        <f t="shared" ca="1" si="100"/>
        <v>45906</v>
      </c>
      <c r="I371" t="str">
        <f t="shared" ca="1" si="101"/>
        <v>090-2525-4002</v>
      </c>
      <c r="J371" t="str">
        <f t="shared" ca="1" si="102"/>
        <v>Zhang_Ding_Hua_45176@outlook.jp.co</v>
      </c>
      <c r="K371" t="str">
        <f t="shared" ca="1" si="103"/>
        <v>高級</v>
      </c>
      <c r="L371" t="str">
        <f t="shared" ca="1" si="104"/>
        <v>-</v>
      </c>
      <c r="M371" t="str">
        <f t="shared" ca="1" si="105"/>
        <v>-</v>
      </c>
      <c r="N371" t="str">
        <f t="shared" ca="1" si="106"/>
        <v>有り</v>
      </c>
      <c r="O371">
        <f t="shared" ca="1" si="107"/>
        <v>586</v>
      </c>
      <c r="R371">
        <f t="shared" ca="1" si="108"/>
        <v>4</v>
      </c>
      <c r="S371">
        <f t="shared" ca="1" si="109"/>
        <v>14</v>
      </c>
      <c r="T371">
        <f t="shared" ca="1" si="110"/>
        <v>1984</v>
      </c>
      <c r="U371">
        <f t="shared" ca="1" si="111"/>
        <v>1991</v>
      </c>
      <c r="V371">
        <f t="shared" ca="1" si="112"/>
        <v>8</v>
      </c>
      <c r="W371">
        <f t="shared" ca="1" si="113"/>
        <v>31</v>
      </c>
    </row>
    <row r="372" spans="1:23">
      <c r="A372" t="s">
        <v>1100</v>
      </c>
      <c r="B372" t="str">
        <f t="shared" ca="1" si="95"/>
        <v>謝勁綠</v>
      </c>
      <c r="C372" t="str">
        <f t="shared" ca="1" si="96"/>
        <v>ｼｴ ｼﾞﾝ ﾙｩｨ</v>
      </c>
      <c r="D372" t="str">
        <f t="shared" ca="1" si="97"/>
        <v>Xie Jin Lü</v>
      </c>
      <c r="E372" t="str" cm="1">
        <f t="array" aca="1" ref="E372" ca="1">INDIRECT(ADDRESS(RANDBETWEEN(2,16),7,1,1,"valueBase"))</f>
        <v>男性</v>
      </c>
      <c r="F372" s="5">
        <f t="shared" ca="1" si="98"/>
        <v>37945</v>
      </c>
      <c r="G372" s="5">
        <f t="shared" ca="1" si="99"/>
        <v>45062</v>
      </c>
      <c r="H372" s="5">
        <f t="shared" ca="1" si="100"/>
        <v>45792</v>
      </c>
      <c r="I372" t="str">
        <f t="shared" ca="1" si="101"/>
        <v>080-9902-2748</v>
      </c>
      <c r="J372" t="str">
        <f t="shared" ca="1" si="102"/>
        <v>Xie_Jin Lü_45062@outlook.jp.co</v>
      </c>
      <c r="K372" t="str">
        <f t="shared" ca="1" si="103"/>
        <v>普通</v>
      </c>
      <c r="L372" t="str">
        <f t="shared" ca="1" si="104"/>
        <v>有り</v>
      </c>
      <c r="M372" t="str">
        <f t="shared" ca="1" si="105"/>
        <v>5%</v>
      </c>
      <c r="N372" t="str">
        <f t="shared" ca="1" si="106"/>
        <v>-</v>
      </c>
      <c r="O372" t="str">
        <f t="shared" ca="1" si="107"/>
        <v>-</v>
      </c>
      <c r="R372">
        <f t="shared" ca="1" si="108"/>
        <v>25</v>
      </c>
      <c r="S372">
        <f t="shared" ca="1" si="109"/>
        <v>223</v>
      </c>
      <c r="T372">
        <f t="shared" ca="1" si="110"/>
        <v>1981</v>
      </c>
      <c r="U372">
        <f t="shared" ca="1" si="111"/>
        <v>1990</v>
      </c>
      <c r="V372">
        <f t="shared" ca="1" si="112"/>
        <v>6</v>
      </c>
      <c r="W372">
        <f t="shared" ca="1" si="113"/>
        <v>18</v>
      </c>
    </row>
    <row r="373" spans="1:23">
      <c r="A373" t="s">
        <v>1101</v>
      </c>
      <c r="B373" t="str">
        <f t="shared" ca="1" si="95"/>
        <v>王霖瑋</v>
      </c>
      <c r="C373" t="str">
        <f t="shared" ca="1" si="96"/>
        <v>ﾜｰﾝ ﾘﾝ ｳｴｲ</v>
      </c>
      <c r="D373" t="str">
        <f t="shared" ca="1" si="97"/>
        <v>Wang Lin Wei</v>
      </c>
      <c r="E373" t="str" cm="1">
        <f t="array" aca="1" ref="E373" ca="1">INDIRECT(ADDRESS(RANDBETWEEN(2,16),7,1,1,"valueBase"))</f>
        <v>男性</v>
      </c>
      <c r="F373" s="5">
        <f t="shared" ca="1" si="98"/>
        <v>22969</v>
      </c>
      <c r="G373" s="5">
        <f t="shared" ca="1" si="99"/>
        <v>44122</v>
      </c>
      <c r="H373" s="5">
        <f t="shared" ca="1" si="100"/>
        <v>45217</v>
      </c>
      <c r="I373" t="str">
        <f t="shared" ca="1" si="101"/>
        <v>080-6334-3714</v>
      </c>
      <c r="J373" t="str">
        <f t="shared" ca="1" si="102"/>
        <v>Wang_Lin_Wei_44122@outlook.jp.co</v>
      </c>
      <c r="K373" t="str">
        <f t="shared" ca="1" si="103"/>
        <v>普通</v>
      </c>
      <c r="L373" t="str">
        <f t="shared" ca="1" si="104"/>
        <v>-</v>
      </c>
      <c r="M373" t="str">
        <f t="shared" ca="1" si="105"/>
        <v>-</v>
      </c>
      <c r="N373" t="str">
        <f t="shared" ca="1" si="106"/>
        <v>有り</v>
      </c>
      <c r="O373">
        <f t="shared" ca="1" si="107"/>
        <v>628</v>
      </c>
      <c r="R373">
        <f t="shared" ca="1" si="108"/>
        <v>3</v>
      </c>
      <c r="S373">
        <f t="shared" ca="1" si="109"/>
        <v>128</v>
      </c>
      <c r="T373">
        <f t="shared" ca="1" si="110"/>
        <v>1970</v>
      </c>
      <c r="U373">
        <f t="shared" ca="1" si="111"/>
        <v>1972</v>
      </c>
      <c r="V373">
        <f t="shared" ca="1" si="112"/>
        <v>10</v>
      </c>
      <c r="W373">
        <f t="shared" ca="1" si="113"/>
        <v>9</v>
      </c>
    </row>
    <row r="374" spans="1:23">
      <c r="A374" t="s">
        <v>1102</v>
      </c>
      <c r="B374" t="str">
        <f t="shared" ca="1" si="95"/>
        <v>羅日劍</v>
      </c>
      <c r="C374" t="str">
        <f t="shared" ca="1" si="96"/>
        <v>ﾙｵ ｩﾘｰ ｼﾞｴﾝ</v>
      </c>
      <c r="D374" t="str">
        <f t="shared" ca="1" si="97"/>
        <v>Luo Ri Jian</v>
      </c>
      <c r="E374" t="str" cm="1">
        <f t="array" aca="1" ref="E374" ca="1">INDIRECT(ADDRESS(RANDBETWEEN(2,16),7,1,1,"valueBase"))</f>
        <v>女性</v>
      </c>
      <c r="F374" s="5">
        <f t="shared" ca="1" si="98"/>
        <v>34582</v>
      </c>
      <c r="G374" s="5">
        <f t="shared" ca="1" si="99"/>
        <v>45099</v>
      </c>
      <c r="H374" s="5">
        <f t="shared" ca="1" si="100"/>
        <v>45829</v>
      </c>
      <c r="I374" t="str">
        <f t="shared" ca="1" si="101"/>
        <v>080-5055-1570</v>
      </c>
      <c r="J374" t="str">
        <f t="shared" ca="1" si="102"/>
        <v>Luo_Ri_Jian_45099@outlook.jp.co</v>
      </c>
      <c r="K374" t="str">
        <f t="shared" ca="1" si="103"/>
        <v>普通</v>
      </c>
      <c r="L374" t="str">
        <f t="shared" ca="1" si="104"/>
        <v>-</v>
      </c>
      <c r="M374" t="str">
        <f t="shared" ca="1" si="105"/>
        <v>-</v>
      </c>
      <c r="N374" t="str">
        <f t="shared" ca="1" si="106"/>
        <v>有り</v>
      </c>
      <c r="O374">
        <f t="shared" ca="1" si="107"/>
        <v>547</v>
      </c>
      <c r="R374">
        <f t="shared" ca="1" si="108"/>
        <v>21</v>
      </c>
      <c r="S374">
        <f t="shared" ca="1" si="109"/>
        <v>195</v>
      </c>
      <c r="T374">
        <f t="shared" ca="1" si="110"/>
        <v>1999</v>
      </c>
      <c r="U374">
        <f t="shared" ca="1" si="111"/>
        <v>2001</v>
      </c>
      <c r="V374">
        <f t="shared" ca="1" si="112"/>
        <v>7</v>
      </c>
      <c r="W374">
        <f t="shared" ca="1" si="113"/>
        <v>23</v>
      </c>
    </row>
    <row r="375" spans="1:23">
      <c r="A375" t="s">
        <v>1103</v>
      </c>
      <c r="B375" t="str">
        <f t="shared" ca="1" si="95"/>
        <v>馮宗藍</v>
      </c>
      <c r="C375" t="str">
        <f t="shared" ca="1" si="96"/>
        <v>ﾌｵﾝ ｿﾞｰﾝ ﾗﾝ</v>
      </c>
      <c r="D375" t="str">
        <f t="shared" ca="1" si="97"/>
        <v>Feng Zong Lan</v>
      </c>
      <c r="E375" t="str" cm="1">
        <f t="array" aca="1" ref="E375" ca="1">INDIRECT(ADDRESS(RANDBETWEEN(2,16),7,1,1,"valueBase"))</f>
        <v>女性</v>
      </c>
      <c r="F375" s="5">
        <f t="shared" ca="1" si="98"/>
        <v>26092</v>
      </c>
      <c r="G375" s="5">
        <f t="shared" ca="1" si="99"/>
        <v>44270</v>
      </c>
      <c r="H375" s="5">
        <f t="shared" ca="1" si="100"/>
        <v>45365</v>
      </c>
      <c r="I375" t="str">
        <f t="shared" ca="1" si="101"/>
        <v>090-0273-4949</v>
      </c>
      <c r="J375" t="str">
        <f t="shared" ca="1" si="102"/>
        <v>Feng_Zong_Lan_44270@outlook.jp.co</v>
      </c>
      <c r="K375" t="str">
        <f t="shared" ca="1" si="103"/>
        <v>普通</v>
      </c>
      <c r="L375" t="str">
        <f t="shared" ca="1" si="104"/>
        <v>有り</v>
      </c>
      <c r="M375" t="str">
        <f t="shared" ca="1" si="105"/>
        <v>5%</v>
      </c>
      <c r="N375" t="str">
        <f t="shared" ca="1" si="106"/>
        <v>有り</v>
      </c>
      <c r="O375">
        <f t="shared" ca="1" si="107"/>
        <v>819</v>
      </c>
      <c r="R375">
        <f t="shared" ca="1" si="108"/>
        <v>28</v>
      </c>
      <c r="S375">
        <f t="shared" ca="1" si="109"/>
        <v>171</v>
      </c>
      <c r="T375">
        <f t="shared" ca="1" si="110"/>
        <v>2009</v>
      </c>
      <c r="U375">
        <f t="shared" ca="1" si="111"/>
        <v>2021</v>
      </c>
      <c r="V375">
        <f t="shared" ca="1" si="112"/>
        <v>12</v>
      </c>
      <c r="W375">
        <f t="shared" ca="1" si="113"/>
        <v>14</v>
      </c>
    </row>
    <row r="376" spans="1:23">
      <c r="A376" t="s">
        <v>1104</v>
      </c>
      <c r="B376" t="str">
        <f t="shared" ca="1" si="95"/>
        <v>趙致複</v>
      </c>
      <c r="C376" t="str">
        <f t="shared" ca="1" si="96"/>
        <v>ｼﾞｬｵ ｼﾞｰ ﾌｩ</v>
      </c>
      <c r="D376" t="str">
        <f t="shared" ca="1" si="97"/>
        <v>Zhao Zhi Fu</v>
      </c>
      <c r="E376" t="str" cm="1">
        <f t="array" aca="1" ref="E376" ca="1">INDIRECT(ADDRESS(RANDBETWEEN(2,16),7,1,1,"valueBase"))</f>
        <v>男性</v>
      </c>
      <c r="F376" s="5">
        <f t="shared" ca="1" si="98"/>
        <v>38425</v>
      </c>
      <c r="G376" s="5">
        <f t="shared" ca="1" si="99"/>
        <v>45289</v>
      </c>
      <c r="H376" s="5">
        <f t="shared" ca="1" si="100"/>
        <v>45654</v>
      </c>
      <c r="I376" t="str">
        <f t="shared" ca="1" si="101"/>
        <v>090-5094-2705</v>
      </c>
      <c r="J376" t="str">
        <f t="shared" ca="1" si="102"/>
        <v>Zhao_Zhi_Fu_45289@outlook.jp.co</v>
      </c>
      <c r="K376" t="str">
        <f t="shared" ca="1" si="103"/>
        <v>高級</v>
      </c>
      <c r="L376" t="str">
        <f t="shared" ca="1" si="104"/>
        <v>有り</v>
      </c>
      <c r="M376" t="str">
        <f t="shared" ca="1" si="105"/>
        <v>10%</v>
      </c>
      <c r="N376" t="str">
        <f t="shared" ca="1" si="106"/>
        <v>有り</v>
      </c>
      <c r="O376">
        <f t="shared" ca="1" si="107"/>
        <v>625</v>
      </c>
      <c r="R376">
        <f t="shared" ca="1" si="108"/>
        <v>8</v>
      </c>
      <c r="S376">
        <f t="shared" ca="1" si="109"/>
        <v>79</v>
      </c>
      <c r="T376">
        <f t="shared" ca="1" si="110"/>
        <v>1970</v>
      </c>
      <c r="U376">
        <f t="shared" ca="1" si="111"/>
        <v>1980</v>
      </c>
      <c r="V376">
        <f t="shared" ca="1" si="112"/>
        <v>4</v>
      </c>
      <c r="W376">
        <f t="shared" ca="1" si="113"/>
        <v>20</v>
      </c>
    </row>
    <row r="377" spans="1:23">
      <c r="A377" t="s">
        <v>1105</v>
      </c>
      <c r="B377" t="str">
        <f t="shared" ca="1" si="95"/>
        <v>馮旋衡</v>
      </c>
      <c r="C377" t="str">
        <f t="shared" ca="1" si="96"/>
        <v>ﾌｵﾝ ｼｭｴﾝ ﾎｩｵﾝ</v>
      </c>
      <c r="D377" t="str">
        <f t="shared" ca="1" si="97"/>
        <v>Feng Xuan Heng</v>
      </c>
      <c r="E377" t="str" cm="1">
        <f t="array" aca="1" ref="E377" ca="1">INDIRECT(ADDRESS(RANDBETWEEN(2,16),7,1,1,"valueBase"))</f>
        <v>女性</v>
      </c>
      <c r="F377" s="5">
        <f t="shared" ca="1" si="98"/>
        <v>32169</v>
      </c>
      <c r="G377" s="5">
        <f t="shared" ca="1" si="99"/>
        <v>41689</v>
      </c>
      <c r="H377" s="5">
        <f t="shared" ca="1" si="100"/>
        <v>42784</v>
      </c>
      <c r="I377" t="str">
        <f t="shared" ca="1" si="101"/>
        <v>090-9905-2846</v>
      </c>
      <c r="J377" t="str">
        <f t="shared" ca="1" si="102"/>
        <v>Feng_Xuan_Heng_41689@outlook.jp.co</v>
      </c>
      <c r="K377" t="str">
        <f t="shared" ca="1" si="103"/>
        <v>普通</v>
      </c>
      <c r="L377" t="str">
        <f t="shared" ca="1" si="104"/>
        <v>有り</v>
      </c>
      <c r="M377" t="str">
        <f t="shared" ca="1" si="105"/>
        <v>5%</v>
      </c>
      <c r="N377" t="str">
        <f t="shared" ca="1" si="106"/>
        <v>有り</v>
      </c>
      <c r="O377">
        <f t="shared" ca="1" si="107"/>
        <v>692</v>
      </c>
      <c r="R377">
        <f t="shared" ca="1" si="108"/>
        <v>28</v>
      </c>
      <c r="S377">
        <f t="shared" ca="1" si="109"/>
        <v>232</v>
      </c>
      <c r="T377">
        <f t="shared" ca="1" si="110"/>
        <v>1987</v>
      </c>
      <c r="U377">
        <f t="shared" ca="1" si="111"/>
        <v>1999</v>
      </c>
      <c r="V377">
        <f t="shared" ca="1" si="112"/>
        <v>4</v>
      </c>
      <c r="W377">
        <f t="shared" ca="1" si="113"/>
        <v>6</v>
      </c>
    </row>
    <row r="378" spans="1:23">
      <c r="A378" t="s">
        <v>1106</v>
      </c>
      <c r="B378" t="str">
        <f t="shared" ca="1" si="95"/>
        <v>鄭嘉時</v>
      </c>
      <c r="C378" t="str">
        <f t="shared" ca="1" si="96"/>
        <v>ｼﾞｭﾖﾝ ｼﾞｱ ｼｰ</v>
      </c>
      <c r="D378" t="str">
        <f t="shared" ca="1" si="97"/>
        <v>Zheng Jia Shi</v>
      </c>
      <c r="E378" t="str" cm="1">
        <f t="array" aca="1" ref="E378" ca="1">INDIRECT(ADDRESS(RANDBETWEEN(2,16),7,1,1,"valueBase"))</f>
        <v>男性</v>
      </c>
      <c r="F378" s="5">
        <f t="shared" ca="1" si="98"/>
        <v>37618</v>
      </c>
      <c r="G378" s="5">
        <f t="shared" ca="1" si="99"/>
        <v>45365</v>
      </c>
      <c r="H378" s="5">
        <f t="shared" ca="1" si="100"/>
        <v>46460</v>
      </c>
      <c r="I378" t="str">
        <f t="shared" ca="1" si="101"/>
        <v>080-8561-8465</v>
      </c>
      <c r="J378" t="str">
        <f t="shared" ca="1" si="102"/>
        <v>Zheng_Jia_Shi_45365@outlook.jp.co</v>
      </c>
      <c r="K378" t="str">
        <f t="shared" ca="1" si="103"/>
        <v>高級</v>
      </c>
      <c r="L378" t="str">
        <f t="shared" ca="1" si="104"/>
        <v>有り</v>
      </c>
      <c r="M378" t="str">
        <f t="shared" ca="1" si="105"/>
        <v>10%</v>
      </c>
      <c r="N378" t="str">
        <f t="shared" ca="1" si="106"/>
        <v>有り</v>
      </c>
      <c r="O378">
        <f t="shared" ca="1" si="107"/>
        <v>439</v>
      </c>
      <c r="R378">
        <f t="shared" ca="1" si="108"/>
        <v>24</v>
      </c>
      <c r="S378">
        <f t="shared" ca="1" si="109"/>
        <v>87</v>
      </c>
      <c r="T378">
        <f t="shared" ca="1" si="110"/>
        <v>2003</v>
      </c>
      <c r="U378">
        <f t="shared" ca="1" si="111"/>
        <v>2012</v>
      </c>
      <c r="V378">
        <f t="shared" ca="1" si="112"/>
        <v>5</v>
      </c>
      <c r="W378">
        <f t="shared" ca="1" si="113"/>
        <v>9</v>
      </c>
    </row>
    <row r="379" spans="1:23">
      <c r="A379" t="s">
        <v>1107</v>
      </c>
      <c r="B379" t="str">
        <f t="shared" ca="1" si="95"/>
        <v>朱皇特</v>
      </c>
      <c r="C379" t="str">
        <f t="shared" ca="1" si="96"/>
        <v>ｼﾞｭｳ ﾎﾜｰﾝ ﾄｰｧ</v>
      </c>
      <c r="D379" t="str">
        <f t="shared" ca="1" si="97"/>
        <v>Zhu Huang Te</v>
      </c>
      <c r="E379" t="str" cm="1">
        <f t="array" aca="1" ref="E379" ca="1">INDIRECT(ADDRESS(RANDBETWEEN(2,16),7,1,1,"valueBase"))</f>
        <v>男性</v>
      </c>
      <c r="F379" s="5">
        <f t="shared" ca="1" si="98"/>
        <v>29114</v>
      </c>
      <c r="G379" s="5">
        <f t="shared" ca="1" si="99"/>
        <v>38367</v>
      </c>
      <c r="H379" s="5">
        <f t="shared" ca="1" si="100"/>
        <v>38732</v>
      </c>
      <c r="I379" t="str">
        <f t="shared" ca="1" si="101"/>
        <v>090-2304-6342</v>
      </c>
      <c r="J379" t="str">
        <f t="shared" ca="1" si="102"/>
        <v>Zhu_Huang_Te_38367@outlook.jp.co</v>
      </c>
      <c r="K379" t="str">
        <f t="shared" ca="1" si="103"/>
        <v>普通</v>
      </c>
      <c r="L379" t="str">
        <f t="shared" ca="1" si="104"/>
        <v>-</v>
      </c>
      <c r="M379" t="str">
        <f t="shared" ca="1" si="105"/>
        <v>-</v>
      </c>
      <c r="N379" t="str">
        <f t="shared" ca="1" si="106"/>
        <v>有り</v>
      </c>
      <c r="O379">
        <f t="shared" ca="1" si="107"/>
        <v>209</v>
      </c>
      <c r="R379">
        <f t="shared" ca="1" si="108"/>
        <v>15</v>
      </c>
      <c r="S379">
        <f t="shared" ca="1" si="109"/>
        <v>179</v>
      </c>
      <c r="T379">
        <f t="shared" ca="1" si="110"/>
        <v>1998</v>
      </c>
      <c r="U379">
        <f t="shared" ca="1" si="111"/>
        <v>2006</v>
      </c>
      <c r="V379">
        <f t="shared" ca="1" si="112"/>
        <v>4</v>
      </c>
      <c r="W379">
        <f t="shared" ca="1" si="113"/>
        <v>25</v>
      </c>
    </row>
    <row r="380" spans="1:23">
      <c r="A380" t="s">
        <v>1108</v>
      </c>
      <c r="B380" t="str">
        <f t="shared" ca="1" si="95"/>
        <v>趙相輝</v>
      </c>
      <c r="C380" t="str">
        <f t="shared" ca="1" si="96"/>
        <v>ｼﾞｬｵ ｼｱｰﾝ ﾎｩｲ</v>
      </c>
      <c r="D380" t="str">
        <f t="shared" ca="1" si="97"/>
        <v>Zhao Xiang Hui</v>
      </c>
      <c r="E380" t="str" cm="1">
        <f t="array" aca="1" ref="E380" ca="1">INDIRECT(ADDRESS(RANDBETWEEN(2,16),7,1,1,"valueBase"))</f>
        <v>男性</v>
      </c>
      <c r="F380" s="5">
        <f t="shared" ca="1" si="98"/>
        <v>35217</v>
      </c>
      <c r="G380" s="5">
        <f t="shared" ca="1" si="99"/>
        <v>42632</v>
      </c>
      <c r="H380" s="5">
        <f t="shared" ca="1" si="100"/>
        <v>42997</v>
      </c>
      <c r="I380" t="str">
        <f t="shared" ca="1" si="101"/>
        <v>080-9462-1274</v>
      </c>
      <c r="J380" t="str">
        <f t="shared" ca="1" si="102"/>
        <v>Zhao_Xiang_Hui_42632@outlook.jp.co</v>
      </c>
      <c r="K380" t="str">
        <f t="shared" ca="1" si="103"/>
        <v>普通</v>
      </c>
      <c r="L380" t="str">
        <f t="shared" ca="1" si="104"/>
        <v>有り</v>
      </c>
      <c r="M380" t="str">
        <f t="shared" ca="1" si="105"/>
        <v>5%</v>
      </c>
      <c r="N380" t="str">
        <f t="shared" ca="1" si="106"/>
        <v>有り</v>
      </c>
      <c r="O380">
        <f t="shared" ca="1" si="107"/>
        <v>648</v>
      </c>
      <c r="R380">
        <f t="shared" ca="1" si="108"/>
        <v>8</v>
      </c>
      <c r="S380">
        <f t="shared" ca="1" si="109"/>
        <v>290</v>
      </c>
      <c r="T380">
        <f t="shared" ca="1" si="110"/>
        <v>2004</v>
      </c>
      <c r="U380">
        <f t="shared" ca="1" si="111"/>
        <v>2013</v>
      </c>
      <c r="V380">
        <f t="shared" ca="1" si="112"/>
        <v>12</v>
      </c>
      <c r="W380">
        <f t="shared" ca="1" si="113"/>
        <v>17</v>
      </c>
    </row>
    <row r="381" spans="1:23">
      <c r="A381" t="s">
        <v>1109</v>
      </c>
      <c r="B381" t="str">
        <f t="shared" ca="1" si="95"/>
        <v>宋金訊</v>
      </c>
      <c r="C381" t="str">
        <f t="shared" ca="1" si="96"/>
        <v>ｿｰﾝ ｼﾞﾝ ｼｭｲﾝ</v>
      </c>
      <c r="D381" t="str">
        <f t="shared" ca="1" si="97"/>
        <v>Song Jin Xun</v>
      </c>
      <c r="E381" t="str" cm="1">
        <f t="array" aca="1" ref="E381" ca="1">INDIRECT(ADDRESS(RANDBETWEEN(2,16),7,1,1,"valueBase"))</f>
        <v>男性</v>
      </c>
      <c r="F381" s="5">
        <f t="shared" ca="1" si="98"/>
        <v>23630</v>
      </c>
      <c r="G381" s="5">
        <f t="shared" ca="1" si="99"/>
        <v>42518</v>
      </c>
      <c r="H381" s="5">
        <f t="shared" ca="1" si="100"/>
        <v>42883</v>
      </c>
      <c r="I381" t="str">
        <f t="shared" ca="1" si="101"/>
        <v>080-2849-1410</v>
      </c>
      <c r="J381" t="str">
        <f t="shared" ca="1" si="102"/>
        <v>Song_Jin_Xun_42518@outlook.jp.co</v>
      </c>
      <c r="K381" t="str">
        <f t="shared" ca="1" si="103"/>
        <v>普通</v>
      </c>
      <c r="L381" t="str">
        <f t="shared" ca="1" si="104"/>
        <v>有り</v>
      </c>
      <c r="M381" t="str">
        <f t="shared" ca="1" si="105"/>
        <v>5%</v>
      </c>
      <c r="N381" t="str">
        <f t="shared" ca="1" si="106"/>
        <v>有り</v>
      </c>
      <c r="O381">
        <f t="shared" ca="1" si="107"/>
        <v>922</v>
      </c>
      <c r="R381">
        <f t="shared" ca="1" si="108"/>
        <v>23</v>
      </c>
      <c r="S381">
        <f t="shared" ca="1" si="109"/>
        <v>167</v>
      </c>
      <c r="T381">
        <f t="shared" ca="1" si="110"/>
        <v>1997</v>
      </c>
      <c r="U381">
        <f t="shared" ca="1" si="111"/>
        <v>2000</v>
      </c>
      <c r="V381">
        <f t="shared" ca="1" si="112"/>
        <v>5</v>
      </c>
      <c r="W381">
        <f t="shared" ca="1" si="113"/>
        <v>7</v>
      </c>
    </row>
    <row r="382" spans="1:23">
      <c r="A382" t="s">
        <v>1110</v>
      </c>
      <c r="B382" t="str">
        <f t="shared" ca="1" si="95"/>
        <v>楊潤頓</v>
      </c>
      <c r="C382" t="str">
        <f t="shared" ca="1" si="96"/>
        <v>ﾔｰﾝ ｩﾙﾝ ﾄﾞｩﾝ</v>
      </c>
      <c r="D382" t="str">
        <f t="shared" ca="1" si="97"/>
        <v>Yang Run Dun</v>
      </c>
      <c r="E382" t="str" cm="1">
        <f t="array" aca="1" ref="E382" ca="1">INDIRECT(ADDRESS(RANDBETWEEN(2,16),7,1,1,"valueBase"))</f>
        <v>女性</v>
      </c>
      <c r="F382" s="5">
        <f t="shared" ca="1" si="98"/>
        <v>24143</v>
      </c>
      <c r="G382" s="5">
        <f t="shared" ca="1" si="99"/>
        <v>40613</v>
      </c>
      <c r="H382" s="5">
        <f t="shared" ca="1" si="100"/>
        <v>41343</v>
      </c>
      <c r="I382" t="str">
        <f t="shared" ca="1" si="101"/>
        <v>080-8927-5673</v>
      </c>
      <c r="J382" t="str">
        <f t="shared" ca="1" si="102"/>
        <v>Yang_Run Dun_40613@outlook.jp.co</v>
      </c>
      <c r="K382" t="str">
        <f t="shared" ca="1" si="103"/>
        <v>普通</v>
      </c>
      <c r="L382" t="str">
        <f t="shared" ca="1" si="104"/>
        <v>有り</v>
      </c>
      <c r="M382" t="str">
        <f t="shared" ca="1" si="105"/>
        <v>5%</v>
      </c>
      <c r="N382" t="str">
        <f t="shared" ca="1" si="106"/>
        <v>有り</v>
      </c>
      <c r="O382">
        <f t="shared" ca="1" si="107"/>
        <v>710</v>
      </c>
      <c r="R382">
        <f t="shared" ca="1" si="108"/>
        <v>7</v>
      </c>
      <c r="S382">
        <f t="shared" ca="1" si="109"/>
        <v>144</v>
      </c>
      <c r="T382">
        <f t="shared" ca="1" si="110"/>
        <v>2001</v>
      </c>
      <c r="U382">
        <f t="shared" ca="1" si="111"/>
        <v>2005</v>
      </c>
      <c r="V382">
        <f t="shared" ca="1" si="112"/>
        <v>4</v>
      </c>
      <c r="W382">
        <f t="shared" ca="1" si="113"/>
        <v>15</v>
      </c>
    </row>
    <row r="383" spans="1:23">
      <c r="A383" t="s">
        <v>1111</v>
      </c>
      <c r="B383" t="str">
        <f t="shared" ca="1" si="95"/>
        <v>趙勳林</v>
      </c>
      <c r="C383" t="str">
        <f t="shared" ca="1" si="96"/>
        <v>ｼﾞｬｵ ｼｭｲﾝ ﾘﾝ</v>
      </c>
      <c r="D383" t="str">
        <f t="shared" ca="1" si="97"/>
        <v>Zhao Xun Lin</v>
      </c>
      <c r="E383" t="str" cm="1">
        <f t="array" aca="1" ref="E383" ca="1">INDIRECT(ADDRESS(RANDBETWEEN(2,16),7,1,1,"valueBase"))</f>
        <v>男性</v>
      </c>
      <c r="F383" s="5">
        <f t="shared" ca="1" si="98"/>
        <v>26263</v>
      </c>
      <c r="G383" s="5">
        <f t="shared" ca="1" si="99"/>
        <v>34063</v>
      </c>
      <c r="H383" s="5">
        <f t="shared" ca="1" si="100"/>
        <v>34428</v>
      </c>
      <c r="I383" t="str">
        <f t="shared" ca="1" si="101"/>
        <v>090-9498-0227</v>
      </c>
      <c r="J383" t="str">
        <f t="shared" ca="1" si="102"/>
        <v>Zhao_Xun_Lin_34063@outlook.jp.co</v>
      </c>
      <c r="K383" t="str">
        <f t="shared" ca="1" si="103"/>
        <v>高級</v>
      </c>
      <c r="L383" t="str">
        <f t="shared" ca="1" si="104"/>
        <v>有り</v>
      </c>
      <c r="M383" t="str">
        <f t="shared" ca="1" si="105"/>
        <v>10%</v>
      </c>
      <c r="N383" t="str">
        <f t="shared" ca="1" si="106"/>
        <v>有り</v>
      </c>
      <c r="O383">
        <f t="shared" ca="1" si="107"/>
        <v>100</v>
      </c>
      <c r="R383">
        <f t="shared" ca="1" si="108"/>
        <v>8</v>
      </c>
      <c r="S383">
        <f t="shared" ca="1" si="109"/>
        <v>261</v>
      </c>
      <c r="T383">
        <f t="shared" ca="1" si="110"/>
        <v>2010</v>
      </c>
      <c r="U383">
        <f t="shared" ca="1" si="111"/>
        <v>2019</v>
      </c>
      <c r="V383">
        <f t="shared" ca="1" si="112"/>
        <v>2</v>
      </c>
      <c r="W383">
        <f t="shared" ca="1" si="113"/>
        <v>17</v>
      </c>
    </row>
    <row r="384" spans="1:23">
      <c r="A384" t="s">
        <v>1112</v>
      </c>
      <c r="B384" t="str">
        <f t="shared" ca="1" si="95"/>
        <v>馮偉榮</v>
      </c>
      <c r="C384" t="str">
        <f t="shared" ca="1" si="96"/>
        <v>ﾌｵﾝ ｳｴｲ ｩﾛｰﾝ</v>
      </c>
      <c r="D384" t="str">
        <f t="shared" ca="1" si="97"/>
        <v>Feng Wei Rong</v>
      </c>
      <c r="E384" t="str" cm="1">
        <f t="array" aca="1" ref="E384" ca="1">INDIRECT(ADDRESS(RANDBETWEEN(2,16),7,1,1,"valueBase"))</f>
        <v>男性</v>
      </c>
      <c r="F384" s="5">
        <f t="shared" ca="1" si="98"/>
        <v>29928</v>
      </c>
      <c r="G384" s="5">
        <f t="shared" ca="1" si="99"/>
        <v>44174</v>
      </c>
      <c r="H384" s="5">
        <f t="shared" ca="1" si="100"/>
        <v>44904</v>
      </c>
      <c r="I384" t="str">
        <f t="shared" ca="1" si="101"/>
        <v>080-6314-8020</v>
      </c>
      <c r="J384" t="str">
        <f t="shared" ca="1" si="102"/>
        <v>Feng_Wei_Rong_44174@outlook.jp.co</v>
      </c>
      <c r="K384" t="str">
        <f t="shared" ca="1" si="103"/>
        <v>普通</v>
      </c>
      <c r="L384" t="str">
        <f t="shared" ca="1" si="104"/>
        <v>有り</v>
      </c>
      <c r="M384" t="str">
        <f t="shared" ca="1" si="105"/>
        <v>5%</v>
      </c>
      <c r="N384" t="str">
        <f t="shared" ca="1" si="106"/>
        <v>有り</v>
      </c>
      <c r="O384">
        <f t="shared" ca="1" si="107"/>
        <v>591</v>
      </c>
      <c r="R384">
        <f t="shared" ca="1" si="108"/>
        <v>28</v>
      </c>
      <c r="S384">
        <f t="shared" ca="1" si="109"/>
        <v>265</v>
      </c>
      <c r="T384">
        <f t="shared" ca="1" si="110"/>
        <v>2009</v>
      </c>
      <c r="U384">
        <f t="shared" ca="1" si="111"/>
        <v>2021</v>
      </c>
      <c r="V384">
        <f t="shared" ca="1" si="112"/>
        <v>8</v>
      </c>
      <c r="W384">
        <f t="shared" ca="1" si="113"/>
        <v>8</v>
      </c>
    </row>
    <row r="385" spans="1:23">
      <c r="A385" t="s">
        <v>1113</v>
      </c>
      <c r="B385" t="str">
        <f t="shared" ca="1" si="95"/>
        <v>梁月心</v>
      </c>
      <c r="C385" t="str">
        <f t="shared" ca="1" si="96"/>
        <v>ﾘﾔｰﾝ ﾕｴ ｼﾝ</v>
      </c>
      <c r="D385" t="str">
        <f t="shared" ca="1" si="97"/>
        <v>Liang Yue Xin</v>
      </c>
      <c r="E385" t="str" cm="1">
        <f t="array" aca="1" ref="E385" ca="1">INDIRECT(ADDRESS(RANDBETWEEN(2,16),7,1,1,"valueBase"))</f>
        <v>女性</v>
      </c>
      <c r="F385" s="5">
        <f t="shared" ca="1" si="98"/>
        <v>31131</v>
      </c>
      <c r="G385" s="5">
        <f t="shared" ca="1" si="99"/>
        <v>40280</v>
      </c>
      <c r="H385" s="5">
        <f t="shared" ca="1" si="100"/>
        <v>40645</v>
      </c>
      <c r="I385" t="str">
        <f t="shared" ca="1" si="101"/>
        <v>080-0701-8893</v>
      </c>
      <c r="J385" t="str">
        <f t="shared" ca="1" si="102"/>
        <v>Liang_Yue_Xin_40280@outlook.jp.co</v>
      </c>
      <c r="K385" t="str">
        <f t="shared" ca="1" si="103"/>
        <v>普通</v>
      </c>
      <c r="L385" t="str">
        <f t="shared" ca="1" si="104"/>
        <v>有り</v>
      </c>
      <c r="M385" t="str">
        <f t="shared" ca="1" si="105"/>
        <v>5%</v>
      </c>
      <c r="N385" t="str">
        <f t="shared" ca="1" si="106"/>
        <v>有り</v>
      </c>
      <c r="O385">
        <f t="shared" ca="1" si="107"/>
        <v>288</v>
      </c>
      <c r="R385">
        <f t="shared" ca="1" si="108"/>
        <v>22</v>
      </c>
      <c r="S385">
        <f t="shared" ca="1" si="109"/>
        <v>316</v>
      </c>
      <c r="T385">
        <f t="shared" ca="1" si="110"/>
        <v>2004</v>
      </c>
      <c r="U385">
        <f t="shared" ca="1" si="111"/>
        <v>2009</v>
      </c>
      <c r="V385">
        <f t="shared" ca="1" si="112"/>
        <v>6</v>
      </c>
      <c r="W385">
        <f t="shared" ca="1" si="113"/>
        <v>29</v>
      </c>
    </row>
    <row r="386" spans="1:23">
      <c r="A386" t="s">
        <v>1114</v>
      </c>
      <c r="B386" t="str">
        <f t="shared" ca="1" si="95"/>
        <v>梁萌至</v>
      </c>
      <c r="C386" t="str">
        <f t="shared" ca="1" si="96"/>
        <v>ﾘﾔｰﾝ ﾑｵﾝ ｼﾞｰ</v>
      </c>
      <c r="D386" t="str">
        <f t="shared" ca="1" si="97"/>
        <v>Liang Meng Zhi</v>
      </c>
      <c r="E386" t="str" cm="1">
        <f t="array" aca="1" ref="E386" ca="1">INDIRECT(ADDRESS(RANDBETWEEN(2,16),7,1,1,"valueBase"))</f>
        <v>女性</v>
      </c>
      <c r="F386" s="5">
        <f t="shared" ca="1" si="98"/>
        <v>36530</v>
      </c>
      <c r="G386" s="5">
        <f t="shared" ca="1" si="99"/>
        <v>44518</v>
      </c>
      <c r="H386" s="5">
        <f t="shared" ca="1" si="100"/>
        <v>45248</v>
      </c>
      <c r="I386" t="str">
        <f t="shared" ca="1" si="101"/>
        <v>080-4485-0989</v>
      </c>
      <c r="J386" t="str">
        <f t="shared" ca="1" si="102"/>
        <v>Liang_Meng_Zhi_44518@outlook.jp.co</v>
      </c>
      <c r="K386" t="str">
        <f t="shared" ca="1" si="103"/>
        <v>普通</v>
      </c>
      <c r="L386" t="str">
        <f t="shared" ca="1" si="104"/>
        <v>有り</v>
      </c>
      <c r="M386" t="str">
        <f t="shared" ca="1" si="105"/>
        <v>5%</v>
      </c>
      <c r="N386" t="str">
        <f t="shared" ca="1" si="106"/>
        <v>有り</v>
      </c>
      <c r="O386">
        <f t="shared" ca="1" si="107"/>
        <v>838</v>
      </c>
      <c r="R386">
        <f t="shared" ca="1" si="108"/>
        <v>22</v>
      </c>
      <c r="S386">
        <f t="shared" ca="1" si="109"/>
        <v>139</v>
      </c>
      <c r="T386">
        <f t="shared" ca="1" si="110"/>
        <v>2006</v>
      </c>
      <c r="U386">
        <f t="shared" ca="1" si="111"/>
        <v>2015</v>
      </c>
      <c r="V386">
        <f t="shared" ca="1" si="112"/>
        <v>8</v>
      </c>
      <c r="W386">
        <f t="shared" ca="1" si="113"/>
        <v>28</v>
      </c>
    </row>
    <row r="387" spans="1:23">
      <c r="A387" t="s">
        <v>1115</v>
      </c>
      <c r="B387" t="str">
        <f t="shared" ref="B387:B397" ca="1" si="114">_xlfn.CONCAT(INDIRECT(ADDRESS(R387,1,1,1,"valueBase")),INDIRECT(ADDRESS(S387,4,1,1,"valueBase")))</f>
        <v>趙彩金</v>
      </c>
      <c r="C387" t="str">
        <f t="shared" ref="C387:C397" ca="1" si="115">_xlfn.CONCAT(INDIRECT(ADDRESS(R387,2,1,1,"valueBase")),INDIRECT(ADDRESS(S387,5,1,1,"valueBase")))</f>
        <v>ｼﾞｬｵ ﾂｧｲ ｼﾞﾝ</v>
      </c>
      <c r="D387" t="str">
        <f t="shared" ref="D387:D397" ca="1" si="116">_xlfn.CONCAT(INDIRECT(ADDRESS(R387,3,1,1,"valueBase")),INDIRECT(ADDRESS(S387,6,1,1,"valueBase")))</f>
        <v>Zhao Cai Jin</v>
      </c>
      <c r="E387" t="str" cm="1">
        <f t="array" aca="1" ref="E387" ca="1">INDIRECT(ADDRESS(RANDBETWEEN(2,16),7,1,1,"valueBase"))</f>
        <v>男性</v>
      </c>
      <c r="F387" s="5">
        <f t="shared" ref="F387:F450" ca="1" si="117">RANDBETWEEN(21916,NOW() - 6574)</f>
        <v>32510</v>
      </c>
      <c r="G387" s="5">
        <f t="shared" ref="G387:G450" ca="1" si="118">RANDBETWEEN(F387 + 6574,NOW())</f>
        <v>41329</v>
      </c>
      <c r="H387" s="5">
        <f t="shared" ref="H387:H450" ca="1" si="119">G387 + RANDBETWEEN(1,3) * 365</f>
        <v>42424</v>
      </c>
      <c r="I387" t="str">
        <f t="shared" ref="I387:I640" ca="1" si="120">CONCATENATE("0",RANDBETWEEN(8,9),"0","-",RANDBETWEEN(0,9),RANDBETWEEN(0,9),RANDBETWEEN(0,9),RANDBETWEEN(0,9),"-",RANDBETWEEN(0,9),RANDBETWEEN(0,9),RANDBETWEEN(0,9),RANDBETWEEN(0,9))</f>
        <v>080-5997-4206</v>
      </c>
      <c r="J387" t="str">
        <f t="shared" ref="J387:J397" ca="1" si="121">CONCATENATE(SUBSTITUTE(D387," ","_"),"_",SUBSTITUTE(G387,"/","_"),"@outlook.jp.co")</f>
        <v>Zhao_Cai_Jin_41329@outlook.jp.co</v>
      </c>
      <c r="K387" t="str">
        <f t="shared" ref="K387:K640" ca="1" si="122">IF(RANDBETWEEN(1,10) &gt; 6,"高級","普通")</f>
        <v>高級</v>
      </c>
      <c r="L387" t="str">
        <f t="shared" ref="L387:L640" ca="1" si="123">IF(RANDBETWEEN(1,10) &gt; 8,"-","有り")</f>
        <v>有り</v>
      </c>
      <c r="M387" t="str">
        <f t="shared" ref="M387:M397" ca="1" si="124">IF(L387 = "有り",IF(K387 = "高級","10%","5%"),"-")</f>
        <v>10%</v>
      </c>
      <c r="N387" t="str">
        <f t="shared" ref="N387:N640" ca="1" si="125">IF(RANDBETWEEN(1,10) &gt; 8,"-","有り")</f>
        <v>有り</v>
      </c>
      <c r="O387">
        <f t="shared" ref="O387:O640" ca="1" si="126">IF(N387 = "有り",RANDBETWEEN(0,1000),"-")</f>
        <v>23</v>
      </c>
      <c r="R387">
        <f t="shared" ref="R387:R638" ca="1" si="127">RANDBETWEEN(2,29)</f>
        <v>8</v>
      </c>
      <c r="S387">
        <f t="shared" ref="S387:S638" ca="1" si="128">RANDBETWEEN(2,331)</f>
        <v>214</v>
      </c>
      <c r="T387">
        <f t="shared" ref="T387:T638" ca="1" si="129">RANDBETWEEN(1970,2010)</f>
        <v>1989</v>
      </c>
      <c r="U387">
        <f t="shared" ref="U387:U638" ca="1" si="130">T387 + RANDBETWEEN(1,12)</f>
        <v>1996</v>
      </c>
      <c r="V387">
        <f t="shared" ref="V387:V638" ca="1" si="131">RANDBETWEEN(1,12)</f>
        <v>8</v>
      </c>
      <c r="W387">
        <f t="shared" ref="W387:W638" ca="1" si="132">IF(V387=2,RANDBETWEEN(1,28),IF(V387=4,RANDBETWEEN(1,30),IF(V387=6,RANDBETWEEN(1,30),IF(V387=9,RANDBETWEEN(1,30),IF(V387=11,RANDBETWEEN(1,30),RANDBETWEEN(1,31))))))</f>
        <v>11</v>
      </c>
    </row>
    <row r="388" spans="1:23">
      <c r="A388" t="s">
        <v>1116</v>
      </c>
      <c r="B388" t="str">
        <f t="shared" ca="1" si="114"/>
        <v>陳米慕</v>
      </c>
      <c r="C388" t="str">
        <f t="shared" ca="1" si="115"/>
        <v>ﾁｪﾝ ﾐｰ ﾑｩ</v>
      </c>
      <c r="D388" t="str">
        <f t="shared" ca="1" si="116"/>
        <v>Chen Mi Mu</v>
      </c>
      <c r="E388" t="str" cm="1">
        <f t="array" aca="1" ref="E388" ca="1">INDIRECT(ADDRESS(RANDBETWEEN(2,16),7,1,1,"valueBase"))</f>
        <v>女性</v>
      </c>
      <c r="F388" s="5">
        <f t="shared" ca="1" si="117"/>
        <v>33738</v>
      </c>
      <c r="G388" s="5">
        <f t="shared" ca="1" si="118"/>
        <v>45446</v>
      </c>
      <c r="H388" s="5">
        <f t="shared" ca="1" si="119"/>
        <v>45811</v>
      </c>
      <c r="I388" t="str">
        <f t="shared" ca="1" si="120"/>
        <v>090-9427-1643</v>
      </c>
      <c r="J388" t="str">
        <f t="shared" ca="1" si="121"/>
        <v>Chen_Mi_Mu_45446@outlook.jp.co</v>
      </c>
      <c r="K388" t="str">
        <f t="shared" ca="1" si="122"/>
        <v>高級</v>
      </c>
      <c r="L388" t="str">
        <f t="shared" ca="1" si="123"/>
        <v>有り</v>
      </c>
      <c r="M388" t="str">
        <f t="shared" ca="1" si="124"/>
        <v>10%</v>
      </c>
      <c r="N388" t="str">
        <f t="shared" ca="1" si="125"/>
        <v>有り</v>
      </c>
      <c r="O388">
        <f t="shared" ca="1" si="126"/>
        <v>281</v>
      </c>
      <c r="R388">
        <f t="shared" ca="1" si="127"/>
        <v>6</v>
      </c>
      <c r="S388">
        <f t="shared" ca="1" si="128"/>
        <v>37</v>
      </c>
      <c r="T388">
        <f t="shared" ca="1" si="129"/>
        <v>1985</v>
      </c>
      <c r="U388">
        <f t="shared" ca="1" si="130"/>
        <v>1991</v>
      </c>
      <c r="V388">
        <f t="shared" ca="1" si="131"/>
        <v>11</v>
      </c>
      <c r="W388">
        <f t="shared" ca="1" si="132"/>
        <v>10</v>
      </c>
    </row>
    <row r="389" spans="1:23">
      <c r="A389" t="s">
        <v>1117</v>
      </c>
      <c r="B389" t="str">
        <f t="shared" ca="1" si="114"/>
        <v>唐巨峰</v>
      </c>
      <c r="C389" t="str">
        <f t="shared" ca="1" si="115"/>
        <v>ﾀｰﾝ ｼﾞｭｲ ﾌｵﾝ</v>
      </c>
      <c r="D389" t="str">
        <f t="shared" ca="1" si="116"/>
        <v>Tang Ju Feng</v>
      </c>
      <c r="E389" t="str" cm="1">
        <f t="array" aca="1" ref="E389" ca="1">INDIRECT(ADDRESS(RANDBETWEEN(2,16),7,1,1,"valueBase"))</f>
        <v>男性</v>
      </c>
      <c r="F389" s="5">
        <f t="shared" ca="1" si="117"/>
        <v>33010</v>
      </c>
      <c r="G389" s="5">
        <f t="shared" ca="1" si="118"/>
        <v>42591</v>
      </c>
      <c r="H389" s="5">
        <f t="shared" ca="1" si="119"/>
        <v>43686</v>
      </c>
      <c r="I389" t="str">
        <f t="shared" ca="1" si="120"/>
        <v>080-9983-5638</v>
      </c>
      <c r="J389" t="str">
        <f t="shared" ca="1" si="121"/>
        <v>Tang_Ju_Feng_42591@outlook.jp.co</v>
      </c>
      <c r="K389" t="str">
        <f t="shared" ca="1" si="122"/>
        <v>普通</v>
      </c>
      <c r="L389" t="str">
        <f t="shared" ca="1" si="123"/>
        <v>有り</v>
      </c>
      <c r="M389" t="str">
        <f t="shared" ca="1" si="124"/>
        <v>5%</v>
      </c>
      <c r="N389" t="str">
        <f t="shared" ca="1" si="125"/>
        <v>-</v>
      </c>
      <c r="O389" t="str">
        <f t="shared" ca="1" si="126"/>
        <v>-</v>
      </c>
      <c r="R389">
        <f t="shared" ca="1" si="127"/>
        <v>27</v>
      </c>
      <c r="S389">
        <f t="shared" ca="1" si="128"/>
        <v>13</v>
      </c>
      <c r="T389">
        <f t="shared" ca="1" si="129"/>
        <v>2002</v>
      </c>
      <c r="U389">
        <f t="shared" ca="1" si="130"/>
        <v>2010</v>
      </c>
      <c r="V389">
        <f t="shared" ca="1" si="131"/>
        <v>10</v>
      </c>
      <c r="W389">
        <f t="shared" ca="1" si="132"/>
        <v>30</v>
      </c>
    </row>
    <row r="390" spans="1:23">
      <c r="A390" t="s">
        <v>1118</v>
      </c>
      <c r="B390" t="str">
        <f t="shared" ca="1" si="114"/>
        <v>羅軒荒</v>
      </c>
      <c r="C390" t="str">
        <f t="shared" ca="1" si="115"/>
        <v>ﾙｵ ｼｭｴﾝ ﾎﾜｰﾝ</v>
      </c>
      <c r="D390" t="str">
        <f t="shared" ca="1" si="116"/>
        <v>Luo Xuan Huang</v>
      </c>
      <c r="E390" t="str" cm="1">
        <f t="array" aca="1" ref="E390" ca="1">INDIRECT(ADDRESS(RANDBETWEEN(2,16),7,1,1,"valueBase"))</f>
        <v>女性</v>
      </c>
      <c r="F390" s="5">
        <f t="shared" ca="1" si="117"/>
        <v>35958</v>
      </c>
      <c r="G390" s="5">
        <f t="shared" ca="1" si="118"/>
        <v>43556</v>
      </c>
      <c r="H390" s="5">
        <f t="shared" ca="1" si="119"/>
        <v>44651</v>
      </c>
      <c r="I390" t="str">
        <f t="shared" ca="1" si="120"/>
        <v>090-4613-7826</v>
      </c>
      <c r="J390" t="str">
        <f t="shared" ca="1" si="121"/>
        <v>Luo_Xuan_Huang_43556@outlook.jp.co</v>
      </c>
      <c r="K390" t="str">
        <f t="shared" ca="1" si="122"/>
        <v>普通</v>
      </c>
      <c r="L390" t="str">
        <f t="shared" ca="1" si="123"/>
        <v>有り</v>
      </c>
      <c r="M390" t="str">
        <f t="shared" ca="1" si="124"/>
        <v>5%</v>
      </c>
      <c r="N390" t="str">
        <f t="shared" ca="1" si="125"/>
        <v>有り</v>
      </c>
      <c r="O390">
        <f t="shared" ca="1" si="126"/>
        <v>117</v>
      </c>
      <c r="R390">
        <f t="shared" ca="1" si="127"/>
        <v>21</v>
      </c>
      <c r="S390">
        <f t="shared" ca="1" si="128"/>
        <v>86</v>
      </c>
      <c r="T390">
        <f t="shared" ca="1" si="129"/>
        <v>2006</v>
      </c>
      <c r="U390">
        <f t="shared" ca="1" si="130"/>
        <v>2016</v>
      </c>
      <c r="V390">
        <f t="shared" ca="1" si="131"/>
        <v>11</v>
      </c>
      <c r="W390">
        <f t="shared" ca="1" si="132"/>
        <v>21</v>
      </c>
    </row>
    <row r="391" spans="1:23">
      <c r="A391" t="s">
        <v>1119</v>
      </c>
      <c r="B391" t="str">
        <f t="shared" ca="1" si="114"/>
        <v>羅一貿</v>
      </c>
      <c r="C391" t="str">
        <f t="shared" ca="1" si="115"/>
        <v>ﾙｵ ｲｰ ﾏｵ</v>
      </c>
      <c r="D391" t="str">
        <f t="shared" ca="1" si="116"/>
        <v>Luo Yi Mao</v>
      </c>
      <c r="E391" t="str" cm="1">
        <f t="array" aca="1" ref="E391" ca="1">INDIRECT(ADDRESS(RANDBETWEEN(2,16),7,1,1,"valueBase"))</f>
        <v>男性</v>
      </c>
      <c r="F391" s="5">
        <f t="shared" ca="1" si="117"/>
        <v>27248</v>
      </c>
      <c r="G391" s="5">
        <f t="shared" ca="1" si="118"/>
        <v>36730</v>
      </c>
      <c r="H391" s="5">
        <f t="shared" ca="1" si="119"/>
        <v>37095</v>
      </c>
      <c r="I391" t="str">
        <f t="shared" ca="1" si="120"/>
        <v>090-8602-0996</v>
      </c>
      <c r="J391" t="str">
        <f t="shared" ca="1" si="121"/>
        <v>Luo_Yi_Mao_36730@outlook.jp.co</v>
      </c>
      <c r="K391" t="str">
        <f t="shared" ca="1" si="122"/>
        <v>普通</v>
      </c>
      <c r="L391" t="str">
        <f t="shared" ca="1" si="123"/>
        <v>-</v>
      </c>
      <c r="M391" t="str">
        <f t="shared" ca="1" si="124"/>
        <v>-</v>
      </c>
      <c r="N391" t="str">
        <f t="shared" ca="1" si="125"/>
        <v>有り</v>
      </c>
      <c r="O391">
        <f t="shared" ca="1" si="126"/>
        <v>621</v>
      </c>
      <c r="R391">
        <f t="shared" ca="1" si="127"/>
        <v>21</v>
      </c>
      <c r="S391">
        <f t="shared" ca="1" si="128"/>
        <v>95</v>
      </c>
      <c r="T391">
        <f t="shared" ca="1" si="129"/>
        <v>1983</v>
      </c>
      <c r="U391">
        <f t="shared" ca="1" si="130"/>
        <v>1988</v>
      </c>
      <c r="V391">
        <f t="shared" ca="1" si="131"/>
        <v>10</v>
      </c>
      <c r="W391">
        <f t="shared" ca="1" si="132"/>
        <v>29</v>
      </c>
    </row>
    <row r="392" spans="1:23">
      <c r="A392" t="s">
        <v>1120</v>
      </c>
      <c r="B392" t="str">
        <f t="shared" ca="1" si="114"/>
        <v>王媛雲</v>
      </c>
      <c r="C392" t="str">
        <f t="shared" ca="1" si="115"/>
        <v>ﾜｰﾝ ﾕｴﾝ ﾕｲﾝ</v>
      </c>
      <c r="D392" t="str">
        <f t="shared" ca="1" si="116"/>
        <v>Wang Yuan Yun</v>
      </c>
      <c r="E392" t="str" cm="1">
        <f t="array" aca="1" ref="E392" ca="1">INDIRECT(ADDRESS(RANDBETWEEN(2,16),7,1,1,"valueBase"))</f>
        <v>女性</v>
      </c>
      <c r="F392" s="5">
        <f t="shared" ca="1" si="117"/>
        <v>35500</v>
      </c>
      <c r="G392" s="5">
        <f t="shared" ca="1" si="118"/>
        <v>42893</v>
      </c>
      <c r="H392" s="5">
        <f t="shared" ca="1" si="119"/>
        <v>43623</v>
      </c>
      <c r="I392" t="str">
        <f t="shared" ca="1" si="120"/>
        <v>090-2116-4519</v>
      </c>
      <c r="J392" t="str">
        <f t="shared" ca="1" si="121"/>
        <v>Wang_Yuan_Yun_42893@outlook.jp.co</v>
      </c>
      <c r="K392" t="str">
        <f t="shared" ca="1" si="122"/>
        <v>普通</v>
      </c>
      <c r="L392" t="str">
        <f t="shared" ca="1" si="123"/>
        <v>有り</v>
      </c>
      <c r="M392" t="str">
        <f t="shared" ca="1" si="124"/>
        <v>5%</v>
      </c>
      <c r="N392" t="str">
        <f t="shared" ca="1" si="125"/>
        <v>有り</v>
      </c>
      <c r="O392">
        <f t="shared" ca="1" si="126"/>
        <v>261</v>
      </c>
      <c r="R392">
        <f t="shared" ca="1" si="127"/>
        <v>3</v>
      </c>
      <c r="S392">
        <f t="shared" ca="1" si="128"/>
        <v>205</v>
      </c>
      <c r="T392">
        <f t="shared" ca="1" si="129"/>
        <v>1998</v>
      </c>
      <c r="U392">
        <f t="shared" ca="1" si="130"/>
        <v>2008</v>
      </c>
      <c r="V392">
        <f t="shared" ca="1" si="131"/>
        <v>9</v>
      </c>
      <c r="W392">
        <f t="shared" ca="1" si="132"/>
        <v>30</v>
      </c>
    </row>
    <row r="393" spans="1:23">
      <c r="A393" t="s">
        <v>1121</v>
      </c>
      <c r="B393" t="str">
        <f t="shared" ca="1" si="114"/>
        <v>劉至凡</v>
      </c>
      <c r="C393" t="str">
        <f t="shared" ca="1" si="115"/>
        <v>ﾘｳ ｼﾞｰ ﾌｧﾝ</v>
      </c>
      <c r="D393" t="str">
        <f t="shared" ca="1" si="116"/>
        <v>Liu Zhi Fan</v>
      </c>
      <c r="E393" t="str" cm="1">
        <f t="array" aca="1" ref="E393" ca="1">INDIRECT(ADDRESS(RANDBETWEEN(2,16),7,1,1,"valueBase"))</f>
        <v>女性</v>
      </c>
      <c r="F393" s="5">
        <f t="shared" ca="1" si="117"/>
        <v>25717</v>
      </c>
      <c r="G393" s="5">
        <f t="shared" ca="1" si="118"/>
        <v>45387</v>
      </c>
      <c r="H393" s="5">
        <f t="shared" ca="1" si="119"/>
        <v>46482</v>
      </c>
      <c r="I393" t="str">
        <f t="shared" ca="1" si="120"/>
        <v>090-0316-9386</v>
      </c>
      <c r="J393" t="str">
        <f t="shared" ca="1" si="121"/>
        <v>Liu_Zhi_Fan_45387@outlook.jp.co</v>
      </c>
      <c r="K393" t="str">
        <f t="shared" ca="1" si="122"/>
        <v>高級</v>
      </c>
      <c r="L393" t="str">
        <f t="shared" ca="1" si="123"/>
        <v>有り</v>
      </c>
      <c r="M393" t="str">
        <f t="shared" ca="1" si="124"/>
        <v>10%</v>
      </c>
      <c r="N393" t="str">
        <f t="shared" ca="1" si="125"/>
        <v>-</v>
      </c>
      <c r="O393" t="str">
        <f t="shared" ca="1" si="126"/>
        <v>-</v>
      </c>
      <c r="R393">
        <f t="shared" ca="1" si="127"/>
        <v>5</v>
      </c>
      <c r="S393">
        <f t="shared" ca="1" si="128"/>
        <v>191</v>
      </c>
      <c r="T393">
        <f t="shared" ca="1" si="129"/>
        <v>1987</v>
      </c>
      <c r="U393">
        <f t="shared" ca="1" si="130"/>
        <v>1994</v>
      </c>
      <c r="V393">
        <f t="shared" ca="1" si="131"/>
        <v>12</v>
      </c>
      <c r="W393">
        <f t="shared" ca="1" si="132"/>
        <v>14</v>
      </c>
    </row>
    <row r="394" spans="1:23">
      <c r="A394" t="s">
        <v>1122</v>
      </c>
      <c r="B394" t="str">
        <f t="shared" ca="1" si="114"/>
        <v>唐曲佳</v>
      </c>
      <c r="C394" t="str">
        <f t="shared" ca="1" si="115"/>
        <v>ﾀｰﾝ ﾁｭｲ ｼﾞｱ</v>
      </c>
      <c r="D394" t="str">
        <f t="shared" ca="1" si="116"/>
        <v>Tang Qu Jia</v>
      </c>
      <c r="E394" t="str" cm="1">
        <f t="array" aca="1" ref="E394" ca="1">INDIRECT(ADDRESS(RANDBETWEEN(2,16),7,1,1,"valueBase"))</f>
        <v>女性</v>
      </c>
      <c r="F394" s="5">
        <f t="shared" ca="1" si="117"/>
        <v>27343</v>
      </c>
      <c r="G394" s="5">
        <f t="shared" ca="1" si="118"/>
        <v>38658</v>
      </c>
      <c r="H394" s="5">
        <f t="shared" ca="1" si="119"/>
        <v>39023</v>
      </c>
      <c r="I394" t="str">
        <f t="shared" ca="1" si="120"/>
        <v>090-5746-1922</v>
      </c>
      <c r="J394" t="str">
        <f t="shared" ca="1" si="121"/>
        <v>Tang_Qu_Jia_38658@outlook.jp.co</v>
      </c>
      <c r="K394" t="str">
        <f t="shared" ca="1" si="122"/>
        <v>高級</v>
      </c>
      <c r="L394" t="str">
        <f t="shared" ca="1" si="123"/>
        <v>有り</v>
      </c>
      <c r="M394" t="str">
        <f t="shared" ca="1" si="124"/>
        <v>10%</v>
      </c>
      <c r="N394" t="str">
        <f t="shared" ca="1" si="125"/>
        <v>-</v>
      </c>
      <c r="O394" t="str">
        <f t="shared" ca="1" si="126"/>
        <v>-</v>
      </c>
      <c r="R394">
        <f t="shared" ca="1" si="127"/>
        <v>27</v>
      </c>
      <c r="S394">
        <f t="shared" ca="1" si="128"/>
        <v>116</v>
      </c>
      <c r="T394">
        <f t="shared" ca="1" si="129"/>
        <v>1975</v>
      </c>
      <c r="U394">
        <f t="shared" ca="1" si="130"/>
        <v>1979</v>
      </c>
      <c r="V394">
        <f t="shared" ca="1" si="131"/>
        <v>11</v>
      </c>
      <c r="W394">
        <f t="shared" ca="1" si="132"/>
        <v>4</v>
      </c>
    </row>
    <row r="395" spans="1:23">
      <c r="A395" t="s">
        <v>1123</v>
      </c>
      <c r="B395" t="str">
        <f t="shared" ca="1" si="114"/>
        <v>陳超萬</v>
      </c>
      <c r="C395" t="str">
        <f t="shared" ca="1" si="115"/>
        <v>ﾁｪﾝ ﾁｬｵ ﾜﾝ</v>
      </c>
      <c r="D395" t="str">
        <f t="shared" ca="1" si="116"/>
        <v>Chen Chao Wan</v>
      </c>
      <c r="E395" t="str" cm="1">
        <f t="array" aca="1" ref="E395" ca="1">INDIRECT(ADDRESS(RANDBETWEEN(2,16),7,1,1,"valueBase"))</f>
        <v>女性</v>
      </c>
      <c r="F395" s="5">
        <f t="shared" ca="1" si="117"/>
        <v>27160</v>
      </c>
      <c r="G395" s="5">
        <f t="shared" ca="1" si="118"/>
        <v>43624</v>
      </c>
      <c r="H395" s="5">
        <f t="shared" ca="1" si="119"/>
        <v>43989</v>
      </c>
      <c r="I395" t="str">
        <f t="shared" ca="1" si="120"/>
        <v>080-7669-3844</v>
      </c>
      <c r="J395" t="str">
        <f t="shared" ca="1" si="121"/>
        <v>Chen_Chao_Wan_43624@outlook.jp.co</v>
      </c>
      <c r="K395" t="str">
        <f t="shared" ca="1" si="122"/>
        <v>高級</v>
      </c>
      <c r="L395" t="str">
        <f t="shared" ca="1" si="123"/>
        <v>有り</v>
      </c>
      <c r="M395" t="str">
        <f t="shared" ca="1" si="124"/>
        <v>10%</v>
      </c>
      <c r="N395" t="str">
        <f t="shared" ca="1" si="125"/>
        <v>有り</v>
      </c>
      <c r="O395">
        <f t="shared" ca="1" si="126"/>
        <v>924</v>
      </c>
      <c r="R395">
        <f t="shared" ca="1" si="127"/>
        <v>6</v>
      </c>
      <c r="S395">
        <f t="shared" ca="1" si="128"/>
        <v>226</v>
      </c>
      <c r="T395">
        <f t="shared" ca="1" si="129"/>
        <v>1992</v>
      </c>
      <c r="U395">
        <f t="shared" ca="1" si="130"/>
        <v>1997</v>
      </c>
      <c r="V395">
        <f t="shared" ca="1" si="131"/>
        <v>9</v>
      </c>
      <c r="W395">
        <f t="shared" ca="1" si="132"/>
        <v>25</v>
      </c>
    </row>
    <row r="396" spans="1:23">
      <c r="A396" t="s">
        <v>1124</v>
      </c>
      <c r="B396" t="str">
        <f t="shared" ca="1" si="114"/>
        <v>吳耿晏</v>
      </c>
      <c r="C396" t="str">
        <f t="shared" ca="1" si="115"/>
        <v>ｳｰ ｸﾞｵﾝ ｲｴﾝ</v>
      </c>
      <c r="D396" t="str">
        <f t="shared" ca="1" si="116"/>
        <v>Wu Geng Yan</v>
      </c>
      <c r="E396" t="str" cm="1">
        <f t="array" aca="1" ref="E396" ca="1">INDIRECT(ADDRESS(RANDBETWEEN(2,16),7,1,1,"valueBase"))</f>
        <v>男性</v>
      </c>
      <c r="F396" s="5">
        <f t="shared" ca="1" si="117"/>
        <v>34329</v>
      </c>
      <c r="G396" s="5">
        <f t="shared" ca="1" si="118"/>
        <v>45282</v>
      </c>
      <c r="H396" s="5">
        <f t="shared" ca="1" si="119"/>
        <v>46012</v>
      </c>
      <c r="I396" t="str">
        <f t="shared" ca="1" si="120"/>
        <v>090-2567-4612</v>
      </c>
      <c r="J396" t="str">
        <f t="shared" ca="1" si="121"/>
        <v>Wu_Geng_Yan_45282@outlook.jp.co</v>
      </c>
      <c r="K396" t="str">
        <f t="shared" ca="1" si="122"/>
        <v>高級</v>
      </c>
      <c r="L396" t="str">
        <f t="shared" ca="1" si="123"/>
        <v>有り</v>
      </c>
      <c r="M396" t="str">
        <f t="shared" ca="1" si="124"/>
        <v>10%</v>
      </c>
      <c r="N396" t="str">
        <f t="shared" ca="1" si="125"/>
        <v>有り</v>
      </c>
      <c r="O396">
        <f t="shared" ca="1" si="126"/>
        <v>48</v>
      </c>
      <c r="R396">
        <f t="shared" ca="1" si="127"/>
        <v>11</v>
      </c>
      <c r="S396">
        <f t="shared" ca="1" si="128"/>
        <v>241</v>
      </c>
      <c r="T396">
        <f t="shared" ca="1" si="129"/>
        <v>2004</v>
      </c>
      <c r="U396">
        <f t="shared" ca="1" si="130"/>
        <v>2014</v>
      </c>
      <c r="V396">
        <f t="shared" ca="1" si="131"/>
        <v>1</v>
      </c>
      <c r="W396">
        <f t="shared" ca="1" si="132"/>
        <v>13</v>
      </c>
    </row>
    <row r="397" spans="1:23">
      <c r="A397" t="s">
        <v>1125</v>
      </c>
      <c r="B397" t="str">
        <f t="shared" ca="1" si="114"/>
        <v>高美貿</v>
      </c>
      <c r="C397" t="str">
        <f t="shared" ca="1" si="115"/>
        <v>ｶﾞｵ ﾒｲ ﾏｵ</v>
      </c>
      <c r="D397" t="str">
        <f t="shared" ca="1" si="116"/>
        <v>Gao Mei Mao</v>
      </c>
      <c r="E397" t="str" cm="1">
        <f t="array" aca="1" ref="E397" ca="1">INDIRECT(ADDRESS(RANDBETWEEN(2,16),7,1,1,"valueBase"))</f>
        <v>女性</v>
      </c>
      <c r="F397" s="5">
        <f t="shared" ca="1" si="117"/>
        <v>27389</v>
      </c>
      <c r="G397" s="5">
        <f t="shared" ca="1" si="118"/>
        <v>43784</v>
      </c>
      <c r="H397" s="5">
        <f t="shared" ca="1" si="119"/>
        <v>44879</v>
      </c>
      <c r="I397" t="str">
        <f t="shared" ca="1" si="120"/>
        <v>090-1328-6359</v>
      </c>
      <c r="J397" t="str">
        <f t="shared" ca="1" si="121"/>
        <v>Gao_Mei_Mao_43784@outlook.jp.co</v>
      </c>
      <c r="K397" t="str">
        <f t="shared" ca="1" si="122"/>
        <v>普通</v>
      </c>
      <c r="L397" t="str">
        <f t="shared" ca="1" si="123"/>
        <v>-</v>
      </c>
      <c r="M397" t="str">
        <f t="shared" ca="1" si="124"/>
        <v>-</v>
      </c>
      <c r="N397" t="str">
        <f t="shared" ca="1" si="125"/>
        <v>有り</v>
      </c>
      <c r="O397">
        <f t="shared" ca="1" si="126"/>
        <v>452</v>
      </c>
      <c r="R397">
        <f t="shared" ca="1" si="127"/>
        <v>16</v>
      </c>
      <c r="S397">
        <f t="shared" ca="1" si="128"/>
        <v>89</v>
      </c>
      <c r="T397">
        <f t="shared" ca="1" si="129"/>
        <v>1972</v>
      </c>
      <c r="U397">
        <f t="shared" ca="1" si="130"/>
        <v>1977</v>
      </c>
      <c r="V397">
        <f t="shared" ca="1" si="131"/>
        <v>1</v>
      </c>
      <c r="W397">
        <f t="shared" ca="1" si="132"/>
        <v>7</v>
      </c>
    </row>
    <row r="398" spans="1:23">
      <c r="A398" t="s">
        <v>1518</v>
      </c>
      <c r="B398" t="str">
        <f t="shared" ref="B398:B461" ca="1" si="133">_xlfn.CONCAT(INDIRECT(ADDRESS(R398,1,1,1,"valueBase")),INDIRECT(ADDRESS(S398,4,1,1,"valueBase")))</f>
        <v>馮忠本</v>
      </c>
      <c r="C398" t="str">
        <f t="shared" ref="C398:C461" ca="1" si="134">_xlfn.CONCAT(INDIRECT(ADDRESS(R398,2,1,1,"valueBase")),INDIRECT(ADDRESS(S398,5,1,1,"valueBase")))</f>
        <v>ﾌｵﾝ ｼﾞｮｰﾝ ﾍﾞﾝ</v>
      </c>
      <c r="D398" t="str">
        <f t="shared" ref="D398:D461" ca="1" si="135">_xlfn.CONCAT(INDIRECT(ADDRESS(R398,3,1,1,"valueBase")),INDIRECT(ADDRESS(S398,6,1,1,"valueBase")))</f>
        <v>Feng Zhong Ben</v>
      </c>
      <c r="E398" t="str" cm="1">
        <f t="array" aca="1" ref="E398" ca="1">INDIRECT(ADDRESS(RANDBETWEEN(2,16),7,1,1,"valueBase"))</f>
        <v>女性</v>
      </c>
      <c r="F398" s="5">
        <f t="shared" ca="1" si="117"/>
        <v>29926</v>
      </c>
      <c r="G398" s="5">
        <f t="shared" ca="1" si="118"/>
        <v>39529</v>
      </c>
      <c r="H398" s="5">
        <f t="shared" ca="1" si="119"/>
        <v>40259</v>
      </c>
      <c r="I398" t="str">
        <f t="shared" ca="1" si="120"/>
        <v>080-8689-8954</v>
      </c>
      <c r="J398" t="str">
        <f t="shared" ref="J398:J461" ca="1" si="136">CONCATENATE(SUBSTITUTE(D398," ","_"),"_",SUBSTITUTE(G398,"/","_"),"@outlook.jp.co")</f>
        <v>Feng_Zhong_Ben_39529@outlook.jp.co</v>
      </c>
      <c r="K398" t="str">
        <f t="shared" ca="1" si="122"/>
        <v>普通</v>
      </c>
      <c r="L398" t="str">
        <f t="shared" ca="1" si="123"/>
        <v>有り</v>
      </c>
      <c r="M398" t="str">
        <f t="shared" ref="M398:M461" ca="1" si="137">IF(L398 = "有り",IF(K398 = "高級","10%","5%"),"-")</f>
        <v>5%</v>
      </c>
      <c r="N398" t="str">
        <f t="shared" ca="1" si="125"/>
        <v>有り</v>
      </c>
      <c r="O398">
        <f t="shared" ca="1" si="126"/>
        <v>875</v>
      </c>
      <c r="R398">
        <f t="shared" ca="1" si="127"/>
        <v>28</v>
      </c>
      <c r="S398">
        <f t="shared" ca="1" si="128"/>
        <v>212</v>
      </c>
      <c r="T398">
        <f t="shared" ca="1" si="129"/>
        <v>2009</v>
      </c>
      <c r="U398">
        <f t="shared" ca="1" si="130"/>
        <v>2010</v>
      </c>
      <c r="V398">
        <f t="shared" ca="1" si="131"/>
        <v>8</v>
      </c>
      <c r="W398">
        <f t="shared" ca="1" si="132"/>
        <v>22</v>
      </c>
    </row>
    <row r="399" spans="1:23">
      <c r="A399" t="s">
        <v>1519</v>
      </c>
      <c r="B399" t="str">
        <f t="shared" ca="1" si="133"/>
        <v>何影雙</v>
      </c>
      <c r="C399" t="str">
        <f t="shared" ca="1" si="134"/>
        <v>ﾎｰｧ ｲｰﾝ ｼｭﾜｰﾝ</v>
      </c>
      <c r="D399" t="str">
        <f t="shared" ca="1" si="135"/>
        <v>He Ying Shuang</v>
      </c>
      <c r="E399" t="str" cm="1">
        <f t="array" aca="1" ref="E399" ca="1">INDIRECT(ADDRESS(RANDBETWEEN(2,16),7,1,1,"valueBase"))</f>
        <v>男性</v>
      </c>
      <c r="F399" s="5">
        <f t="shared" ca="1" si="117"/>
        <v>23670</v>
      </c>
      <c r="G399" s="5">
        <f t="shared" ca="1" si="118"/>
        <v>44084</v>
      </c>
      <c r="H399" s="5">
        <f t="shared" ca="1" si="119"/>
        <v>44814</v>
      </c>
      <c r="I399" t="str">
        <f t="shared" ca="1" si="120"/>
        <v>090-6513-4056</v>
      </c>
      <c r="J399" t="str">
        <f t="shared" ca="1" si="136"/>
        <v>He_Ying_Shuang_44084@outlook.jp.co</v>
      </c>
      <c r="K399" t="str">
        <f t="shared" ca="1" si="122"/>
        <v>高級</v>
      </c>
      <c r="L399" t="str">
        <f t="shared" ca="1" si="123"/>
        <v>有り</v>
      </c>
      <c r="M399" t="str">
        <f t="shared" ca="1" si="137"/>
        <v>10%</v>
      </c>
      <c r="N399" t="str">
        <f t="shared" ca="1" si="125"/>
        <v>-</v>
      </c>
      <c r="O399" t="str">
        <f t="shared" ca="1" si="126"/>
        <v>-</v>
      </c>
      <c r="R399">
        <f t="shared" ca="1" si="127"/>
        <v>18</v>
      </c>
      <c r="S399">
        <f t="shared" ca="1" si="128"/>
        <v>323</v>
      </c>
      <c r="T399">
        <f t="shared" ca="1" si="129"/>
        <v>1974</v>
      </c>
      <c r="U399">
        <f t="shared" ca="1" si="130"/>
        <v>1981</v>
      </c>
      <c r="V399">
        <f t="shared" ca="1" si="131"/>
        <v>4</v>
      </c>
      <c r="W399">
        <f t="shared" ca="1" si="132"/>
        <v>3</v>
      </c>
    </row>
    <row r="400" spans="1:23">
      <c r="A400" t="s">
        <v>1520</v>
      </c>
      <c r="B400" t="str">
        <f t="shared" ca="1" si="133"/>
        <v>劉濤松</v>
      </c>
      <c r="C400" t="str">
        <f t="shared" ca="1" si="134"/>
        <v>ﾘｳ ﾀｵ ｿｰﾝ</v>
      </c>
      <c r="D400" t="str">
        <f t="shared" ca="1" si="135"/>
        <v>Liu Tao Song</v>
      </c>
      <c r="E400" t="str" cm="1">
        <f t="array" aca="1" ref="E400" ca="1">INDIRECT(ADDRESS(RANDBETWEEN(2,16),7,1,1,"valueBase"))</f>
        <v>女性</v>
      </c>
      <c r="F400" s="5">
        <f t="shared" ca="1" si="117"/>
        <v>33221</v>
      </c>
      <c r="G400" s="5">
        <f t="shared" ca="1" si="118"/>
        <v>43566</v>
      </c>
      <c r="H400" s="5">
        <f t="shared" ca="1" si="119"/>
        <v>43931</v>
      </c>
      <c r="I400" t="str">
        <f t="shared" ca="1" si="120"/>
        <v>080-9425-9345</v>
      </c>
      <c r="J400" t="str">
        <f t="shared" ca="1" si="136"/>
        <v>Liu_Tao_Song_43566@outlook.jp.co</v>
      </c>
      <c r="K400" t="str">
        <f t="shared" ca="1" si="122"/>
        <v>高級</v>
      </c>
      <c r="L400" t="str">
        <f t="shared" ca="1" si="123"/>
        <v>有り</v>
      </c>
      <c r="M400" t="str">
        <f t="shared" ca="1" si="137"/>
        <v>10%</v>
      </c>
      <c r="N400" t="str">
        <f t="shared" ca="1" si="125"/>
        <v>有り</v>
      </c>
      <c r="O400">
        <f t="shared" ca="1" si="126"/>
        <v>680</v>
      </c>
      <c r="R400">
        <f t="shared" ca="1" si="127"/>
        <v>5</v>
      </c>
      <c r="S400">
        <f t="shared" ca="1" si="128"/>
        <v>260</v>
      </c>
      <c r="T400">
        <f t="shared" ca="1" si="129"/>
        <v>1970</v>
      </c>
      <c r="U400">
        <f t="shared" ca="1" si="130"/>
        <v>1977</v>
      </c>
      <c r="V400">
        <f t="shared" ca="1" si="131"/>
        <v>4</v>
      </c>
      <c r="W400">
        <f t="shared" ca="1" si="132"/>
        <v>14</v>
      </c>
    </row>
    <row r="401" spans="1:23">
      <c r="A401" t="s">
        <v>1521</v>
      </c>
      <c r="B401" t="str">
        <f t="shared" ca="1" si="133"/>
        <v>楊儒銀</v>
      </c>
      <c r="C401" t="str">
        <f t="shared" ca="1" si="134"/>
        <v>ﾔｰﾝ ｩﾙｩ ｲﾝ</v>
      </c>
      <c r="D401" t="str">
        <f t="shared" ca="1" si="135"/>
        <v>Yang Ru Yin</v>
      </c>
      <c r="E401" t="str" cm="1">
        <f t="array" aca="1" ref="E401" ca="1">INDIRECT(ADDRESS(RANDBETWEEN(2,16),7,1,1,"valueBase"))</f>
        <v>男性</v>
      </c>
      <c r="F401" s="5">
        <f t="shared" ca="1" si="117"/>
        <v>34983</v>
      </c>
      <c r="G401" s="5">
        <f t="shared" ca="1" si="118"/>
        <v>44253</v>
      </c>
      <c r="H401" s="5">
        <f t="shared" ca="1" si="119"/>
        <v>44618</v>
      </c>
      <c r="I401" t="str">
        <f t="shared" ca="1" si="120"/>
        <v>080-3742-9680</v>
      </c>
      <c r="J401" t="str">
        <f t="shared" ca="1" si="136"/>
        <v>Yang_Ru_Yin_44253@outlook.jp.co</v>
      </c>
      <c r="K401" t="str">
        <f t="shared" ca="1" si="122"/>
        <v>高級</v>
      </c>
      <c r="L401" t="str">
        <f t="shared" ca="1" si="123"/>
        <v>有り</v>
      </c>
      <c r="M401" t="str">
        <f t="shared" ca="1" si="137"/>
        <v>10%</v>
      </c>
      <c r="N401" t="str">
        <f t="shared" ca="1" si="125"/>
        <v>-</v>
      </c>
      <c r="O401" t="str">
        <f t="shared" ca="1" si="126"/>
        <v>-</v>
      </c>
      <c r="R401">
        <f t="shared" ca="1" si="127"/>
        <v>7</v>
      </c>
      <c r="S401">
        <f t="shared" ca="1" si="128"/>
        <v>126</v>
      </c>
      <c r="T401">
        <f t="shared" ca="1" si="129"/>
        <v>1976</v>
      </c>
      <c r="U401">
        <f t="shared" ca="1" si="130"/>
        <v>1978</v>
      </c>
      <c r="V401">
        <f t="shared" ca="1" si="131"/>
        <v>6</v>
      </c>
      <c r="W401">
        <f t="shared" ca="1" si="132"/>
        <v>4</v>
      </c>
    </row>
    <row r="402" spans="1:23">
      <c r="A402" t="s">
        <v>1522</v>
      </c>
      <c r="B402" t="str">
        <f t="shared" ca="1" si="133"/>
        <v>楊若彬</v>
      </c>
      <c r="C402" t="str">
        <f t="shared" ca="1" si="134"/>
        <v>ﾔｰﾝ ｩﾙｵ ﾋﾞﾝ</v>
      </c>
      <c r="D402" t="str">
        <f t="shared" ca="1" si="135"/>
        <v>Yang Ruo Bin</v>
      </c>
      <c r="E402" t="str" cm="1">
        <f t="array" aca="1" ref="E402" ca="1">INDIRECT(ADDRESS(RANDBETWEEN(2,16),7,1,1,"valueBase"))</f>
        <v>女性</v>
      </c>
      <c r="F402" s="5">
        <f t="shared" ca="1" si="117"/>
        <v>25240</v>
      </c>
      <c r="G402" s="5">
        <f t="shared" ca="1" si="118"/>
        <v>33789</v>
      </c>
      <c r="H402" s="5">
        <f t="shared" ca="1" si="119"/>
        <v>34884</v>
      </c>
      <c r="I402" t="str">
        <f t="shared" ca="1" si="120"/>
        <v>090-2056-3614</v>
      </c>
      <c r="J402" t="str">
        <f t="shared" ca="1" si="136"/>
        <v>Yang_Ruo Bin_33789@outlook.jp.co</v>
      </c>
      <c r="K402" t="str">
        <f t="shared" ca="1" si="122"/>
        <v>高級</v>
      </c>
      <c r="L402" t="str">
        <f t="shared" ca="1" si="123"/>
        <v>-</v>
      </c>
      <c r="M402" t="str">
        <f t="shared" ca="1" si="137"/>
        <v>-</v>
      </c>
      <c r="N402" t="str">
        <f t="shared" ca="1" si="125"/>
        <v>有り</v>
      </c>
      <c r="O402">
        <f t="shared" ca="1" si="126"/>
        <v>115</v>
      </c>
      <c r="R402">
        <f t="shared" ca="1" si="127"/>
        <v>7</v>
      </c>
      <c r="S402">
        <f t="shared" ca="1" si="128"/>
        <v>124</v>
      </c>
      <c r="T402">
        <f t="shared" ca="1" si="129"/>
        <v>1994</v>
      </c>
      <c r="U402">
        <f t="shared" ca="1" si="130"/>
        <v>1998</v>
      </c>
      <c r="V402">
        <f t="shared" ca="1" si="131"/>
        <v>12</v>
      </c>
      <c r="W402">
        <f t="shared" ca="1" si="132"/>
        <v>8</v>
      </c>
    </row>
    <row r="403" spans="1:23">
      <c r="A403" t="s">
        <v>1523</v>
      </c>
      <c r="B403" t="str">
        <f t="shared" ca="1" si="133"/>
        <v>陳武巧</v>
      </c>
      <c r="C403" t="str">
        <f t="shared" ca="1" si="134"/>
        <v>ﾁｪﾝ ｳｰ ﾁﾔｵ</v>
      </c>
      <c r="D403" t="str">
        <f t="shared" ca="1" si="135"/>
        <v>Chen Wu Qiao</v>
      </c>
      <c r="E403" t="str" cm="1">
        <f t="array" aca="1" ref="E403" ca="1">INDIRECT(ADDRESS(RANDBETWEEN(2,16),7,1,1,"valueBase"))</f>
        <v>女性</v>
      </c>
      <c r="F403" s="5">
        <f t="shared" ca="1" si="117"/>
        <v>34295</v>
      </c>
      <c r="G403" s="5">
        <f t="shared" ca="1" si="118"/>
        <v>43902</v>
      </c>
      <c r="H403" s="5">
        <f t="shared" ca="1" si="119"/>
        <v>44267</v>
      </c>
      <c r="I403" t="str">
        <f t="shared" ca="1" si="120"/>
        <v>080-4278-0932</v>
      </c>
      <c r="J403" t="str">
        <f t="shared" ca="1" si="136"/>
        <v>Chen_Wu_Qiao_43902@outlook.jp.co</v>
      </c>
      <c r="K403" t="str">
        <f t="shared" ca="1" si="122"/>
        <v>普通</v>
      </c>
      <c r="L403" t="str">
        <f t="shared" ca="1" si="123"/>
        <v>有り</v>
      </c>
      <c r="M403" t="str">
        <f t="shared" ca="1" si="137"/>
        <v>5%</v>
      </c>
      <c r="N403" t="str">
        <f t="shared" ca="1" si="125"/>
        <v>有り</v>
      </c>
      <c r="O403">
        <f t="shared" ca="1" si="126"/>
        <v>856</v>
      </c>
      <c r="R403">
        <f t="shared" ca="1" si="127"/>
        <v>6</v>
      </c>
      <c r="S403">
        <f t="shared" ca="1" si="128"/>
        <v>237</v>
      </c>
      <c r="T403">
        <f t="shared" ca="1" si="129"/>
        <v>1990</v>
      </c>
      <c r="U403">
        <f t="shared" ca="1" si="130"/>
        <v>1991</v>
      </c>
      <c r="V403">
        <f t="shared" ca="1" si="131"/>
        <v>10</v>
      </c>
      <c r="W403">
        <f t="shared" ca="1" si="132"/>
        <v>22</v>
      </c>
    </row>
    <row r="404" spans="1:23">
      <c r="A404" t="s">
        <v>1524</v>
      </c>
      <c r="B404" t="str">
        <f t="shared" ca="1" si="133"/>
        <v>徐皇特</v>
      </c>
      <c r="C404" t="str">
        <f t="shared" ca="1" si="134"/>
        <v>ｼｭｲ ﾎﾜｰﾝ ﾄｰｧ</v>
      </c>
      <c r="D404" t="str">
        <f t="shared" ca="1" si="135"/>
        <v>Xu Huang Te</v>
      </c>
      <c r="E404" t="str" cm="1">
        <f t="array" aca="1" ref="E404" ca="1">INDIRECT(ADDRESS(RANDBETWEEN(2,16),7,1,1,"valueBase"))</f>
        <v>女性</v>
      </c>
      <c r="F404" s="5">
        <f t="shared" ca="1" si="117"/>
        <v>37966</v>
      </c>
      <c r="G404" s="5">
        <f t="shared" ca="1" si="118"/>
        <v>45099</v>
      </c>
      <c r="H404" s="5">
        <f t="shared" ca="1" si="119"/>
        <v>46194</v>
      </c>
      <c r="I404" t="str">
        <f t="shared" ca="1" si="120"/>
        <v>080-7914-2288</v>
      </c>
      <c r="J404" t="str">
        <f t="shared" ca="1" si="136"/>
        <v>Xu_Huang_Te_45099@outlook.jp.co</v>
      </c>
      <c r="K404" t="str">
        <f t="shared" ca="1" si="122"/>
        <v>高級</v>
      </c>
      <c r="L404" t="str">
        <f t="shared" ca="1" si="123"/>
        <v>有り</v>
      </c>
      <c r="M404" t="str">
        <f t="shared" ca="1" si="137"/>
        <v>10%</v>
      </c>
      <c r="N404" t="str">
        <f t="shared" ca="1" si="125"/>
        <v>有り</v>
      </c>
      <c r="O404">
        <f t="shared" ca="1" si="126"/>
        <v>449</v>
      </c>
      <c r="R404">
        <f t="shared" ca="1" si="127"/>
        <v>12</v>
      </c>
      <c r="S404">
        <f t="shared" ca="1" si="128"/>
        <v>179</v>
      </c>
      <c r="T404">
        <f t="shared" ca="1" si="129"/>
        <v>2009</v>
      </c>
      <c r="U404">
        <f t="shared" ca="1" si="130"/>
        <v>2012</v>
      </c>
      <c r="V404">
        <f t="shared" ca="1" si="131"/>
        <v>1</v>
      </c>
      <c r="W404">
        <f t="shared" ca="1" si="132"/>
        <v>22</v>
      </c>
    </row>
    <row r="405" spans="1:23">
      <c r="A405" t="s">
        <v>1525</v>
      </c>
      <c r="B405" t="str">
        <f t="shared" ca="1" si="133"/>
        <v>鄭慶祖</v>
      </c>
      <c r="C405" t="str">
        <f t="shared" ca="1" si="134"/>
        <v>ｼﾞｭﾖﾝ ﾁｰﾝ ｽﾞｩ</v>
      </c>
      <c r="D405" t="str">
        <f t="shared" ca="1" si="135"/>
        <v>Zheng Qing Zu</v>
      </c>
      <c r="E405" t="str" cm="1">
        <f t="array" aca="1" ref="E405" ca="1">INDIRECT(ADDRESS(RANDBETWEEN(2,16),7,1,1,"valueBase"))</f>
        <v>-</v>
      </c>
      <c r="F405" s="5">
        <f t="shared" ca="1" si="117"/>
        <v>31385</v>
      </c>
      <c r="G405" s="5">
        <f t="shared" ca="1" si="118"/>
        <v>41548</v>
      </c>
      <c r="H405" s="5">
        <f t="shared" ca="1" si="119"/>
        <v>42278</v>
      </c>
      <c r="I405" t="str">
        <f t="shared" ca="1" si="120"/>
        <v>090-0256-7899</v>
      </c>
      <c r="J405" t="str">
        <f t="shared" ca="1" si="136"/>
        <v>Zheng_Qing_Zu_41548@outlook.jp.co</v>
      </c>
      <c r="K405" t="str">
        <f t="shared" ca="1" si="122"/>
        <v>普通</v>
      </c>
      <c r="L405" t="str">
        <f t="shared" ca="1" si="123"/>
        <v>-</v>
      </c>
      <c r="M405" t="str">
        <f t="shared" ca="1" si="137"/>
        <v>-</v>
      </c>
      <c r="N405" t="str">
        <f t="shared" ca="1" si="125"/>
        <v>有り</v>
      </c>
      <c r="O405">
        <f t="shared" ca="1" si="126"/>
        <v>419</v>
      </c>
      <c r="R405">
        <f t="shared" ca="1" si="127"/>
        <v>24</v>
      </c>
      <c r="S405">
        <f t="shared" ca="1" si="128"/>
        <v>50</v>
      </c>
      <c r="T405">
        <f t="shared" ca="1" si="129"/>
        <v>1983</v>
      </c>
      <c r="U405">
        <f t="shared" ca="1" si="130"/>
        <v>1989</v>
      </c>
      <c r="V405">
        <f t="shared" ca="1" si="131"/>
        <v>1</v>
      </c>
      <c r="W405">
        <f t="shared" ca="1" si="132"/>
        <v>13</v>
      </c>
    </row>
    <row r="406" spans="1:23">
      <c r="A406" t="s">
        <v>1526</v>
      </c>
      <c r="B406" t="str">
        <f t="shared" ca="1" si="133"/>
        <v>楊悅協</v>
      </c>
      <c r="C406" t="str">
        <f t="shared" ca="1" si="134"/>
        <v>ﾔｰﾝ ﾕｴ ｼｴ</v>
      </c>
      <c r="D406" t="str">
        <f t="shared" ca="1" si="135"/>
        <v>Yang Yue Xie</v>
      </c>
      <c r="E406" t="str" cm="1">
        <f t="array" aca="1" ref="E406" ca="1">INDIRECT(ADDRESS(RANDBETWEEN(2,16),7,1,1,"valueBase"))</f>
        <v>男性</v>
      </c>
      <c r="F406" s="5">
        <f t="shared" ca="1" si="117"/>
        <v>25375</v>
      </c>
      <c r="G406" s="5">
        <f t="shared" ca="1" si="118"/>
        <v>37118</v>
      </c>
      <c r="H406" s="5">
        <f t="shared" ca="1" si="119"/>
        <v>38213</v>
      </c>
      <c r="I406" t="str">
        <f t="shared" ca="1" si="120"/>
        <v>080-5673-3452</v>
      </c>
      <c r="J406" t="str">
        <f t="shared" ca="1" si="136"/>
        <v>Yang_Yue_Xie_37118@outlook.jp.co</v>
      </c>
      <c r="K406" t="str">
        <f t="shared" ca="1" si="122"/>
        <v>普通</v>
      </c>
      <c r="L406" t="str">
        <f t="shared" ca="1" si="123"/>
        <v>-</v>
      </c>
      <c r="M406" t="str">
        <f t="shared" ca="1" si="137"/>
        <v>-</v>
      </c>
      <c r="N406" t="str">
        <f t="shared" ca="1" si="125"/>
        <v>有り</v>
      </c>
      <c r="O406">
        <f t="shared" ca="1" si="126"/>
        <v>436</v>
      </c>
      <c r="R406">
        <f t="shared" ca="1" si="127"/>
        <v>7</v>
      </c>
      <c r="S406">
        <f t="shared" ca="1" si="128"/>
        <v>49</v>
      </c>
      <c r="T406">
        <f t="shared" ca="1" si="129"/>
        <v>1976</v>
      </c>
      <c r="U406">
        <f t="shared" ca="1" si="130"/>
        <v>1981</v>
      </c>
      <c r="V406">
        <f t="shared" ca="1" si="131"/>
        <v>2</v>
      </c>
      <c r="W406">
        <f t="shared" ca="1" si="132"/>
        <v>5</v>
      </c>
    </row>
    <row r="407" spans="1:23">
      <c r="A407" t="s">
        <v>1527</v>
      </c>
      <c r="B407" t="str">
        <f t="shared" ca="1" si="133"/>
        <v>吳暉晨</v>
      </c>
      <c r="C407" t="str">
        <f t="shared" ca="1" si="134"/>
        <v>ｳｰ ﾎｩｲ ﾁｪﾝ</v>
      </c>
      <c r="D407" t="str">
        <f t="shared" ca="1" si="135"/>
        <v>Wu Hui Chen</v>
      </c>
      <c r="E407" t="str" cm="1">
        <f t="array" aca="1" ref="E407" ca="1">INDIRECT(ADDRESS(RANDBETWEEN(2,16),7,1,1,"valueBase"))</f>
        <v>男性</v>
      </c>
      <c r="F407" s="5">
        <f t="shared" ca="1" si="117"/>
        <v>32158</v>
      </c>
      <c r="G407" s="5">
        <f t="shared" ca="1" si="118"/>
        <v>41238</v>
      </c>
      <c r="H407" s="5">
        <f t="shared" ca="1" si="119"/>
        <v>42333</v>
      </c>
      <c r="I407" t="str">
        <f t="shared" ca="1" si="120"/>
        <v>090-8172-1826</v>
      </c>
      <c r="J407" t="str">
        <f t="shared" ca="1" si="136"/>
        <v>Wu_Hui_Chen_41238@outlook.jp.co</v>
      </c>
      <c r="K407" t="str">
        <f t="shared" ca="1" si="122"/>
        <v>高級</v>
      </c>
      <c r="L407" t="str">
        <f t="shared" ca="1" si="123"/>
        <v>有り</v>
      </c>
      <c r="M407" t="str">
        <f t="shared" ca="1" si="137"/>
        <v>10%</v>
      </c>
      <c r="N407" t="str">
        <f t="shared" ca="1" si="125"/>
        <v>有り</v>
      </c>
      <c r="O407">
        <f t="shared" ca="1" si="126"/>
        <v>926</v>
      </c>
      <c r="R407">
        <f t="shared" ca="1" si="127"/>
        <v>11</v>
      </c>
      <c r="S407">
        <f t="shared" ca="1" si="128"/>
        <v>164</v>
      </c>
      <c r="T407">
        <f t="shared" ca="1" si="129"/>
        <v>1976</v>
      </c>
      <c r="U407">
        <f t="shared" ca="1" si="130"/>
        <v>1983</v>
      </c>
      <c r="V407">
        <f t="shared" ca="1" si="131"/>
        <v>3</v>
      </c>
      <c r="W407">
        <f t="shared" ca="1" si="132"/>
        <v>17</v>
      </c>
    </row>
    <row r="408" spans="1:23">
      <c r="A408" t="s">
        <v>1528</v>
      </c>
      <c r="B408" t="str">
        <f t="shared" ca="1" si="133"/>
        <v>于冠複</v>
      </c>
      <c r="C408" t="str">
        <f t="shared" ca="1" si="134"/>
        <v>ﾕｲ ｸﾞﾜﾝ ﾌｩ</v>
      </c>
      <c r="D408" t="str">
        <f t="shared" ca="1" si="135"/>
        <v>Yu Guan Fu</v>
      </c>
      <c r="E408" t="str" cm="1">
        <f t="array" aca="1" ref="E408" ca="1">INDIRECT(ADDRESS(RANDBETWEEN(2,16),7,1,1,"valueBase"))</f>
        <v>女性</v>
      </c>
      <c r="F408" s="5">
        <f t="shared" ca="1" si="117"/>
        <v>36046</v>
      </c>
      <c r="G408" s="5">
        <f t="shared" ca="1" si="118"/>
        <v>44046</v>
      </c>
      <c r="H408" s="5">
        <f t="shared" ca="1" si="119"/>
        <v>44411</v>
      </c>
      <c r="I408" t="str">
        <f t="shared" ca="1" si="120"/>
        <v>080-2174-3783</v>
      </c>
      <c r="J408" t="str">
        <f t="shared" ca="1" si="136"/>
        <v>Yu_Guan_Fu_44046@outlook.jp.co</v>
      </c>
      <c r="K408" t="str">
        <f t="shared" ca="1" si="122"/>
        <v>普通</v>
      </c>
      <c r="L408" t="str">
        <f t="shared" ca="1" si="123"/>
        <v>有り</v>
      </c>
      <c r="M408" t="str">
        <f t="shared" ca="1" si="137"/>
        <v>5%</v>
      </c>
      <c r="N408" t="str">
        <f t="shared" ca="1" si="125"/>
        <v>有り</v>
      </c>
      <c r="O408">
        <f t="shared" ca="1" si="126"/>
        <v>593</v>
      </c>
      <c r="R408">
        <f t="shared" ca="1" si="127"/>
        <v>29</v>
      </c>
      <c r="S408">
        <f t="shared" ca="1" si="128"/>
        <v>53</v>
      </c>
      <c r="T408">
        <f t="shared" ca="1" si="129"/>
        <v>1977</v>
      </c>
      <c r="U408">
        <f t="shared" ca="1" si="130"/>
        <v>1978</v>
      </c>
      <c r="V408">
        <f t="shared" ca="1" si="131"/>
        <v>8</v>
      </c>
      <c r="W408">
        <f t="shared" ca="1" si="132"/>
        <v>14</v>
      </c>
    </row>
    <row r="409" spans="1:23">
      <c r="A409" t="s">
        <v>1529</v>
      </c>
      <c r="B409" t="str">
        <f t="shared" ca="1" si="133"/>
        <v>林謙枝</v>
      </c>
      <c r="C409" t="str">
        <f t="shared" ca="1" si="134"/>
        <v>ﾘﾝ ﾁｴﾝ ｼﾞｰ</v>
      </c>
      <c r="D409" t="str">
        <f t="shared" ca="1" si="135"/>
        <v>Lin Qian Zhi</v>
      </c>
      <c r="E409" t="str" cm="1">
        <f t="array" aca="1" ref="E409" ca="1">INDIRECT(ADDRESS(RANDBETWEEN(2,16),7,1,1,"valueBase"))</f>
        <v>女性</v>
      </c>
      <c r="F409" s="5">
        <f t="shared" ca="1" si="117"/>
        <v>31083</v>
      </c>
      <c r="G409" s="5">
        <f t="shared" ca="1" si="118"/>
        <v>40979</v>
      </c>
      <c r="H409" s="5">
        <f t="shared" ca="1" si="119"/>
        <v>41709</v>
      </c>
      <c r="I409" t="str">
        <f t="shared" ca="1" si="120"/>
        <v>090-3464-7065</v>
      </c>
      <c r="J409" t="str">
        <f t="shared" ca="1" si="136"/>
        <v>Lin_Qian_Zhi_40979@outlook.jp.co</v>
      </c>
      <c r="K409" t="str">
        <f t="shared" ca="1" si="122"/>
        <v>高級</v>
      </c>
      <c r="L409" t="str">
        <f t="shared" ca="1" si="123"/>
        <v>有り</v>
      </c>
      <c r="M409" t="str">
        <f t="shared" ca="1" si="137"/>
        <v>10%</v>
      </c>
      <c r="N409" t="str">
        <f t="shared" ca="1" si="125"/>
        <v>有り</v>
      </c>
      <c r="O409">
        <f t="shared" ca="1" si="126"/>
        <v>843</v>
      </c>
      <c r="R409">
        <f t="shared" ca="1" si="127"/>
        <v>17</v>
      </c>
      <c r="S409">
        <f t="shared" ca="1" si="128"/>
        <v>118</v>
      </c>
      <c r="T409">
        <f t="shared" ca="1" si="129"/>
        <v>1980</v>
      </c>
      <c r="U409">
        <f t="shared" ca="1" si="130"/>
        <v>1987</v>
      </c>
      <c r="V409">
        <f t="shared" ca="1" si="131"/>
        <v>9</v>
      </c>
      <c r="W409">
        <f t="shared" ca="1" si="132"/>
        <v>27</v>
      </c>
    </row>
    <row r="410" spans="1:23">
      <c r="A410" t="s">
        <v>1530</v>
      </c>
      <c r="B410" t="str">
        <f t="shared" ca="1" si="133"/>
        <v>徐狂宗</v>
      </c>
      <c r="C410" t="str">
        <f t="shared" ca="1" si="134"/>
        <v>ｼｭｲ ｸﾜｰﾝ ｿﾞｰﾝ</v>
      </c>
      <c r="D410" t="str">
        <f t="shared" ca="1" si="135"/>
        <v>Xu Kuang Zong</v>
      </c>
      <c r="E410" t="str" cm="1">
        <f t="array" aca="1" ref="E410" ca="1">INDIRECT(ADDRESS(RANDBETWEEN(2,16),7,1,1,"valueBase"))</f>
        <v>女性</v>
      </c>
      <c r="F410" s="5">
        <f t="shared" ca="1" si="117"/>
        <v>26020</v>
      </c>
      <c r="G410" s="5">
        <f t="shared" ca="1" si="118"/>
        <v>45056</v>
      </c>
      <c r="H410" s="5">
        <f t="shared" ca="1" si="119"/>
        <v>45786</v>
      </c>
      <c r="I410" t="str">
        <f t="shared" ca="1" si="120"/>
        <v>090-8537-5910</v>
      </c>
      <c r="J410" t="str">
        <f t="shared" ca="1" si="136"/>
        <v>Xu_Kuang_Zong_45056@outlook.jp.co</v>
      </c>
      <c r="K410" t="str">
        <f t="shared" ca="1" si="122"/>
        <v>高級</v>
      </c>
      <c r="L410" t="str">
        <f t="shared" ca="1" si="123"/>
        <v>有り</v>
      </c>
      <c r="M410" t="str">
        <f t="shared" ca="1" si="137"/>
        <v>10%</v>
      </c>
      <c r="N410" t="str">
        <f t="shared" ca="1" si="125"/>
        <v>有り</v>
      </c>
      <c r="O410">
        <f t="shared" ca="1" si="126"/>
        <v>574</v>
      </c>
      <c r="R410">
        <f t="shared" ca="1" si="127"/>
        <v>12</v>
      </c>
      <c r="S410">
        <f t="shared" ca="1" si="128"/>
        <v>292</v>
      </c>
      <c r="T410">
        <f t="shared" ca="1" si="129"/>
        <v>1994</v>
      </c>
      <c r="U410">
        <f t="shared" ca="1" si="130"/>
        <v>1999</v>
      </c>
      <c r="V410">
        <f t="shared" ca="1" si="131"/>
        <v>7</v>
      </c>
      <c r="W410">
        <f t="shared" ca="1" si="132"/>
        <v>4</v>
      </c>
    </row>
    <row r="411" spans="1:23">
      <c r="A411" t="s">
        <v>1531</v>
      </c>
      <c r="B411" t="str">
        <f t="shared" ca="1" si="133"/>
        <v>吳折東</v>
      </c>
      <c r="C411" t="str">
        <f t="shared" ca="1" si="134"/>
        <v>ｳｰ ｼﾞｮｰｧ ﾄﾞｰﾝ</v>
      </c>
      <c r="D411" t="str">
        <f t="shared" ca="1" si="135"/>
        <v>Wu Zhe Dong</v>
      </c>
      <c r="E411" t="str" cm="1">
        <f t="array" aca="1" ref="E411" ca="1">INDIRECT(ADDRESS(RANDBETWEEN(2,16),7,1,1,"valueBase"))</f>
        <v>女性</v>
      </c>
      <c r="F411" s="5">
        <f t="shared" ca="1" si="117"/>
        <v>26508</v>
      </c>
      <c r="G411" s="5">
        <f t="shared" ca="1" si="118"/>
        <v>38322</v>
      </c>
      <c r="H411" s="5">
        <f t="shared" ca="1" si="119"/>
        <v>38687</v>
      </c>
      <c r="I411" t="str">
        <f t="shared" ca="1" si="120"/>
        <v>090-9406-8992</v>
      </c>
      <c r="J411" t="str">
        <f t="shared" ca="1" si="136"/>
        <v>Wu_Zhe Dong_38322@outlook.jp.co</v>
      </c>
      <c r="K411" t="str">
        <f t="shared" ca="1" si="122"/>
        <v>高級</v>
      </c>
      <c r="L411" t="str">
        <f t="shared" ca="1" si="123"/>
        <v>有り</v>
      </c>
      <c r="M411" t="str">
        <f t="shared" ca="1" si="137"/>
        <v>10%</v>
      </c>
      <c r="N411" t="str">
        <f t="shared" ca="1" si="125"/>
        <v>-</v>
      </c>
      <c r="O411" t="str">
        <f t="shared" ca="1" si="126"/>
        <v>-</v>
      </c>
      <c r="R411">
        <f t="shared" ca="1" si="127"/>
        <v>11</v>
      </c>
      <c r="S411">
        <f t="shared" ca="1" si="128"/>
        <v>42</v>
      </c>
      <c r="T411">
        <f t="shared" ca="1" si="129"/>
        <v>2006</v>
      </c>
      <c r="U411">
        <f t="shared" ca="1" si="130"/>
        <v>2013</v>
      </c>
      <c r="V411">
        <f t="shared" ca="1" si="131"/>
        <v>12</v>
      </c>
      <c r="W411">
        <f t="shared" ca="1" si="132"/>
        <v>4</v>
      </c>
    </row>
    <row r="412" spans="1:23">
      <c r="A412" t="s">
        <v>1532</v>
      </c>
      <c r="B412" t="str">
        <f t="shared" ca="1" si="133"/>
        <v>劉台亭</v>
      </c>
      <c r="C412" t="str">
        <f t="shared" ca="1" si="134"/>
        <v>ﾘｳ ﾀｲ ﾃｨｰﾝ</v>
      </c>
      <c r="D412" t="str">
        <f t="shared" ca="1" si="135"/>
        <v>Liu Tai Ting</v>
      </c>
      <c r="E412" t="str" cm="1">
        <f t="array" aca="1" ref="E412" ca="1">INDIRECT(ADDRESS(RANDBETWEEN(2,16),7,1,1,"valueBase"))</f>
        <v>男性</v>
      </c>
      <c r="F412" s="5">
        <f t="shared" ca="1" si="117"/>
        <v>27221</v>
      </c>
      <c r="G412" s="5">
        <f t="shared" ca="1" si="118"/>
        <v>40409</v>
      </c>
      <c r="H412" s="5">
        <f t="shared" ca="1" si="119"/>
        <v>40774</v>
      </c>
      <c r="I412" t="str">
        <f t="shared" ca="1" si="120"/>
        <v>090-1501-8892</v>
      </c>
      <c r="J412" t="str">
        <f t="shared" ca="1" si="136"/>
        <v>Liu_Tai_Ting_40409@outlook.jp.co</v>
      </c>
      <c r="K412" t="str">
        <f t="shared" ca="1" si="122"/>
        <v>高級</v>
      </c>
      <c r="L412" t="str">
        <f t="shared" ca="1" si="123"/>
        <v>有り</v>
      </c>
      <c r="M412" t="str">
        <f t="shared" ca="1" si="137"/>
        <v>10%</v>
      </c>
      <c r="N412" t="str">
        <f t="shared" ca="1" si="125"/>
        <v>有り</v>
      </c>
      <c r="O412">
        <f t="shared" ca="1" si="126"/>
        <v>273</v>
      </c>
      <c r="R412">
        <f t="shared" ca="1" si="127"/>
        <v>5</v>
      </c>
      <c r="S412">
        <f t="shared" ca="1" si="128"/>
        <v>283</v>
      </c>
      <c r="T412">
        <f t="shared" ca="1" si="129"/>
        <v>1971</v>
      </c>
      <c r="U412">
        <f t="shared" ca="1" si="130"/>
        <v>1975</v>
      </c>
      <c r="V412">
        <f t="shared" ca="1" si="131"/>
        <v>5</v>
      </c>
      <c r="W412">
        <f t="shared" ca="1" si="132"/>
        <v>17</v>
      </c>
    </row>
    <row r="413" spans="1:23">
      <c r="A413" t="s">
        <v>1533</v>
      </c>
      <c r="B413" t="str">
        <f t="shared" ca="1" si="133"/>
        <v>宋泓聽</v>
      </c>
      <c r="C413" t="str">
        <f t="shared" ca="1" si="134"/>
        <v>ｿｰﾝ ﾎｰﾝ ﾃｨｰﾝ</v>
      </c>
      <c r="D413" t="str">
        <f t="shared" ca="1" si="135"/>
        <v>Song Hong Ting</v>
      </c>
      <c r="E413" t="str" cm="1">
        <f t="array" aca="1" ref="E413" ca="1">INDIRECT(ADDRESS(RANDBETWEEN(2,16),7,1,1,"valueBase"))</f>
        <v>男性</v>
      </c>
      <c r="F413" s="5">
        <f t="shared" ca="1" si="117"/>
        <v>27647</v>
      </c>
      <c r="G413" s="5">
        <f t="shared" ca="1" si="118"/>
        <v>37342</v>
      </c>
      <c r="H413" s="5">
        <f t="shared" ca="1" si="119"/>
        <v>37707</v>
      </c>
      <c r="I413" t="str">
        <f t="shared" ca="1" si="120"/>
        <v>080-5862-8202</v>
      </c>
      <c r="J413" t="str">
        <f t="shared" ca="1" si="136"/>
        <v>Song_Hong_Ting_37342@outlook.jp.co</v>
      </c>
      <c r="K413" t="str">
        <f t="shared" ca="1" si="122"/>
        <v>高級</v>
      </c>
      <c r="L413" t="str">
        <f t="shared" ca="1" si="123"/>
        <v>有り</v>
      </c>
      <c r="M413" t="str">
        <f t="shared" ca="1" si="137"/>
        <v>10%</v>
      </c>
      <c r="N413" t="str">
        <f t="shared" ca="1" si="125"/>
        <v>有り</v>
      </c>
      <c r="O413">
        <f t="shared" ca="1" si="126"/>
        <v>682</v>
      </c>
      <c r="R413">
        <f t="shared" ca="1" si="127"/>
        <v>23</v>
      </c>
      <c r="S413">
        <f t="shared" ca="1" si="128"/>
        <v>248</v>
      </c>
      <c r="T413">
        <f t="shared" ca="1" si="129"/>
        <v>1988</v>
      </c>
      <c r="U413">
        <f t="shared" ca="1" si="130"/>
        <v>1998</v>
      </c>
      <c r="V413">
        <f t="shared" ca="1" si="131"/>
        <v>4</v>
      </c>
      <c r="W413">
        <f t="shared" ca="1" si="132"/>
        <v>8</v>
      </c>
    </row>
    <row r="414" spans="1:23">
      <c r="A414" t="s">
        <v>1534</v>
      </c>
      <c r="B414" t="str">
        <f t="shared" ca="1" si="133"/>
        <v>黃銀池</v>
      </c>
      <c r="C414" t="str">
        <f t="shared" ca="1" si="134"/>
        <v>ﾎﾜｰﾝ ｲﾝ ﾁｰ</v>
      </c>
      <c r="D414" t="str">
        <f t="shared" ca="1" si="135"/>
        <v>Huang Yin Chi</v>
      </c>
      <c r="E414" t="str" cm="1">
        <f t="array" aca="1" ref="E414" ca="1">INDIRECT(ADDRESS(RANDBETWEEN(2,16),7,1,1,"valueBase"))</f>
        <v>女性</v>
      </c>
      <c r="F414" s="5">
        <f t="shared" ca="1" si="117"/>
        <v>26623</v>
      </c>
      <c r="G414" s="5">
        <f t="shared" ca="1" si="118"/>
        <v>39927</v>
      </c>
      <c r="H414" s="5">
        <f t="shared" ca="1" si="119"/>
        <v>41022</v>
      </c>
      <c r="I414" t="str">
        <f t="shared" ca="1" si="120"/>
        <v>080-4079-5058</v>
      </c>
      <c r="J414" t="str">
        <f t="shared" ca="1" si="136"/>
        <v>Huang_Yin_Chi_39927@outlook.jp.co</v>
      </c>
      <c r="K414" t="str">
        <f t="shared" ca="1" si="122"/>
        <v>普通</v>
      </c>
      <c r="L414" t="str">
        <f t="shared" ca="1" si="123"/>
        <v>有り</v>
      </c>
      <c r="M414" t="str">
        <f t="shared" ca="1" si="137"/>
        <v>5%</v>
      </c>
      <c r="N414" t="str">
        <f t="shared" ca="1" si="125"/>
        <v>有り</v>
      </c>
      <c r="O414">
        <f t="shared" ca="1" si="126"/>
        <v>708</v>
      </c>
      <c r="R414">
        <f t="shared" ca="1" si="127"/>
        <v>9</v>
      </c>
      <c r="S414">
        <f t="shared" ca="1" si="128"/>
        <v>90</v>
      </c>
      <c r="T414">
        <f t="shared" ca="1" si="129"/>
        <v>2001</v>
      </c>
      <c r="U414">
        <f t="shared" ca="1" si="130"/>
        <v>2002</v>
      </c>
      <c r="V414">
        <f t="shared" ca="1" si="131"/>
        <v>6</v>
      </c>
      <c r="W414">
        <f t="shared" ca="1" si="132"/>
        <v>19</v>
      </c>
    </row>
    <row r="415" spans="1:23">
      <c r="A415" t="s">
        <v>1535</v>
      </c>
      <c r="B415" t="str">
        <f t="shared" ca="1" si="133"/>
        <v>胡韋覽</v>
      </c>
      <c r="C415" t="str">
        <f t="shared" ca="1" si="134"/>
        <v>ﾎｩ ｳｴｲ ﾗﾝ</v>
      </c>
      <c r="D415" t="str">
        <f t="shared" ca="1" si="135"/>
        <v>Hu Wei Lan</v>
      </c>
      <c r="E415" t="str" cm="1">
        <f t="array" aca="1" ref="E415" ca="1">INDIRECT(ADDRESS(RANDBETWEEN(2,16),7,1,1,"valueBase"))</f>
        <v>女性</v>
      </c>
      <c r="F415" s="5">
        <f t="shared" ca="1" si="117"/>
        <v>35822</v>
      </c>
      <c r="G415" s="5">
        <f t="shared" ca="1" si="118"/>
        <v>42764</v>
      </c>
      <c r="H415" s="5">
        <f t="shared" ca="1" si="119"/>
        <v>43129</v>
      </c>
      <c r="I415" t="str">
        <f t="shared" ca="1" si="120"/>
        <v>090-2365-3364</v>
      </c>
      <c r="J415" t="str">
        <f t="shared" ca="1" si="136"/>
        <v>Hu_Wei_Lan_42764@outlook.jp.co</v>
      </c>
      <c r="K415" t="str">
        <f t="shared" ca="1" si="122"/>
        <v>普通</v>
      </c>
      <c r="L415" t="str">
        <f t="shared" ca="1" si="123"/>
        <v>有り</v>
      </c>
      <c r="M415" t="str">
        <f t="shared" ca="1" si="137"/>
        <v>5%</v>
      </c>
      <c r="N415" t="str">
        <f t="shared" ca="1" si="125"/>
        <v>有り</v>
      </c>
      <c r="O415">
        <f t="shared" ca="1" si="126"/>
        <v>478</v>
      </c>
      <c r="R415">
        <f t="shared" ca="1" si="127"/>
        <v>14</v>
      </c>
      <c r="S415">
        <f t="shared" ca="1" si="128"/>
        <v>270</v>
      </c>
      <c r="T415">
        <f t="shared" ca="1" si="129"/>
        <v>1978</v>
      </c>
      <c r="U415">
        <f t="shared" ca="1" si="130"/>
        <v>1987</v>
      </c>
      <c r="V415">
        <f t="shared" ca="1" si="131"/>
        <v>3</v>
      </c>
      <c r="W415">
        <f t="shared" ca="1" si="132"/>
        <v>7</v>
      </c>
    </row>
    <row r="416" spans="1:23">
      <c r="A416" t="s">
        <v>1536</v>
      </c>
      <c r="B416" t="str">
        <f t="shared" ca="1" si="133"/>
        <v>張唯慶</v>
      </c>
      <c r="C416" t="str">
        <f t="shared" ca="1" si="134"/>
        <v>ｼﾞｬｰﾝ ｳｴｲ ﾁｰﾝ</v>
      </c>
      <c r="D416" t="str">
        <f t="shared" ca="1" si="135"/>
        <v>Zhang Wei Qing</v>
      </c>
      <c r="E416" t="str" cm="1">
        <f t="array" aca="1" ref="E416" ca="1">INDIRECT(ADDRESS(RANDBETWEEN(2,16),7,1,1,"valueBase"))</f>
        <v>女性</v>
      </c>
      <c r="F416" s="5">
        <f t="shared" ca="1" si="117"/>
        <v>35361</v>
      </c>
      <c r="G416" s="5">
        <f t="shared" ca="1" si="118"/>
        <v>43904</v>
      </c>
      <c r="H416" s="5">
        <f t="shared" ca="1" si="119"/>
        <v>44634</v>
      </c>
      <c r="I416" t="str">
        <f t="shared" ca="1" si="120"/>
        <v>080-7268-5308</v>
      </c>
      <c r="J416" t="str">
        <f t="shared" ca="1" si="136"/>
        <v>Zhang_Wei_Qing_43904@outlook.jp.co</v>
      </c>
      <c r="K416" t="str">
        <f t="shared" ca="1" si="122"/>
        <v>高級</v>
      </c>
      <c r="L416" t="str">
        <f t="shared" ca="1" si="123"/>
        <v>-</v>
      </c>
      <c r="M416" t="str">
        <f t="shared" ca="1" si="137"/>
        <v>-</v>
      </c>
      <c r="N416" t="str">
        <f t="shared" ca="1" si="125"/>
        <v>有り</v>
      </c>
      <c r="O416">
        <f t="shared" ca="1" si="126"/>
        <v>497</v>
      </c>
      <c r="R416">
        <f t="shared" ca="1" si="127"/>
        <v>4</v>
      </c>
      <c r="S416">
        <f t="shared" ca="1" si="128"/>
        <v>301</v>
      </c>
      <c r="T416">
        <f t="shared" ca="1" si="129"/>
        <v>1999</v>
      </c>
      <c r="U416">
        <f t="shared" ca="1" si="130"/>
        <v>2008</v>
      </c>
      <c r="V416">
        <f t="shared" ca="1" si="131"/>
        <v>5</v>
      </c>
      <c r="W416">
        <f t="shared" ca="1" si="132"/>
        <v>15</v>
      </c>
    </row>
    <row r="417" spans="1:23">
      <c r="A417" t="s">
        <v>1537</v>
      </c>
      <c r="B417" t="str">
        <f t="shared" ca="1" si="133"/>
        <v>黃真物</v>
      </c>
      <c r="C417" t="str">
        <f t="shared" ca="1" si="134"/>
        <v>ﾎﾜｰﾝ ｼﾞｪﾝ ｳｰ</v>
      </c>
      <c r="D417" t="str">
        <f t="shared" ca="1" si="135"/>
        <v>Huang Zhen Wu</v>
      </c>
      <c r="E417" t="str" cm="1">
        <f t="array" aca="1" ref="E417" ca="1">INDIRECT(ADDRESS(RANDBETWEEN(2,16),7,1,1,"valueBase"))</f>
        <v>女性</v>
      </c>
      <c r="F417" s="5">
        <f t="shared" ca="1" si="117"/>
        <v>28825</v>
      </c>
      <c r="G417" s="5">
        <f t="shared" ca="1" si="118"/>
        <v>44584</v>
      </c>
      <c r="H417" s="5">
        <f t="shared" ca="1" si="119"/>
        <v>44949</v>
      </c>
      <c r="I417" t="str">
        <f t="shared" ca="1" si="120"/>
        <v>080-7727-0024</v>
      </c>
      <c r="J417" t="str">
        <f t="shared" ca="1" si="136"/>
        <v>Huang_Zhen_Wu_44584@outlook.jp.co</v>
      </c>
      <c r="K417" t="str">
        <f t="shared" ca="1" si="122"/>
        <v>普通</v>
      </c>
      <c r="L417" t="str">
        <f t="shared" ca="1" si="123"/>
        <v>有り</v>
      </c>
      <c r="M417" t="str">
        <f t="shared" ca="1" si="137"/>
        <v>5%</v>
      </c>
      <c r="N417" t="str">
        <f t="shared" ca="1" si="125"/>
        <v>-</v>
      </c>
      <c r="O417" t="str">
        <f t="shared" ca="1" si="126"/>
        <v>-</v>
      </c>
      <c r="R417">
        <f t="shared" ca="1" si="127"/>
        <v>9</v>
      </c>
      <c r="S417">
        <f t="shared" ca="1" si="128"/>
        <v>280</v>
      </c>
      <c r="T417">
        <f t="shared" ca="1" si="129"/>
        <v>1982</v>
      </c>
      <c r="U417">
        <f t="shared" ca="1" si="130"/>
        <v>1994</v>
      </c>
      <c r="V417">
        <f t="shared" ca="1" si="131"/>
        <v>3</v>
      </c>
      <c r="W417">
        <f t="shared" ca="1" si="132"/>
        <v>11</v>
      </c>
    </row>
    <row r="418" spans="1:23">
      <c r="A418" t="s">
        <v>1538</v>
      </c>
      <c r="B418" t="str">
        <f t="shared" ca="1" si="133"/>
        <v>高唯勳</v>
      </c>
      <c r="C418" t="str">
        <f t="shared" ca="1" si="134"/>
        <v>ｶﾞｵ ｳｴｲ ｼｭｲﾝ</v>
      </c>
      <c r="D418" t="str">
        <f t="shared" ca="1" si="135"/>
        <v>Gao Wei Xun</v>
      </c>
      <c r="E418" t="str" cm="1">
        <f t="array" aca="1" ref="E418" ca="1">INDIRECT(ADDRESS(RANDBETWEEN(2,16),7,1,1,"valueBase"))</f>
        <v>男性</v>
      </c>
      <c r="F418" s="5">
        <f t="shared" ca="1" si="117"/>
        <v>31748</v>
      </c>
      <c r="G418" s="5">
        <f t="shared" ca="1" si="118"/>
        <v>38797</v>
      </c>
      <c r="H418" s="5">
        <f t="shared" ca="1" si="119"/>
        <v>39162</v>
      </c>
      <c r="I418" t="str">
        <f t="shared" ca="1" si="120"/>
        <v>090-9585-9723</v>
      </c>
      <c r="J418" t="str">
        <f t="shared" ca="1" si="136"/>
        <v>Gao_Wei_Xun_38797@outlook.jp.co</v>
      </c>
      <c r="K418" t="str">
        <f t="shared" ca="1" si="122"/>
        <v>高級</v>
      </c>
      <c r="L418" t="str">
        <f t="shared" ca="1" si="123"/>
        <v>有り</v>
      </c>
      <c r="M418" t="str">
        <f t="shared" ca="1" si="137"/>
        <v>10%</v>
      </c>
      <c r="N418" t="str">
        <f t="shared" ca="1" si="125"/>
        <v>有り</v>
      </c>
      <c r="O418">
        <f t="shared" ca="1" si="126"/>
        <v>199</v>
      </c>
      <c r="R418">
        <f t="shared" ca="1" si="127"/>
        <v>16</v>
      </c>
      <c r="S418">
        <f t="shared" ca="1" si="128"/>
        <v>318</v>
      </c>
      <c r="T418">
        <f t="shared" ca="1" si="129"/>
        <v>1990</v>
      </c>
      <c r="U418">
        <f t="shared" ca="1" si="130"/>
        <v>2001</v>
      </c>
      <c r="V418">
        <f t="shared" ca="1" si="131"/>
        <v>8</v>
      </c>
      <c r="W418">
        <f t="shared" ca="1" si="132"/>
        <v>2</v>
      </c>
    </row>
    <row r="419" spans="1:23">
      <c r="A419" t="s">
        <v>1539</v>
      </c>
      <c r="B419" t="str">
        <f t="shared" ca="1" si="133"/>
        <v>高芬勁</v>
      </c>
      <c r="C419" t="str">
        <f t="shared" ca="1" si="134"/>
        <v>ｶﾞｵ ﾌｪﾝ ｼﾞﾝ</v>
      </c>
      <c r="D419" t="str">
        <f t="shared" ca="1" si="135"/>
        <v>Gao Fen Jin</v>
      </c>
      <c r="E419" t="str" cm="1">
        <f t="array" aca="1" ref="E419" ca="1">INDIRECT(ADDRESS(RANDBETWEEN(2,16),7,1,1,"valueBase"))</f>
        <v>男性</v>
      </c>
      <c r="F419" s="5">
        <f t="shared" ca="1" si="117"/>
        <v>34650</v>
      </c>
      <c r="G419" s="5">
        <f t="shared" ca="1" si="118"/>
        <v>44493</v>
      </c>
      <c r="H419" s="5">
        <f t="shared" ca="1" si="119"/>
        <v>44858</v>
      </c>
      <c r="I419" t="str">
        <f t="shared" ca="1" si="120"/>
        <v>080-0903-4981</v>
      </c>
      <c r="J419" t="str">
        <f t="shared" ca="1" si="136"/>
        <v>Gao_Fen Jin_44493@outlook.jp.co</v>
      </c>
      <c r="K419" t="str">
        <f t="shared" ca="1" si="122"/>
        <v>高級</v>
      </c>
      <c r="L419" t="str">
        <f t="shared" ca="1" si="123"/>
        <v>有り</v>
      </c>
      <c r="M419" t="str">
        <f t="shared" ca="1" si="137"/>
        <v>10%</v>
      </c>
      <c r="N419" t="str">
        <f t="shared" ca="1" si="125"/>
        <v>有り</v>
      </c>
      <c r="O419">
        <f t="shared" ca="1" si="126"/>
        <v>911</v>
      </c>
      <c r="R419">
        <f t="shared" ca="1" si="127"/>
        <v>16</v>
      </c>
      <c r="S419">
        <f t="shared" ca="1" si="128"/>
        <v>10</v>
      </c>
      <c r="T419">
        <f t="shared" ca="1" si="129"/>
        <v>2002</v>
      </c>
      <c r="U419">
        <f t="shared" ca="1" si="130"/>
        <v>2013</v>
      </c>
      <c r="V419">
        <f t="shared" ca="1" si="131"/>
        <v>5</v>
      </c>
      <c r="W419">
        <f t="shared" ca="1" si="132"/>
        <v>15</v>
      </c>
    </row>
    <row r="420" spans="1:23">
      <c r="A420" t="s">
        <v>1540</v>
      </c>
      <c r="B420" t="str">
        <f t="shared" ca="1" si="133"/>
        <v>楊欽西</v>
      </c>
      <c r="C420" t="str">
        <f t="shared" ca="1" si="134"/>
        <v>ﾔｰﾝ ﾁﾝ ｼｲ</v>
      </c>
      <c r="D420" t="str">
        <f t="shared" ca="1" si="135"/>
        <v>Yang Qin Xi</v>
      </c>
      <c r="E420" t="str" cm="1">
        <f t="array" aca="1" ref="E420" ca="1">INDIRECT(ADDRESS(RANDBETWEEN(2,16),7,1,1,"valueBase"))</f>
        <v>女性</v>
      </c>
      <c r="F420" s="5">
        <f t="shared" ca="1" si="117"/>
        <v>29532</v>
      </c>
      <c r="G420" s="5">
        <f t="shared" ca="1" si="118"/>
        <v>41411</v>
      </c>
      <c r="H420" s="5">
        <f t="shared" ca="1" si="119"/>
        <v>41776</v>
      </c>
      <c r="I420" t="str">
        <f t="shared" ca="1" si="120"/>
        <v>080-4422-0324</v>
      </c>
      <c r="J420" t="str">
        <f t="shared" ca="1" si="136"/>
        <v>Yang_Qin_Xi_41411@outlook.jp.co</v>
      </c>
      <c r="K420" t="str">
        <f t="shared" ca="1" si="122"/>
        <v>高級</v>
      </c>
      <c r="L420" t="str">
        <f t="shared" ca="1" si="123"/>
        <v>有り</v>
      </c>
      <c r="M420" t="str">
        <f t="shared" ca="1" si="137"/>
        <v>10%</v>
      </c>
      <c r="N420" t="str">
        <f t="shared" ca="1" si="125"/>
        <v>有り</v>
      </c>
      <c r="O420">
        <f t="shared" ca="1" si="126"/>
        <v>73</v>
      </c>
      <c r="R420">
        <f t="shared" ca="1" si="127"/>
        <v>7</v>
      </c>
      <c r="S420">
        <f t="shared" ca="1" si="128"/>
        <v>227</v>
      </c>
      <c r="T420">
        <f t="shared" ca="1" si="129"/>
        <v>1978</v>
      </c>
      <c r="U420">
        <f t="shared" ca="1" si="130"/>
        <v>1980</v>
      </c>
      <c r="V420">
        <f t="shared" ca="1" si="131"/>
        <v>1</v>
      </c>
      <c r="W420">
        <f t="shared" ca="1" si="132"/>
        <v>29</v>
      </c>
    </row>
    <row r="421" spans="1:23">
      <c r="A421" t="s">
        <v>1541</v>
      </c>
      <c r="B421" t="str">
        <f t="shared" ca="1" si="133"/>
        <v>王索頻</v>
      </c>
      <c r="C421" t="str">
        <f t="shared" ca="1" si="134"/>
        <v>ﾜｰﾝ ｽｩｵ ﾋﾟﾝ</v>
      </c>
      <c r="D421" t="str">
        <f t="shared" ca="1" si="135"/>
        <v>Wang Suo Pin</v>
      </c>
      <c r="E421" t="str" cm="1">
        <f t="array" aca="1" ref="E421" ca="1">INDIRECT(ADDRESS(RANDBETWEEN(2,16),7,1,1,"valueBase"))</f>
        <v>女性</v>
      </c>
      <c r="F421" s="5">
        <f t="shared" ca="1" si="117"/>
        <v>26007</v>
      </c>
      <c r="G421" s="5">
        <f t="shared" ca="1" si="118"/>
        <v>43712</v>
      </c>
      <c r="H421" s="5">
        <f t="shared" ca="1" si="119"/>
        <v>44807</v>
      </c>
      <c r="I421" t="str">
        <f t="shared" ca="1" si="120"/>
        <v>080-3181-3662</v>
      </c>
      <c r="J421" t="str">
        <f t="shared" ca="1" si="136"/>
        <v>Wang_Suo_Pin_43712@outlook.jp.co</v>
      </c>
      <c r="K421" t="str">
        <f t="shared" ca="1" si="122"/>
        <v>普通</v>
      </c>
      <c r="L421" t="str">
        <f t="shared" ca="1" si="123"/>
        <v>有り</v>
      </c>
      <c r="M421" t="str">
        <f t="shared" ca="1" si="137"/>
        <v>5%</v>
      </c>
      <c r="N421" t="str">
        <f t="shared" ca="1" si="125"/>
        <v>-</v>
      </c>
      <c r="O421" t="str">
        <f t="shared" ca="1" si="126"/>
        <v>-</v>
      </c>
      <c r="R421">
        <f t="shared" ca="1" si="127"/>
        <v>3</v>
      </c>
      <c r="S421">
        <f t="shared" ca="1" si="128"/>
        <v>58</v>
      </c>
      <c r="T421">
        <f t="shared" ca="1" si="129"/>
        <v>1985</v>
      </c>
      <c r="U421">
        <f t="shared" ca="1" si="130"/>
        <v>1990</v>
      </c>
      <c r="V421">
        <f t="shared" ca="1" si="131"/>
        <v>8</v>
      </c>
      <c r="W421">
        <f t="shared" ca="1" si="132"/>
        <v>17</v>
      </c>
    </row>
    <row r="422" spans="1:23">
      <c r="A422" t="s">
        <v>1542</v>
      </c>
      <c r="B422" t="str">
        <f t="shared" ca="1" si="133"/>
        <v>徐盈年</v>
      </c>
      <c r="C422" t="str">
        <f t="shared" ca="1" si="134"/>
        <v>ｼｭｲ ｲｰﾝ ﾆｴﾝ</v>
      </c>
      <c r="D422" t="str">
        <f t="shared" ca="1" si="135"/>
        <v>Xu Ying Nian</v>
      </c>
      <c r="E422" t="str" cm="1">
        <f t="array" aca="1" ref="E422" ca="1">INDIRECT(ADDRESS(RANDBETWEEN(2,16),7,1,1,"valueBase"))</f>
        <v>男性</v>
      </c>
      <c r="F422" s="5">
        <f t="shared" ca="1" si="117"/>
        <v>34905</v>
      </c>
      <c r="G422" s="5">
        <f t="shared" ca="1" si="118"/>
        <v>44346</v>
      </c>
      <c r="H422" s="5">
        <f t="shared" ca="1" si="119"/>
        <v>45076</v>
      </c>
      <c r="I422" t="str">
        <f t="shared" ca="1" si="120"/>
        <v>080-3211-3054</v>
      </c>
      <c r="J422" t="str">
        <f t="shared" ca="1" si="136"/>
        <v>Xu_Ying_Nian_44346@outlook.jp.co</v>
      </c>
      <c r="K422" t="str">
        <f t="shared" ca="1" si="122"/>
        <v>普通</v>
      </c>
      <c r="L422" t="str">
        <f t="shared" ca="1" si="123"/>
        <v>有り</v>
      </c>
      <c r="M422" t="str">
        <f t="shared" ca="1" si="137"/>
        <v>5%</v>
      </c>
      <c r="N422" t="str">
        <f t="shared" ca="1" si="125"/>
        <v>有り</v>
      </c>
      <c r="O422">
        <f t="shared" ca="1" si="126"/>
        <v>575</v>
      </c>
      <c r="R422">
        <f t="shared" ca="1" si="127"/>
        <v>12</v>
      </c>
      <c r="S422">
        <f t="shared" ca="1" si="128"/>
        <v>309</v>
      </c>
      <c r="T422">
        <f t="shared" ca="1" si="129"/>
        <v>1986</v>
      </c>
      <c r="U422">
        <f t="shared" ca="1" si="130"/>
        <v>1987</v>
      </c>
      <c r="V422">
        <f t="shared" ca="1" si="131"/>
        <v>10</v>
      </c>
      <c r="W422">
        <f t="shared" ca="1" si="132"/>
        <v>29</v>
      </c>
    </row>
    <row r="423" spans="1:23">
      <c r="A423" t="s">
        <v>1543</v>
      </c>
      <c r="B423" t="str">
        <f t="shared" ca="1" si="133"/>
        <v>馮浚建</v>
      </c>
      <c r="C423" t="str">
        <f t="shared" ca="1" si="134"/>
        <v>ﾌｵﾝ ｼﾞｭｲﾝ ｼﾞｴﾝ</v>
      </c>
      <c r="D423" t="str">
        <f t="shared" ca="1" si="135"/>
        <v>Feng Jun Jian</v>
      </c>
      <c r="E423" t="str" cm="1">
        <f t="array" aca="1" ref="E423" ca="1">INDIRECT(ADDRESS(RANDBETWEEN(2,16),7,1,1,"valueBase"))</f>
        <v>女性</v>
      </c>
      <c r="F423" s="5">
        <f t="shared" ca="1" si="117"/>
        <v>34138</v>
      </c>
      <c r="G423" s="5">
        <f t="shared" ca="1" si="118"/>
        <v>40987</v>
      </c>
      <c r="H423" s="5">
        <f t="shared" ca="1" si="119"/>
        <v>41717</v>
      </c>
      <c r="I423" t="str">
        <f t="shared" ca="1" si="120"/>
        <v>080-3201-8931</v>
      </c>
      <c r="J423" t="str">
        <f t="shared" ca="1" si="136"/>
        <v>Feng_Jun Jian_40987@outlook.jp.co</v>
      </c>
      <c r="K423" t="str">
        <f t="shared" ca="1" si="122"/>
        <v>高級</v>
      </c>
      <c r="L423" t="str">
        <f t="shared" ca="1" si="123"/>
        <v>有り</v>
      </c>
      <c r="M423" t="str">
        <f t="shared" ca="1" si="137"/>
        <v>10%</v>
      </c>
      <c r="N423" t="str">
        <f t="shared" ca="1" si="125"/>
        <v>有り</v>
      </c>
      <c r="O423">
        <f t="shared" ca="1" si="126"/>
        <v>663</v>
      </c>
      <c r="R423">
        <f t="shared" ca="1" si="127"/>
        <v>28</v>
      </c>
      <c r="S423">
        <f t="shared" ca="1" si="128"/>
        <v>264</v>
      </c>
      <c r="T423">
        <f t="shared" ca="1" si="129"/>
        <v>2007</v>
      </c>
      <c r="U423">
        <f t="shared" ca="1" si="130"/>
        <v>2019</v>
      </c>
      <c r="V423">
        <f t="shared" ca="1" si="131"/>
        <v>10</v>
      </c>
      <c r="W423">
        <f t="shared" ca="1" si="132"/>
        <v>25</v>
      </c>
    </row>
    <row r="424" spans="1:23">
      <c r="A424" t="s">
        <v>1544</v>
      </c>
      <c r="B424" t="str">
        <f t="shared" ca="1" si="133"/>
        <v>胡宇頃</v>
      </c>
      <c r="C424" t="str">
        <f t="shared" ca="1" si="134"/>
        <v>ﾎｩ ﾕｲ ﾁｰﾝ</v>
      </c>
      <c r="D424" t="str">
        <f t="shared" ca="1" si="135"/>
        <v>Hu Yu Qing</v>
      </c>
      <c r="E424" t="str" cm="1">
        <f t="array" aca="1" ref="E424" ca="1">INDIRECT(ADDRESS(RANDBETWEEN(2,16),7,1,1,"valueBase"))</f>
        <v>-</v>
      </c>
      <c r="F424" s="5">
        <f t="shared" ca="1" si="117"/>
        <v>29021</v>
      </c>
      <c r="G424" s="5">
        <f t="shared" ca="1" si="118"/>
        <v>36133</v>
      </c>
      <c r="H424" s="5">
        <f t="shared" ca="1" si="119"/>
        <v>36498</v>
      </c>
      <c r="I424" t="str">
        <f t="shared" ca="1" si="120"/>
        <v>080-1784-0803</v>
      </c>
      <c r="J424" t="str">
        <f t="shared" ca="1" si="136"/>
        <v>Hu_Yu_Qing_36133@outlook.jp.co</v>
      </c>
      <c r="K424" t="str">
        <f t="shared" ca="1" si="122"/>
        <v>高級</v>
      </c>
      <c r="L424" t="str">
        <f t="shared" ca="1" si="123"/>
        <v>有り</v>
      </c>
      <c r="M424" t="str">
        <f t="shared" ca="1" si="137"/>
        <v>10%</v>
      </c>
      <c r="N424" t="str">
        <f t="shared" ca="1" si="125"/>
        <v>有り</v>
      </c>
      <c r="O424">
        <f t="shared" ca="1" si="126"/>
        <v>981</v>
      </c>
      <c r="R424">
        <f t="shared" ca="1" si="127"/>
        <v>14</v>
      </c>
      <c r="S424">
        <f t="shared" ca="1" si="128"/>
        <v>107</v>
      </c>
      <c r="T424">
        <f t="shared" ca="1" si="129"/>
        <v>2007</v>
      </c>
      <c r="U424">
        <f t="shared" ca="1" si="130"/>
        <v>2010</v>
      </c>
      <c r="V424">
        <f t="shared" ca="1" si="131"/>
        <v>6</v>
      </c>
      <c r="W424">
        <f t="shared" ca="1" si="132"/>
        <v>10</v>
      </c>
    </row>
    <row r="425" spans="1:23">
      <c r="A425" t="s">
        <v>1545</v>
      </c>
      <c r="B425" t="str">
        <f t="shared" ca="1" si="133"/>
        <v>韓典存</v>
      </c>
      <c r="C425" t="str">
        <f t="shared" ca="1" si="134"/>
        <v>ﾊﾝ ﾃﾞｨｴﾝ ﾂｩﾝ</v>
      </c>
      <c r="D425" t="str">
        <f t="shared" ca="1" si="135"/>
        <v>Han Dian Cun</v>
      </c>
      <c r="E425" t="str" cm="1">
        <f t="array" aca="1" ref="E425" ca="1">INDIRECT(ADDRESS(RANDBETWEEN(2,16),7,1,1,"valueBase"))</f>
        <v>男性</v>
      </c>
      <c r="F425" s="5">
        <f t="shared" ca="1" si="117"/>
        <v>24735</v>
      </c>
      <c r="G425" s="5">
        <f t="shared" ca="1" si="118"/>
        <v>37621</v>
      </c>
      <c r="H425" s="5">
        <f t="shared" ca="1" si="119"/>
        <v>37986</v>
      </c>
      <c r="I425" t="str">
        <f t="shared" ca="1" si="120"/>
        <v>080-2194-6825</v>
      </c>
      <c r="J425" t="str">
        <f t="shared" ca="1" si="136"/>
        <v>Han_Dian_Cun_37621@outlook.jp.co</v>
      </c>
      <c r="K425" t="str">
        <f t="shared" ca="1" si="122"/>
        <v>普通</v>
      </c>
      <c r="L425" t="str">
        <f t="shared" ca="1" si="123"/>
        <v>-</v>
      </c>
      <c r="M425" t="str">
        <f t="shared" ca="1" si="137"/>
        <v>-</v>
      </c>
      <c r="N425" t="str">
        <f t="shared" ca="1" si="125"/>
        <v>有り</v>
      </c>
      <c r="O425">
        <f t="shared" ca="1" si="126"/>
        <v>488</v>
      </c>
      <c r="R425">
        <f t="shared" ca="1" si="127"/>
        <v>26</v>
      </c>
      <c r="S425">
        <f t="shared" ca="1" si="128"/>
        <v>267</v>
      </c>
      <c r="T425">
        <f t="shared" ca="1" si="129"/>
        <v>1987</v>
      </c>
      <c r="U425">
        <f t="shared" ca="1" si="130"/>
        <v>1998</v>
      </c>
      <c r="V425">
        <f t="shared" ca="1" si="131"/>
        <v>1</v>
      </c>
      <c r="W425">
        <f t="shared" ca="1" si="132"/>
        <v>24</v>
      </c>
    </row>
    <row r="426" spans="1:23">
      <c r="A426" t="s">
        <v>1546</v>
      </c>
      <c r="B426" t="str">
        <f t="shared" ca="1" si="133"/>
        <v>高偉榮</v>
      </c>
      <c r="C426" t="str">
        <f t="shared" ca="1" si="134"/>
        <v>ｶﾞｵ ｳｴｲ ｩﾛｰﾝ</v>
      </c>
      <c r="D426" t="str">
        <f t="shared" ca="1" si="135"/>
        <v>Gao Wei Rong</v>
      </c>
      <c r="E426" t="str" cm="1">
        <f t="array" aca="1" ref="E426" ca="1">INDIRECT(ADDRESS(RANDBETWEEN(2,16),7,1,1,"valueBase"))</f>
        <v>女性</v>
      </c>
      <c r="F426" s="5">
        <f t="shared" ca="1" si="117"/>
        <v>31013</v>
      </c>
      <c r="G426" s="5">
        <f t="shared" ca="1" si="118"/>
        <v>43232</v>
      </c>
      <c r="H426" s="5">
        <f t="shared" ca="1" si="119"/>
        <v>43962</v>
      </c>
      <c r="I426" t="str">
        <f t="shared" ca="1" si="120"/>
        <v>080-3404-7609</v>
      </c>
      <c r="J426" t="str">
        <f t="shared" ca="1" si="136"/>
        <v>Gao_Wei_Rong_43232@outlook.jp.co</v>
      </c>
      <c r="K426" t="str">
        <f t="shared" ca="1" si="122"/>
        <v>高級</v>
      </c>
      <c r="L426" t="str">
        <f t="shared" ca="1" si="123"/>
        <v>有り</v>
      </c>
      <c r="M426" t="str">
        <f t="shared" ca="1" si="137"/>
        <v>10%</v>
      </c>
      <c r="N426" t="str">
        <f t="shared" ca="1" si="125"/>
        <v>有り</v>
      </c>
      <c r="O426">
        <f t="shared" ca="1" si="126"/>
        <v>209</v>
      </c>
      <c r="R426">
        <f t="shared" ca="1" si="127"/>
        <v>16</v>
      </c>
      <c r="S426">
        <f t="shared" ca="1" si="128"/>
        <v>265</v>
      </c>
      <c r="T426">
        <f t="shared" ca="1" si="129"/>
        <v>1990</v>
      </c>
      <c r="U426">
        <f t="shared" ca="1" si="130"/>
        <v>1992</v>
      </c>
      <c r="V426">
        <f t="shared" ca="1" si="131"/>
        <v>4</v>
      </c>
      <c r="W426">
        <f t="shared" ca="1" si="132"/>
        <v>17</v>
      </c>
    </row>
    <row r="427" spans="1:23">
      <c r="A427" t="s">
        <v>1547</v>
      </c>
      <c r="B427" t="str">
        <f t="shared" ca="1" si="133"/>
        <v>韓憶捷</v>
      </c>
      <c r="C427" t="str">
        <f t="shared" ca="1" si="134"/>
        <v>ﾊﾝ ｲｰ ｼﾞｴ</v>
      </c>
      <c r="D427" t="str">
        <f t="shared" ca="1" si="135"/>
        <v>Han Yi Jie</v>
      </c>
      <c r="E427" t="str" cm="1">
        <f t="array" aca="1" ref="E427" ca="1">INDIRECT(ADDRESS(RANDBETWEEN(2,16),7,1,1,"valueBase"))</f>
        <v>男性</v>
      </c>
      <c r="F427" s="5">
        <f t="shared" ca="1" si="117"/>
        <v>31736</v>
      </c>
      <c r="G427" s="5">
        <f t="shared" ca="1" si="118"/>
        <v>42822</v>
      </c>
      <c r="H427" s="5">
        <f t="shared" ca="1" si="119"/>
        <v>43187</v>
      </c>
      <c r="I427" t="str">
        <f t="shared" ca="1" si="120"/>
        <v>080-0333-2928</v>
      </c>
      <c r="J427" t="str">
        <f t="shared" ca="1" si="136"/>
        <v>Han_Yi_Jie_42822@outlook.jp.co</v>
      </c>
      <c r="K427" t="str">
        <f t="shared" ca="1" si="122"/>
        <v>普通</v>
      </c>
      <c r="L427" t="str">
        <f t="shared" ca="1" si="123"/>
        <v>有り</v>
      </c>
      <c r="M427" t="str">
        <f t="shared" ca="1" si="137"/>
        <v>5%</v>
      </c>
      <c r="N427" t="str">
        <f t="shared" ca="1" si="125"/>
        <v>有り</v>
      </c>
      <c r="O427">
        <f t="shared" ca="1" si="126"/>
        <v>103</v>
      </c>
      <c r="R427">
        <f t="shared" ca="1" si="127"/>
        <v>26</v>
      </c>
      <c r="S427">
        <f t="shared" ca="1" si="128"/>
        <v>98</v>
      </c>
      <c r="T427">
        <f t="shared" ca="1" si="129"/>
        <v>1998</v>
      </c>
      <c r="U427">
        <f t="shared" ca="1" si="130"/>
        <v>2007</v>
      </c>
      <c r="V427">
        <f t="shared" ca="1" si="131"/>
        <v>1</v>
      </c>
      <c r="W427">
        <f t="shared" ca="1" si="132"/>
        <v>1</v>
      </c>
    </row>
    <row r="428" spans="1:23">
      <c r="A428" t="s">
        <v>1548</v>
      </c>
      <c r="B428" t="str">
        <f t="shared" ca="1" si="133"/>
        <v>何蓮聞</v>
      </c>
      <c r="C428" t="str">
        <f t="shared" ca="1" si="134"/>
        <v>ﾎｰｧ ﾘｴﾝ ｳｴﾝ</v>
      </c>
      <c r="D428" t="str">
        <f t="shared" ca="1" si="135"/>
        <v>He Lian Wen</v>
      </c>
      <c r="E428" t="str" cm="1">
        <f t="array" aca="1" ref="E428" ca="1">INDIRECT(ADDRESS(RANDBETWEEN(2,16),7,1,1,"valueBase"))</f>
        <v>男性</v>
      </c>
      <c r="F428" s="5">
        <f t="shared" ca="1" si="117"/>
        <v>25763</v>
      </c>
      <c r="G428" s="5">
        <f t="shared" ca="1" si="118"/>
        <v>36231</v>
      </c>
      <c r="H428" s="5">
        <f t="shared" ca="1" si="119"/>
        <v>37326</v>
      </c>
      <c r="I428" t="str">
        <f t="shared" ca="1" si="120"/>
        <v>090-9681-1231</v>
      </c>
      <c r="J428" t="str">
        <f t="shared" ca="1" si="136"/>
        <v>He_Lian_Wen_36231@outlook.jp.co</v>
      </c>
      <c r="K428" t="str">
        <f t="shared" ca="1" si="122"/>
        <v>高級</v>
      </c>
      <c r="L428" t="str">
        <f t="shared" ca="1" si="123"/>
        <v>-</v>
      </c>
      <c r="M428" t="str">
        <f t="shared" ca="1" si="137"/>
        <v>-</v>
      </c>
      <c r="N428" t="str">
        <f t="shared" ca="1" si="125"/>
        <v>-</v>
      </c>
      <c r="O428" t="str">
        <f t="shared" ca="1" si="126"/>
        <v>-</v>
      </c>
      <c r="R428">
        <f t="shared" ca="1" si="127"/>
        <v>18</v>
      </c>
      <c r="S428">
        <f t="shared" ca="1" si="128"/>
        <v>180</v>
      </c>
      <c r="T428">
        <f t="shared" ca="1" si="129"/>
        <v>2002</v>
      </c>
      <c r="U428">
        <f t="shared" ca="1" si="130"/>
        <v>2013</v>
      </c>
      <c r="V428">
        <f t="shared" ca="1" si="131"/>
        <v>4</v>
      </c>
      <c r="W428">
        <f t="shared" ca="1" si="132"/>
        <v>28</v>
      </c>
    </row>
    <row r="429" spans="1:23">
      <c r="A429" t="s">
        <v>1549</v>
      </c>
      <c r="B429" t="str">
        <f t="shared" ca="1" si="133"/>
        <v>林隆江</v>
      </c>
      <c r="C429" t="str">
        <f t="shared" ca="1" si="134"/>
        <v>ﾘﾝ ﾛｰﾝ ｼﾞｱｰﾝ</v>
      </c>
      <c r="D429" t="str">
        <f t="shared" ca="1" si="135"/>
        <v>Lin Long Jiang</v>
      </c>
      <c r="E429" t="str" cm="1">
        <f t="array" aca="1" ref="E429" ca="1">INDIRECT(ADDRESS(RANDBETWEEN(2,16),7,1,1,"valueBase"))</f>
        <v>-</v>
      </c>
      <c r="F429" s="5">
        <f t="shared" ca="1" si="117"/>
        <v>30179</v>
      </c>
      <c r="G429" s="5">
        <f t="shared" ca="1" si="118"/>
        <v>39302</v>
      </c>
      <c r="H429" s="5">
        <f t="shared" ca="1" si="119"/>
        <v>40032</v>
      </c>
      <c r="I429" t="str">
        <f t="shared" ca="1" si="120"/>
        <v>090-7052-9832</v>
      </c>
      <c r="J429" t="str">
        <f t="shared" ca="1" si="136"/>
        <v>Lin_Long_Jiang_39302@outlook.jp.co</v>
      </c>
      <c r="K429" t="str">
        <f t="shared" ca="1" si="122"/>
        <v>普通</v>
      </c>
      <c r="L429" t="str">
        <f t="shared" ca="1" si="123"/>
        <v>有り</v>
      </c>
      <c r="M429" t="str">
        <f t="shared" ca="1" si="137"/>
        <v>5%</v>
      </c>
      <c r="N429" t="str">
        <f t="shared" ca="1" si="125"/>
        <v>有り</v>
      </c>
      <c r="O429">
        <f t="shared" ca="1" si="126"/>
        <v>583</v>
      </c>
      <c r="R429">
        <f t="shared" ca="1" si="127"/>
        <v>17</v>
      </c>
      <c r="S429">
        <f t="shared" ca="1" si="128"/>
        <v>8</v>
      </c>
      <c r="T429">
        <f t="shared" ca="1" si="129"/>
        <v>1993</v>
      </c>
      <c r="U429">
        <f t="shared" ca="1" si="130"/>
        <v>2003</v>
      </c>
      <c r="V429">
        <f t="shared" ca="1" si="131"/>
        <v>5</v>
      </c>
      <c r="W429">
        <f t="shared" ca="1" si="132"/>
        <v>5</v>
      </c>
    </row>
    <row r="430" spans="1:23">
      <c r="A430" t="s">
        <v>1550</v>
      </c>
      <c r="B430" t="str">
        <f t="shared" ca="1" si="133"/>
        <v>謝媛都</v>
      </c>
      <c r="C430" t="str">
        <f t="shared" ca="1" si="134"/>
        <v>ｼｴ ﾕｴﾝ ﾄﾞｩ</v>
      </c>
      <c r="D430" t="str">
        <f t="shared" ca="1" si="135"/>
        <v>Xie Yuan Du</v>
      </c>
      <c r="E430" t="str" cm="1">
        <f t="array" aca="1" ref="E430" ca="1">INDIRECT(ADDRESS(RANDBETWEEN(2,16),7,1,1,"valueBase"))</f>
        <v>男性</v>
      </c>
      <c r="F430" s="5">
        <f t="shared" ca="1" si="117"/>
        <v>36046</v>
      </c>
      <c r="G430" s="5">
        <f t="shared" ca="1" si="118"/>
        <v>44330</v>
      </c>
      <c r="H430" s="5">
        <f t="shared" ca="1" si="119"/>
        <v>45425</v>
      </c>
      <c r="I430" t="str">
        <f t="shared" ca="1" si="120"/>
        <v>080-3904-4338</v>
      </c>
      <c r="J430" t="str">
        <f t="shared" ca="1" si="136"/>
        <v>Xie_Yuan Du_44330@outlook.jp.co</v>
      </c>
      <c r="K430" t="str">
        <f t="shared" ca="1" si="122"/>
        <v>高級</v>
      </c>
      <c r="L430" t="str">
        <f t="shared" ca="1" si="123"/>
        <v>有り</v>
      </c>
      <c r="M430" t="str">
        <f t="shared" ca="1" si="137"/>
        <v>10%</v>
      </c>
      <c r="N430" t="str">
        <f t="shared" ca="1" si="125"/>
        <v>有り</v>
      </c>
      <c r="O430">
        <f t="shared" ca="1" si="126"/>
        <v>836</v>
      </c>
      <c r="R430">
        <f t="shared" ca="1" si="127"/>
        <v>25</v>
      </c>
      <c r="S430">
        <f t="shared" ca="1" si="128"/>
        <v>70</v>
      </c>
      <c r="T430">
        <f t="shared" ca="1" si="129"/>
        <v>1999</v>
      </c>
      <c r="U430">
        <f t="shared" ca="1" si="130"/>
        <v>2008</v>
      </c>
      <c r="V430">
        <f t="shared" ca="1" si="131"/>
        <v>7</v>
      </c>
      <c r="W430">
        <f t="shared" ca="1" si="132"/>
        <v>31</v>
      </c>
    </row>
    <row r="431" spans="1:23">
      <c r="A431" t="s">
        <v>1551</v>
      </c>
      <c r="B431" t="str">
        <f t="shared" ca="1" si="133"/>
        <v>梁茗奧</v>
      </c>
      <c r="C431" t="str">
        <f t="shared" ca="1" si="134"/>
        <v>ﾘﾔｰﾝ ﾐｰﾝ ｱｵ</v>
      </c>
      <c r="D431" t="str">
        <f t="shared" ca="1" si="135"/>
        <v>Liang Ming Ao</v>
      </c>
      <c r="E431" t="str" cm="1">
        <f t="array" aca="1" ref="E431" ca="1">INDIRECT(ADDRESS(RANDBETWEEN(2,16),7,1,1,"valueBase"))</f>
        <v>男性</v>
      </c>
      <c r="F431" s="5">
        <f t="shared" ca="1" si="117"/>
        <v>35652</v>
      </c>
      <c r="G431" s="5">
        <f t="shared" ca="1" si="118"/>
        <v>43331</v>
      </c>
      <c r="H431" s="5">
        <f t="shared" ca="1" si="119"/>
        <v>44426</v>
      </c>
      <c r="I431" t="str">
        <f t="shared" ca="1" si="120"/>
        <v>090-9390-5681</v>
      </c>
      <c r="J431" t="str">
        <f t="shared" ca="1" si="136"/>
        <v>Liang_Ming_Ao_43331@outlook.jp.co</v>
      </c>
      <c r="K431" t="str">
        <f t="shared" ca="1" si="122"/>
        <v>普通</v>
      </c>
      <c r="L431" t="str">
        <f t="shared" ca="1" si="123"/>
        <v>有り</v>
      </c>
      <c r="M431" t="str">
        <f t="shared" ca="1" si="137"/>
        <v>5%</v>
      </c>
      <c r="N431" t="str">
        <f t="shared" ca="1" si="125"/>
        <v>-</v>
      </c>
      <c r="O431" t="str">
        <f t="shared" ca="1" si="126"/>
        <v>-</v>
      </c>
      <c r="R431">
        <f t="shared" ca="1" si="127"/>
        <v>22</v>
      </c>
      <c r="S431">
        <f t="shared" ca="1" si="128"/>
        <v>209</v>
      </c>
      <c r="T431">
        <f t="shared" ca="1" si="129"/>
        <v>2002</v>
      </c>
      <c r="U431">
        <f t="shared" ca="1" si="130"/>
        <v>2013</v>
      </c>
      <c r="V431">
        <f t="shared" ca="1" si="131"/>
        <v>2</v>
      </c>
      <c r="W431">
        <f t="shared" ca="1" si="132"/>
        <v>8</v>
      </c>
    </row>
    <row r="432" spans="1:23">
      <c r="A432" t="s">
        <v>1552</v>
      </c>
      <c r="B432" t="str">
        <f t="shared" ca="1" si="133"/>
        <v>趙馳聖</v>
      </c>
      <c r="C432" t="str">
        <f t="shared" ca="1" si="134"/>
        <v>ｼﾞｬｵ ﾁｰ ｼｭﾖﾝ</v>
      </c>
      <c r="D432" t="str">
        <f t="shared" ca="1" si="135"/>
        <v>Zhao Chi Sheng</v>
      </c>
      <c r="E432" t="str" cm="1">
        <f t="array" aca="1" ref="E432" ca="1">INDIRECT(ADDRESS(RANDBETWEEN(2,16),7,1,1,"valueBase"))</f>
        <v>-</v>
      </c>
      <c r="F432" s="5">
        <f t="shared" ca="1" si="117"/>
        <v>37746</v>
      </c>
      <c r="G432" s="5">
        <f t="shared" ca="1" si="118"/>
        <v>44820</v>
      </c>
      <c r="H432" s="5">
        <f t="shared" ca="1" si="119"/>
        <v>45915</v>
      </c>
      <c r="I432" t="str">
        <f t="shared" ca="1" si="120"/>
        <v>080-2245-7058</v>
      </c>
      <c r="J432" t="str">
        <f t="shared" ca="1" si="136"/>
        <v>Zhao_Chi_Sheng_44820@outlook.jp.co</v>
      </c>
      <c r="K432" t="str">
        <f t="shared" ca="1" si="122"/>
        <v>普通</v>
      </c>
      <c r="L432" t="str">
        <f t="shared" ca="1" si="123"/>
        <v>-</v>
      </c>
      <c r="M432" t="str">
        <f t="shared" ca="1" si="137"/>
        <v>-</v>
      </c>
      <c r="N432" t="str">
        <f t="shared" ca="1" si="125"/>
        <v>-</v>
      </c>
      <c r="O432" t="str">
        <f t="shared" ca="1" si="126"/>
        <v>-</v>
      </c>
      <c r="R432">
        <f t="shared" ca="1" si="127"/>
        <v>8</v>
      </c>
      <c r="S432">
        <f t="shared" ca="1" si="128"/>
        <v>314</v>
      </c>
      <c r="T432">
        <f t="shared" ca="1" si="129"/>
        <v>2006</v>
      </c>
      <c r="U432">
        <f t="shared" ca="1" si="130"/>
        <v>2011</v>
      </c>
      <c r="V432">
        <f t="shared" ca="1" si="131"/>
        <v>4</v>
      </c>
      <c r="W432">
        <f t="shared" ca="1" si="132"/>
        <v>16</v>
      </c>
    </row>
    <row r="433" spans="1:23">
      <c r="A433" t="s">
        <v>1553</v>
      </c>
      <c r="B433" t="str">
        <f t="shared" ca="1" si="133"/>
        <v>王庭建</v>
      </c>
      <c r="C433" t="str">
        <f t="shared" ca="1" si="134"/>
        <v>ﾜｰﾝ ﾃｨｰﾝ ｼﾞｴﾝ</v>
      </c>
      <c r="D433" t="str">
        <f t="shared" ca="1" si="135"/>
        <v>Wang Ting Jian</v>
      </c>
      <c r="E433" t="str" cm="1">
        <f t="array" aca="1" ref="E433" ca="1">INDIRECT(ADDRESS(RANDBETWEEN(2,16),7,1,1,"valueBase"))</f>
        <v>-</v>
      </c>
      <c r="F433" s="5">
        <f t="shared" ca="1" si="117"/>
        <v>35682</v>
      </c>
      <c r="G433" s="5">
        <f t="shared" ca="1" si="118"/>
        <v>43495</v>
      </c>
      <c r="H433" s="5">
        <f t="shared" ca="1" si="119"/>
        <v>43860</v>
      </c>
      <c r="I433" t="str">
        <f t="shared" ca="1" si="120"/>
        <v>090-8282-0531</v>
      </c>
      <c r="J433" t="str">
        <f t="shared" ca="1" si="136"/>
        <v>Wang_Ting_Jian_43495@outlook.jp.co</v>
      </c>
      <c r="K433" t="str">
        <f t="shared" ca="1" si="122"/>
        <v>高級</v>
      </c>
      <c r="L433" t="str">
        <f t="shared" ca="1" si="123"/>
        <v>有り</v>
      </c>
      <c r="M433" t="str">
        <f t="shared" ca="1" si="137"/>
        <v>10%</v>
      </c>
      <c r="N433" t="str">
        <f t="shared" ca="1" si="125"/>
        <v>有り</v>
      </c>
      <c r="O433">
        <f t="shared" ca="1" si="126"/>
        <v>285</v>
      </c>
      <c r="R433">
        <f t="shared" ca="1" si="127"/>
        <v>3</v>
      </c>
      <c r="S433">
        <f t="shared" ca="1" si="128"/>
        <v>64</v>
      </c>
      <c r="T433">
        <f t="shared" ca="1" si="129"/>
        <v>1995</v>
      </c>
      <c r="U433">
        <f t="shared" ca="1" si="130"/>
        <v>2003</v>
      </c>
      <c r="V433">
        <f t="shared" ca="1" si="131"/>
        <v>9</v>
      </c>
      <c r="W433">
        <f t="shared" ca="1" si="132"/>
        <v>16</v>
      </c>
    </row>
    <row r="434" spans="1:23">
      <c r="A434" t="s">
        <v>1554</v>
      </c>
      <c r="B434" t="str">
        <f t="shared" ca="1" si="133"/>
        <v>韓盟玲</v>
      </c>
      <c r="C434" t="str">
        <f t="shared" ca="1" si="134"/>
        <v>ﾊﾝ ﾑｵﾝ ﾘｰﾝ</v>
      </c>
      <c r="D434" t="str">
        <f t="shared" ca="1" si="135"/>
        <v>Han Meng Ling</v>
      </c>
      <c r="E434" t="str" cm="1">
        <f t="array" aca="1" ref="E434" ca="1">INDIRECT(ADDRESS(RANDBETWEEN(2,16),7,1,1,"valueBase"))</f>
        <v>女性</v>
      </c>
      <c r="F434" s="5">
        <f t="shared" ca="1" si="117"/>
        <v>22359</v>
      </c>
      <c r="G434" s="5">
        <f t="shared" ca="1" si="118"/>
        <v>35426</v>
      </c>
      <c r="H434" s="5">
        <f t="shared" ca="1" si="119"/>
        <v>36521</v>
      </c>
      <c r="I434" t="str">
        <f t="shared" ca="1" si="120"/>
        <v>090-8618-1556</v>
      </c>
      <c r="J434" t="str">
        <f t="shared" ca="1" si="136"/>
        <v>Han_Meng_Ling_35426@outlook.jp.co</v>
      </c>
      <c r="K434" t="str">
        <f t="shared" ca="1" si="122"/>
        <v>高級</v>
      </c>
      <c r="L434" t="str">
        <f t="shared" ca="1" si="123"/>
        <v>-</v>
      </c>
      <c r="M434" t="str">
        <f t="shared" ca="1" si="137"/>
        <v>-</v>
      </c>
      <c r="N434" t="str">
        <f t="shared" ca="1" si="125"/>
        <v>-</v>
      </c>
      <c r="O434" t="str">
        <f t="shared" ca="1" si="126"/>
        <v>-</v>
      </c>
      <c r="R434">
        <f t="shared" ca="1" si="127"/>
        <v>26</v>
      </c>
      <c r="S434">
        <f t="shared" ca="1" si="128"/>
        <v>102</v>
      </c>
      <c r="T434">
        <f t="shared" ca="1" si="129"/>
        <v>1994</v>
      </c>
      <c r="U434">
        <f t="shared" ca="1" si="130"/>
        <v>2006</v>
      </c>
      <c r="V434">
        <f t="shared" ca="1" si="131"/>
        <v>2</v>
      </c>
      <c r="W434">
        <f t="shared" ca="1" si="132"/>
        <v>22</v>
      </c>
    </row>
    <row r="435" spans="1:23">
      <c r="A435" t="s">
        <v>1555</v>
      </c>
      <c r="B435" t="str">
        <f t="shared" ca="1" si="133"/>
        <v>趙秀髮</v>
      </c>
      <c r="C435" t="str">
        <f t="shared" ca="1" si="134"/>
        <v>ｼﾞｬｵ ｼｳ ﾌｧｰ</v>
      </c>
      <c r="D435" t="str">
        <f t="shared" ca="1" si="135"/>
        <v>Zhao Xiu Fa</v>
      </c>
      <c r="E435" t="str" cm="1">
        <f t="array" aca="1" ref="E435" ca="1">INDIRECT(ADDRESS(RANDBETWEEN(2,16),7,1,1,"valueBase"))</f>
        <v>女性</v>
      </c>
      <c r="F435" s="5">
        <f t="shared" ca="1" si="117"/>
        <v>29582</v>
      </c>
      <c r="G435" s="5">
        <f t="shared" ca="1" si="118"/>
        <v>40587</v>
      </c>
      <c r="H435" s="5">
        <f t="shared" ca="1" si="119"/>
        <v>40952</v>
      </c>
      <c r="I435" t="str">
        <f t="shared" ca="1" si="120"/>
        <v>080-7922-8697</v>
      </c>
      <c r="J435" t="str">
        <f t="shared" ca="1" si="136"/>
        <v>Zhao_Xiu_Fa_40587@outlook.jp.co</v>
      </c>
      <c r="K435" t="str">
        <f t="shared" ca="1" si="122"/>
        <v>高級</v>
      </c>
      <c r="L435" t="str">
        <f t="shared" ca="1" si="123"/>
        <v>有り</v>
      </c>
      <c r="M435" t="str">
        <f t="shared" ca="1" si="137"/>
        <v>10%</v>
      </c>
      <c r="N435" t="str">
        <f t="shared" ca="1" si="125"/>
        <v>有り</v>
      </c>
      <c r="O435">
        <f t="shared" ca="1" si="126"/>
        <v>928</v>
      </c>
      <c r="R435">
        <f t="shared" ca="1" si="127"/>
        <v>8</v>
      </c>
      <c r="S435">
        <f t="shared" ca="1" si="128"/>
        <v>91</v>
      </c>
      <c r="T435">
        <f t="shared" ca="1" si="129"/>
        <v>1990</v>
      </c>
      <c r="U435">
        <f t="shared" ca="1" si="130"/>
        <v>2002</v>
      </c>
      <c r="V435">
        <f t="shared" ca="1" si="131"/>
        <v>1</v>
      </c>
      <c r="W435">
        <f t="shared" ca="1" si="132"/>
        <v>13</v>
      </c>
    </row>
    <row r="436" spans="1:23">
      <c r="A436" t="s">
        <v>1556</v>
      </c>
      <c r="B436" t="str">
        <f t="shared" ca="1" si="133"/>
        <v>韓亦麥</v>
      </c>
      <c r="C436" t="str">
        <f t="shared" ca="1" si="134"/>
        <v>ﾊﾝ ｲｰ ﾏｲ</v>
      </c>
      <c r="D436" t="str">
        <f t="shared" ca="1" si="135"/>
        <v>Han Yi Mai</v>
      </c>
      <c r="E436" t="str" cm="1">
        <f t="array" aca="1" ref="E436" ca="1">INDIRECT(ADDRESS(RANDBETWEEN(2,16),7,1,1,"valueBase"))</f>
        <v>男性</v>
      </c>
      <c r="F436" s="5">
        <f t="shared" ca="1" si="117"/>
        <v>37994</v>
      </c>
      <c r="G436" s="5">
        <f t="shared" ca="1" si="118"/>
        <v>45439</v>
      </c>
      <c r="H436" s="5">
        <f t="shared" ca="1" si="119"/>
        <v>45804</v>
      </c>
      <c r="I436" t="str">
        <f t="shared" ca="1" si="120"/>
        <v>080-9979-6982</v>
      </c>
      <c r="J436" t="str">
        <f t="shared" ca="1" si="136"/>
        <v>Han_Yi_Mai_45439@outlook.jp.co</v>
      </c>
      <c r="K436" t="str">
        <f t="shared" ca="1" si="122"/>
        <v>普通</v>
      </c>
      <c r="L436" t="str">
        <f t="shared" ca="1" si="123"/>
        <v>-</v>
      </c>
      <c r="M436" t="str">
        <f t="shared" ca="1" si="137"/>
        <v>-</v>
      </c>
      <c r="N436" t="str">
        <f t="shared" ca="1" si="125"/>
        <v>有り</v>
      </c>
      <c r="O436">
        <f t="shared" ca="1" si="126"/>
        <v>19</v>
      </c>
      <c r="R436">
        <f t="shared" ca="1" si="127"/>
        <v>26</v>
      </c>
      <c r="S436">
        <f t="shared" ca="1" si="128"/>
        <v>105</v>
      </c>
      <c r="T436">
        <f t="shared" ca="1" si="129"/>
        <v>1975</v>
      </c>
      <c r="U436">
        <f t="shared" ca="1" si="130"/>
        <v>1987</v>
      </c>
      <c r="V436">
        <f t="shared" ca="1" si="131"/>
        <v>4</v>
      </c>
      <c r="W436">
        <f t="shared" ca="1" si="132"/>
        <v>24</v>
      </c>
    </row>
    <row r="437" spans="1:23">
      <c r="A437" t="s">
        <v>1557</v>
      </c>
      <c r="B437" t="str">
        <f t="shared" ca="1" si="133"/>
        <v>朱馳微</v>
      </c>
      <c r="C437" t="str">
        <f t="shared" ca="1" si="134"/>
        <v>ｼﾞｭｳ ﾁｰ ｳｴｲ</v>
      </c>
      <c r="D437" t="str">
        <f t="shared" ca="1" si="135"/>
        <v>Zhu Chi Wei</v>
      </c>
      <c r="E437" t="str" cm="1">
        <f t="array" aca="1" ref="E437" ca="1">INDIRECT(ADDRESS(RANDBETWEEN(2,16),7,1,1,"valueBase"))</f>
        <v>男性</v>
      </c>
      <c r="F437" s="5">
        <f t="shared" ca="1" si="117"/>
        <v>22758</v>
      </c>
      <c r="G437" s="5">
        <f t="shared" ca="1" si="118"/>
        <v>31901</v>
      </c>
      <c r="H437" s="5">
        <f t="shared" ca="1" si="119"/>
        <v>32996</v>
      </c>
      <c r="I437" t="str">
        <f t="shared" ca="1" si="120"/>
        <v>080-6204-9664</v>
      </c>
      <c r="J437" t="str">
        <f t="shared" ca="1" si="136"/>
        <v>Zhu_Chi_Wei_31901@outlook.jp.co</v>
      </c>
      <c r="K437" t="str">
        <f t="shared" ca="1" si="122"/>
        <v>普通</v>
      </c>
      <c r="L437" t="str">
        <f t="shared" ca="1" si="123"/>
        <v>有り</v>
      </c>
      <c r="M437" t="str">
        <f t="shared" ca="1" si="137"/>
        <v>5%</v>
      </c>
      <c r="N437" t="str">
        <f t="shared" ca="1" si="125"/>
        <v>有り</v>
      </c>
      <c r="O437">
        <f t="shared" ca="1" si="126"/>
        <v>851</v>
      </c>
      <c r="R437">
        <f t="shared" ca="1" si="127"/>
        <v>15</v>
      </c>
      <c r="S437">
        <f t="shared" ca="1" si="128"/>
        <v>161</v>
      </c>
      <c r="T437">
        <f t="shared" ca="1" si="129"/>
        <v>1995</v>
      </c>
      <c r="U437">
        <f t="shared" ca="1" si="130"/>
        <v>1999</v>
      </c>
      <c r="V437">
        <f t="shared" ca="1" si="131"/>
        <v>10</v>
      </c>
      <c r="W437">
        <f t="shared" ca="1" si="132"/>
        <v>15</v>
      </c>
    </row>
    <row r="438" spans="1:23">
      <c r="A438" t="s">
        <v>1558</v>
      </c>
      <c r="B438" t="str">
        <f t="shared" ca="1" si="133"/>
        <v>李熙卡</v>
      </c>
      <c r="C438" t="str">
        <f t="shared" ca="1" si="134"/>
        <v>ﾘｰ ｼｲ ｶｰ</v>
      </c>
      <c r="D438" t="str">
        <f t="shared" ca="1" si="135"/>
        <v>Li Xi Ka</v>
      </c>
      <c r="E438" t="str" cm="1">
        <f t="array" aca="1" ref="E438" ca="1">INDIRECT(ADDRESS(RANDBETWEEN(2,16),7,1,1,"valueBase"))</f>
        <v>女性</v>
      </c>
      <c r="F438" s="5">
        <f t="shared" ca="1" si="117"/>
        <v>24829</v>
      </c>
      <c r="G438" s="5">
        <f t="shared" ca="1" si="118"/>
        <v>40463</v>
      </c>
      <c r="H438" s="5">
        <f t="shared" ca="1" si="119"/>
        <v>41558</v>
      </c>
      <c r="I438" t="str">
        <f t="shared" ca="1" si="120"/>
        <v>080-1223-0137</v>
      </c>
      <c r="J438" t="str">
        <f t="shared" ca="1" si="136"/>
        <v>Li_Xi Ka_40463@outlook.jp.co</v>
      </c>
      <c r="K438" t="str">
        <f t="shared" ca="1" si="122"/>
        <v>普通</v>
      </c>
      <c r="L438" t="str">
        <f t="shared" ca="1" si="123"/>
        <v>有り</v>
      </c>
      <c r="M438" t="str">
        <f t="shared" ca="1" si="137"/>
        <v>5%</v>
      </c>
      <c r="N438" t="str">
        <f t="shared" ca="1" si="125"/>
        <v>有り</v>
      </c>
      <c r="O438">
        <f t="shared" ca="1" si="126"/>
        <v>16</v>
      </c>
      <c r="R438">
        <f t="shared" ca="1" si="127"/>
        <v>2</v>
      </c>
      <c r="S438">
        <f t="shared" ca="1" si="128"/>
        <v>206</v>
      </c>
      <c r="T438">
        <f t="shared" ca="1" si="129"/>
        <v>1985</v>
      </c>
      <c r="U438">
        <f t="shared" ca="1" si="130"/>
        <v>1990</v>
      </c>
      <c r="V438">
        <f t="shared" ca="1" si="131"/>
        <v>6</v>
      </c>
      <c r="W438">
        <f t="shared" ca="1" si="132"/>
        <v>6</v>
      </c>
    </row>
    <row r="439" spans="1:23">
      <c r="A439" t="s">
        <v>1559</v>
      </c>
      <c r="B439" t="str">
        <f t="shared" ca="1" si="133"/>
        <v>高綸網</v>
      </c>
      <c r="C439" t="str">
        <f t="shared" ca="1" si="134"/>
        <v>ｶﾞｵ ﾙﾝ ﾜｰﾝ</v>
      </c>
      <c r="D439" t="str">
        <f t="shared" ca="1" si="135"/>
        <v>Gao Lun Wang</v>
      </c>
      <c r="E439" t="str" cm="1">
        <f t="array" aca="1" ref="E439" ca="1">INDIRECT(ADDRESS(RANDBETWEEN(2,16),7,1,1,"valueBase"))</f>
        <v>男性</v>
      </c>
      <c r="F439" s="5">
        <f t="shared" ca="1" si="117"/>
        <v>35137</v>
      </c>
      <c r="G439" s="5">
        <f t="shared" ca="1" si="118"/>
        <v>42713</v>
      </c>
      <c r="H439" s="5">
        <f t="shared" ca="1" si="119"/>
        <v>43443</v>
      </c>
      <c r="I439" t="str">
        <f t="shared" ca="1" si="120"/>
        <v>090-7358-5941</v>
      </c>
      <c r="J439" t="str">
        <f t="shared" ca="1" si="136"/>
        <v>Gao_Lun Wang_42713@outlook.jp.co</v>
      </c>
      <c r="K439" t="str">
        <f t="shared" ca="1" si="122"/>
        <v>普通</v>
      </c>
      <c r="L439" t="str">
        <f t="shared" ca="1" si="123"/>
        <v>有り</v>
      </c>
      <c r="M439" t="str">
        <f t="shared" ca="1" si="137"/>
        <v>5%</v>
      </c>
      <c r="N439" t="str">
        <f t="shared" ca="1" si="125"/>
        <v>-</v>
      </c>
      <c r="O439" t="str">
        <f t="shared" ca="1" si="126"/>
        <v>-</v>
      </c>
      <c r="R439">
        <f t="shared" ca="1" si="127"/>
        <v>16</v>
      </c>
      <c r="S439">
        <f t="shared" ca="1" si="128"/>
        <v>263</v>
      </c>
      <c r="T439">
        <f t="shared" ca="1" si="129"/>
        <v>2007</v>
      </c>
      <c r="U439">
        <f t="shared" ca="1" si="130"/>
        <v>2016</v>
      </c>
      <c r="V439">
        <f t="shared" ca="1" si="131"/>
        <v>10</v>
      </c>
      <c r="W439">
        <f t="shared" ca="1" si="132"/>
        <v>29</v>
      </c>
    </row>
    <row r="440" spans="1:23">
      <c r="A440" t="s">
        <v>1560</v>
      </c>
      <c r="B440" t="str">
        <f t="shared" ca="1" si="133"/>
        <v>高慶祖</v>
      </c>
      <c r="C440" t="str">
        <f t="shared" ca="1" si="134"/>
        <v>ｶﾞｵ ﾁｰﾝ ｽﾞｩ</v>
      </c>
      <c r="D440" t="str">
        <f t="shared" ca="1" si="135"/>
        <v>Gao Qing Zu</v>
      </c>
      <c r="E440" t="str" cm="1">
        <f t="array" aca="1" ref="E440" ca="1">INDIRECT(ADDRESS(RANDBETWEEN(2,16),7,1,1,"valueBase"))</f>
        <v>女性</v>
      </c>
      <c r="F440" s="5">
        <f t="shared" ca="1" si="117"/>
        <v>27052</v>
      </c>
      <c r="G440" s="5">
        <f t="shared" ca="1" si="118"/>
        <v>35497</v>
      </c>
      <c r="H440" s="5">
        <f t="shared" ca="1" si="119"/>
        <v>36227</v>
      </c>
      <c r="I440" t="str">
        <f t="shared" ca="1" si="120"/>
        <v>080-7987-3926</v>
      </c>
      <c r="J440" t="str">
        <f t="shared" ca="1" si="136"/>
        <v>Gao_Qing_Zu_35497@outlook.jp.co</v>
      </c>
      <c r="K440" t="str">
        <f t="shared" ca="1" si="122"/>
        <v>高級</v>
      </c>
      <c r="L440" t="str">
        <f t="shared" ca="1" si="123"/>
        <v>-</v>
      </c>
      <c r="M440" t="str">
        <f t="shared" ca="1" si="137"/>
        <v>-</v>
      </c>
      <c r="N440" t="str">
        <f t="shared" ca="1" si="125"/>
        <v>有り</v>
      </c>
      <c r="O440">
        <f t="shared" ca="1" si="126"/>
        <v>517</v>
      </c>
      <c r="R440">
        <f t="shared" ca="1" si="127"/>
        <v>16</v>
      </c>
      <c r="S440">
        <f t="shared" ca="1" si="128"/>
        <v>50</v>
      </c>
      <c r="T440">
        <f t="shared" ca="1" si="129"/>
        <v>1973</v>
      </c>
      <c r="U440">
        <f t="shared" ca="1" si="130"/>
        <v>1982</v>
      </c>
      <c r="V440">
        <f t="shared" ca="1" si="131"/>
        <v>12</v>
      </c>
      <c r="W440">
        <f t="shared" ca="1" si="132"/>
        <v>23</v>
      </c>
    </row>
    <row r="441" spans="1:23">
      <c r="A441" t="s">
        <v>1561</v>
      </c>
      <c r="B441" t="str">
        <f t="shared" ca="1" si="133"/>
        <v>韓彥達</v>
      </c>
      <c r="C441" t="str">
        <f t="shared" ca="1" si="134"/>
        <v>ﾊﾝ ｲｴﾝ ﾀﾞｰ</v>
      </c>
      <c r="D441" t="str">
        <f t="shared" ca="1" si="135"/>
        <v>Han Yan Da</v>
      </c>
      <c r="E441" t="str" cm="1">
        <f t="array" aca="1" ref="E441" ca="1">INDIRECT(ADDRESS(RANDBETWEEN(2,16),7,1,1,"valueBase"))</f>
        <v>女性</v>
      </c>
      <c r="F441" s="5">
        <f t="shared" ca="1" si="117"/>
        <v>28785</v>
      </c>
      <c r="G441" s="5">
        <f t="shared" ca="1" si="118"/>
        <v>42507</v>
      </c>
      <c r="H441" s="5">
        <f t="shared" ca="1" si="119"/>
        <v>43237</v>
      </c>
      <c r="I441" t="str">
        <f t="shared" ca="1" si="120"/>
        <v>080-0974-4330</v>
      </c>
      <c r="J441" t="str">
        <f t="shared" ca="1" si="136"/>
        <v>Han_Yan_Da_42507@outlook.jp.co</v>
      </c>
      <c r="K441" t="str">
        <f t="shared" ca="1" si="122"/>
        <v>普通</v>
      </c>
      <c r="L441" t="str">
        <f t="shared" ca="1" si="123"/>
        <v>有り</v>
      </c>
      <c r="M441" t="str">
        <f t="shared" ca="1" si="137"/>
        <v>5%</v>
      </c>
      <c r="N441" t="str">
        <f t="shared" ca="1" si="125"/>
        <v>有り</v>
      </c>
      <c r="O441">
        <f t="shared" ca="1" si="126"/>
        <v>879</v>
      </c>
      <c r="R441">
        <f t="shared" ca="1" si="127"/>
        <v>26</v>
      </c>
      <c r="S441">
        <f t="shared" ca="1" si="128"/>
        <v>312</v>
      </c>
      <c r="T441">
        <f t="shared" ca="1" si="129"/>
        <v>1991</v>
      </c>
      <c r="U441">
        <f t="shared" ca="1" si="130"/>
        <v>2000</v>
      </c>
      <c r="V441">
        <f t="shared" ca="1" si="131"/>
        <v>3</v>
      </c>
      <c r="W441">
        <f t="shared" ca="1" si="132"/>
        <v>18</v>
      </c>
    </row>
    <row r="442" spans="1:23">
      <c r="A442" t="s">
        <v>1562</v>
      </c>
      <c r="B442" t="str">
        <f t="shared" ca="1" si="133"/>
        <v>韓悅協</v>
      </c>
      <c r="C442" t="str">
        <f t="shared" ca="1" si="134"/>
        <v>ﾊﾝ ﾕｴ ｼｴ</v>
      </c>
      <c r="D442" t="str">
        <f t="shared" ca="1" si="135"/>
        <v>Han Yue Xie</v>
      </c>
      <c r="E442" t="str" cm="1">
        <f t="array" aca="1" ref="E442" ca="1">INDIRECT(ADDRESS(RANDBETWEEN(2,16),7,1,1,"valueBase"))</f>
        <v>女性</v>
      </c>
      <c r="F442" s="5">
        <f t="shared" ca="1" si="117"/>
        <v>25680</v>
      </c>
      <c r="G442" s="5">
        <f t="shared" ca="1" si="118"/>
        <v>34607</v>
      </c>
      <c r="H442" s="5">
        <f t="shared" ca="1" si="119"/>
        <v>35337</v>
      </c>
      <c r="I442" t="str">
        <f t="shared" ca="1" si="120"/>
        <v>080-6129-8495</v>
      </c>
      <c r="J442" t="str">
        <f t="shared" ca="1" si="136"/>
        <v>Han_Yue_Xie_34607@outlook.jp.co</v>
      </c>
      <c r="K442" t="str">
        <f t="shared" ca="1" si="122"/>
        <v>高級</v>
      </c>
      <c r="L442" t="str">
        <f t="shared" ca="1" si="123"/>
        <v>-</v>
      </c>
      <c r="M442" t="str">
        <f t="shared" ca="1" si="137"/>
        <v>-</v>
      </c>
      <c r="N442" t="str">
        <f t="shared" ca="1" si="125"/>
        <v>有り</v>
      </c>
      <c r="O442">
        <f t="shared" ca="1" si="126"/>
        <v>755</v>
      </c>
      <c r="R442">
        <f t="shared" ca="1" si="127"/>
        <v>26</v>
      </c>
      <c r="S442">
        <f t="shared" ca="1" si="128"/>
        <v>49</v>
      </c>
      <c r="T442">
        <f t="shared" ca="1" si="129"/>
        <v>1994</v>
      </c>
      <c r="U442">
        <f t="shared" ca="1" si="130"/>
        <v>2002</v>
      </c>
      <c r="V442">
        <f t="shared" ca="1" si="131"/>
        <v>2</v>
      </c>
      <c r="W442">
        <f t="shared" ca="1" si="132"/>
        <v>10</v>
      </c>
    </row>
    <row r="443" spans="1:23">
      <c r="A443" t="s">
        <v>1563</v>
      </c>
      <c r="B443" t="str">
        <f t="shared" ca="1" si="133"/>
        <v>高壯臻</v>
      </c>
      <c r="C443" t="str">
        <f t="shared" ca="1" si="134"/>
        <v>ｶﾞｵ ｼﾞｭﾜｰﾝ ｼﾞｪﾝ</v>
      </c>
      <c r="D443" t="str">
        <f t="shared" ca="1" si="135"/>
        <v>Gao Zhuang Zhen</v>
      </c>
      <c r="E443" t="str" cm="1">
        <f t="array" aca="1" ref="E443" ca="1">INDIRECT(ADDRESS(RANDBETWEEN(2,16),7,1,1,"valueBase"))</f>
        <v>男性</v>
      </c>
      <c r="F443" s="5">
        <f t="shared" ca="1" si="117"/>
        <v>22848</v>
      </c>
      <c r="G443" s="5">
        <f t="shared" ca="1" si="118"/>
        <v>40940</v>
      </c>
      <c r="H443" s="5">
        <f t="shared" ca="1" si="119"/>
        <v>42035</v>
      </c>
      <c r="I443" t="str">
        <f t="shared" ca="1" si="120"/>
        <v>080-4041-0646</v>
      </c>
      <c r="J443" t="str">
        <f t="shared" ca="1" si="136"/>
        <v>Gao_Zhuang_Zhen_40940@outlook.jp.co</v>
      </c>
      <c r="K443" t="str">
        <f t="shared" ca="1" si="122"/>
        <v>普通</v>
      </c>
      <c r="L443" t="str">
        <f t="shared" ca="1" si="123"/>
        <v>有り</v>
      </c>
      <c r="M443" t="str">
        <f t="shared" ca="1" si="137"/>
        <v>5%</v>
      </c>
      <c r="N443" t="str">
        <f t="shared" ca="1" si="125"/>
        <v>-</v>
      </c>
      <c r="O443" t="str">
        <f t="shared" ca="1" si="126"/>
        <v>-</v>
      </c>
      <c r="R443">
        <f t="shared" ca="1" si="127"/>
        <v>16</v>
      </c>
      <c r="S443">
        <f t="shared" ca="1" si="128"/>
        <v>145</v>
      </c>
      <c r="T443">
        <f t="shared" ca="1" si="129"/>
        <v>1970</v>
      </c>
      <c r="U443">
        <f t="shared" ca="1" si="130"/>
        <v>1981</v>
      </c>
      <c r="V443">
        <f t="shared" ca="1" si="131"/>
        <v>11</v>
      </c>
      <c r="W443">
        <f t="shared" ca="1" si="132"/>
        <v>16</v>
      </c>
    </row>
    <row r="444" spans="1:23">
      <c r="A444" t="s">
        <v>1564</v>
      </c>
      <c r="B444" t="str">
        <f t="shared" ca="1" si="133"/>
        <v>劉貴孝</v>
      </c>
      <c r="C444" t="str">
        <f t="shared" ca="1" si="134"/>
        <v>ﾘｳ ｸﾞｲ ｼﾔｵ</v>
      </c>
      <c r="D444" t="str">
        <f t="shared" ca="1" si="135"/>
        <v>Liu Gui Xiao</v>
      </c>
      <c r="E444" t="str" cm="1">
        <f t="array" aca="1" ref="E444" ca="1">INDIRECT(ADDRESS(RANDBETWEEN(2,16),7,1,1,"valueBase"))</f>
        <v>男性</v>
      </c>
      <c r="F444" s="5">
        <f t="shared" ca="1" si="117"/>
        <v>36503</v>
      </c>
      <c r="G444" s="5">
        <f t="shared" ca="1" si="118"/>
        <v>44923</v>
      </c>
      <c r="H444" s="5">
        <f t="shared" ca="1" si="119"/>
        <v>45653</v>
      </c>
      <c r="I444" t="str">
        <f t="shared" ca="1" si="120"/>
        <v>090-2838-3736</v>
      </c>
      <c r="J444" t="str">
        <f t="shared" ca="1" si="136"/>
        <v>Liu_Gui_Xiao_44923@outlook.jp.co</v>
      </c>
      <c r="K444" t="str">
        <f t="shared" ca="1" si="122"/>
        <v>高級</v>
      </c>
      <c r="L444" t="str">
        <f t="shared" ca="1" si="123"/>
        <v>有り</v>
      </c>
      <c r="M444" t="str">
        <f t="shared" ca="1" si="137"/>
        <v>10%</v>
      </c>
      <c r="N444" t="str">
        <f t="shared" ca="1" si="125"/>
        <v>-</v>
      </c>
      <c r="O444" t="str">
        <f t="shared" ca="1" si="126"/>
        <v>-</v>
      </c>
      <c r="R444">
        <f t="shared" ca="1" si="127"/>
        <v>5</v>
      </c>
      <c r="S444">
        <f t="shared" ca="1" si="128"/>
        <v>244</v>
      </c>
      <c r="T444">
        <f t="shared" ca="1" si="129"/>
        <v>1979</v>
      </c>
      <c r="U444">
        <f t="shared" ca="1" si="130"/>
        <v>1983</v>
      </c>
      <c r="V444">
        <f t="shared" ca="1" si="131"/>
        <v>10</v>
      </c>
      <c r="W444">
        <f t="shared" ca="1" si="132"/>
        <v>20</v>
      </c>
    </row>
    <row r="445" spans="1:23">
      <c r="A445" t="s">
        <v>1565</v>
      </c>
      <c r="B445" t="str">
        <f t="shared" ca="1" si="133"/>
        <v>周玉木</v>
      </c>
      <c r="C445" t="str">
        <f t="shared" ca="1" si="134"/>
        <v>ｼﾞｮｳ ﾕｲ ﾑｩ</v>
      </c>
      <c r="D445" t="str">
        <f t="shared" ca="1" si="135"/>
        <v>Zhou Yu Mu</v>
      </c>
      <c r="E445" t="str" cm="1">
        <f t="array" aca="1" ref="E445" ca="1">INDIRECT(ADDRESS(RANDBETWEEN(2,16),7,1,1,"valueBase"))</f>
        <v>女性</v>
      </c>
      <c r="F445" s="5">
        <f t="shared" ca="1" si="117"/>
        <v>28504</v>
      </c>
      <c r="G445" s="5">
        <f t="shared" ca="1" si="118"/>
        <v>42201</v>
      </c>
      <c r="H445" s="5">
        <f t="shared" ca="1" si="119"/>
        <v>43296</v>
      </c>
      <c r="I445" t="str">
        <f t="shared" ca="1" si="120"/>
        <v>080-3485-7904</v>
      </c>
      <c r="J445" t="str">
        <f t="shared" ca="1" si="136"/>
        <v>Zhou_Yu_Mu_42201@outlook.jp.co</v>
      </c>
      <c r="K445" t="str">
        <f t="shared" ca="1" si="122"/>
        <v>普通</v>
      </c>
      <c r="L445" t="str">
        <f t="shared" ca="1" si="123"/>
        <v>有り</v>
      </c>
      <c r="M445" t="str">
        <f t="shared" ca="1" si="137"/>
        <v>5%</v>
      </c>
      <c r="N445" t="str">
        <f t="shared" ca="1" si="125"/>
        <v>有り</v>
      </c>
      <c r="O445">
        <f t="shared" ca="1" si="126"/>
        <v>346</v>
      </c>
      <c r="R445">
        <f t="shared" ca="1" si="127"/>
        <v>10</v>
      </c>
      <c r="S445">
        <f t="shared" ca="1" si="128"/>
        <v>207</v>
      </c>
      <c r="T445">
        <f t="shared" ca="1" si="129"/>
        <v>1996</v>
      </c>
      <c r="U445">
        <f t="shared" ca="1" si="130"/>
        <v>2007</v>
      </c>
      <c r="V445">
        <f t="shared" ca="1" si="131"/>
        <v>12</v>
      </c>
      <c r="W445">
        <f t="shared" ca="1" si="132"/>
        <v>7</v>
      </c>
    </row>
    <row r="446" spans="1:23">
      <c r="A446" t="s">
        <v>1566</v>
      </c>
      <c r="B446" t="str">
        <f t="shared" ca="1" si="133"/>
        <v>宋彩金</v>
      </c>
      <c r="C446" t="str">
        <f t="shared" ca="1" si="134"/>
        <v>ｿｰﾝ ﾂｧｲ ｼﾞﾝ</v>
      </c>
      <c r="D446" t="str">
        <f t="shared" ca="1" si="135"/>
        <v>Song Cai Jin</v>
      </c>
      <c r="E446" t="str" cm="1">
        <f t="array" aca="1" ref="E446" ca="1">INDIRECT(ADDRESS(RANDBETWEEN(2,16),7,1,1,"valueBase"))</f>
        <v>男性</v>
      </c>
      <c r="F446" s="5">
        <f t="shared" ca="1" si="117"/>
        <v>33225</v>
      </c>
      <c r="G446" s="5">
        <f t="shared" ca="1" si="118"/>
        <v>44199</v>
      </c>
      <c r="H446" s="5">
        <f t="shared" ca="1" si="119"/>
        <v>45294</v>
      </c>
      <c r="I446" t="str">
        <f t="shared" ca="1" si="120"/>
        <v>090-8154-9974</v>
      </c>
      <c r="J446" t="str">
        <f t="shared" ca="1" si="136"/>
        <v>Song_Cai_Jin_44199@outlook.jp.co</v>
      </c>
      <c r="K446" t="str">
        <f t="shared" ca="1" si="122"/>
        <v>普通</v>
      </c>
      <c r="L446" t="str">
        <f t="shared" ca="1" si="123"/>
        <v>有り</v>
      </c>
      <c r="M446" t="str">
        <f t="shared" ca="1" si="137"/>
        <v>5%</v>
      </c>
      <c r="N446" t="str">
        <f t="shared" ca="1" si="125"/>
        <v>有り</v>
      </c>
      <c r="O446">
        <f t="shared" ca="1" si="126"/>
        <v>447</v>
      </c>
      <c r="R446">
        <f t="shared" ca="1" si="127"/>
        <v>23</v>
      </c>
      <c r="S446">
        <f t="shared" ca="1" si="128"/>
        <v>214</v>
      </c>
      <c r="T446">
        <f t="shared" ca="1" si="129"/>
        <v>1999</v>
      </c>
      <c r="U446">
        <f t="shared" ca="1" si="130"/>
        <v>2011</v>
      </c>
      <c r="V446">
        <f t="shared" ca="1" si="131"/>
        <v>9</v>
      </c>
      <c r="W446">
        <f t="shared" ca="1" si="132"/>
        <v>27</v>
      </c>
    </row>
    <row r="447" spans="1:23">
      <c r="A447" t="s">
        <v>1567</v>
      </c>
      <c r="B447" t="str">
        <f t="shared" ca="1" si="133"/>
        <v>梁馳聖</v>
      </c>
      <c r="C447" t="str">
        <f t="shared" ca="1" si="134"/>
        <v>ﾘﾔｰﾝ ﾁｰ ｼｭﾖﾝ</v>
      </c>
      <c r="D447" t="str">
        <f t="shared" ca="1" si="135"/>
        <v>Liang Chi Sheng</v>
      </c>
      <c r="E447" t="str" cm="1">
        <f t="array" aca="1" ref="E447" ca="1">INDIRECT(ADDRESS(RANDBETWEEN(2,16),7,1,1,"valueBase"))</f>
        <v>男性</v>
      </c>
      <c r="F447" s="5">
        <f t="shared" ca="1" si="117"/>
        <v>26215</v>
      </c>
      <c r="G447" s="5">
        <f t="shared" ca="1" si="118"/>
        <v>37170</v>
      </c>
      <c r="H447" s="5">
        <f t="shared" ca="1" si="119"/>
        <v>37535</v>
      </c>
      <c r="I447" t="str">
        <f t="shared" ca="1" si="120"/>
        <v>080-7606-2933</v>
      </c>
      <c r="J447" t="str">
        <f t="shared" ca="1" si="136"/>
        <v>Liang_Chi_Sheng_37170@outlook.jp.co</v>
      </c>
      <c r="K447" t="str">
        <f t="shared" ca="1" si="122"/>
        <v>高級</v>
      </c>
      <c r="L447" t="str">
        <f t="shared" ca="1" si="123"/>
        <v>-</v>
      </c>
      <c r="M447" t="str">
        <f t="shared" ca="1" si="137"/>
        <v>-</v>
      </c>
      <c r="N447" t="str">
        <f t="shared" ca="1" si="125"/>
        <v>-</v>
      </c>
      <c r="O447" t="str">
        <f t="shared" ca="1" si="126"/>
        <v>-</v>
      </c>
      <c r="R447">
        <f t="shared" ca="1" si="127"/>
        <v>22</v>
      </c>
      <c r="S447">
        <f t="shared" ca="1" si="128"/>
        <v>314</v>
      </c>
      <c r="T447">
        <f t="shared" ca="1" si="129"/>
        <v>1995</v>
      </c>
      <c r="U447">
        <f t="shared" ca="1" si="130"/>
        <v>2003</v>
      </c>
      <c r="V447">
        <f t="shared" ca="1" si="131"/>
        <v>10</v>
      </c>
      <c r="W447">
        <f t="shared" ca="1" si="132"/>
        <v>6</v>
      </c>
    </row>
    <row r="448" spans="1:23">
      <c r="A448" t="s">
        <v>1568</v>
      </c>
      <c r="B448" t="str">
        <f t="shared" ca="1" si="133"/>
        <v>孫媛雲</v>
      </c>
      <c r="C448" t="str">
        <f t="shared" ca="1" si="134"/>
        <v>ｽｩﾝ ﾕｴﾝ ﾕｲﾝ</v>
      </c>
      <c r="D448" t="str">
        <f t="shared" ca="1" si="135"/>
        <v>Sun Yuan Yun</v>
      </c>
      <c r="E448" t="str" cm="1">
        <f t="array" aca="1" ref="E448" ca="1">INDIRECT(ADDRESS(RANDBETWEEN(2,16),7,1,1,"valueBase"))</f>
        <v>女性</v>
      </c>
      <c r="F448" s="5">
        <f t="shared" ca="1" si="117"/>
        <v>28869</v>
      </c>
      <c r="G448" s="5">
        <f t="shared" ca="1" si="118"/>
        <v>40994</v>
      </c>
      <c r="H448" s="5">
        <f t="shared" ca="1" si="119"/>
        <v>41724</v>
      </c>
      <c r="I448" t="str">
        <f t="shared" ca="1" si="120"/>
        <v>090-5812-4189</v>
      </c>
      <c r="J448" t="str">
        <f t="shared" ca="1" si="136"/>
        <v>Sun_Yuan_Yun_40994@outlook.jp.co</v>
      </c>
      <c r="K448" t="str">
        <f t="shared" ca="1" si="122"/>
        <v>高級</v>
      </c>
      <c r="L448" t="str">
        <f t="shared" ca="1" si="123"/>
        <v>有り</v>
      </c>
      <c r="M448" t="str">
        <f t="shared" ca="1" si="137"/>
        <v>10%</v>
      </c>
      <c r="N448" t="str">
        <f t="shared" ca="1" si="125"/>
        <v>有り</v>
      </c>
      <c r="O448">
        <f t="shared" ca="1" si="126"/>
        <v>555</v>
      </c>
      <c r="R448">
        <f t="shared" ca="1" si="127"/>
        <v>13</v>
      </c>
      <c r="S448">
        <f t="shared" ca="1" si="128"/>
        <v>205</v>
      </c>
      <c r="T448">
        <f t="shared" ca="1" si="129"/>
        <v>1972</v>
      </c>
      <c r="U448">
        <f t="shared" ca="1" si="130"/>
        <v>1981</v>
      </c>
      <c r="V448">
        <f t="shared" ca="1" si="131"/>
        <v>9</v>
      </c>
      <c r="W448">
        <f t="shared" ca="1" si="132"/>
        <v>5</v>
      </c>
    </row>
    <row r="449" spans="1:23">
      <c r="A449" t="s">
        <v>1569</v>
      </c>
      <c r="B449" t="str">
        <f t="shared" ca="1" si="133"/>
        <v>孫興祥</v>
      </c>
      <c r="C449" t="str">
        <f t="shared" ca="1" si="134"/>
        <v>ｽｩﾝ ｼｰﾝ ｼｱｰﾝ</v>
      </c>
      <c r="D449" t="str">
        <f t="shared" ca="1" si="135"/>
        <v>Sun Xing Xiang</v>
      </c>
      <c r="E449" t="str" cm="1">
        <f t="array" aca="1" ref="E449" ca="1">INDIRECT(ADDRESS(RANDBETWEEN(2,16),7,1,1,"valueBase"))</f>
        <v>女性</v>
      </c>
      <c r="F449" s="5">
        <f t="shared" ca="1" si="117"/>
        <v>33591</v>
      </c>
      <c r="G449" s="5">
        <f t="shared" ca="1" si="118"/>
        <v>42623</v>
      </c>
      <c r="H449" s="5">
        <f t="shared" ca="1" si="119"/>
        <v>43353</v>
      </c>
      <c r="I449" t="str">
        <f t="shared" ca="1" si="120"/>
        <v>090-6092-5310</v>
      </c>
      <c r="J449" t="str">
        <f t="shared" ca="1" si="136"/>
        <v>Sun_Xing_Xiang_42623@outlook.jp.co</v>
      </c>
      <c r="K449" t="str">
        <f t="shared" ca="1" si="122"/>
        <v>普通</v>
      </c>
      <c r="L449" t="str">
        <f t="shared" ca="1" si="123"/>
        <v>有り</v>
      </c>
      <c r="M449" t="str">
        <f t="shared" ca="1" si="137"/>
        <v>5%</v>
      </c>
      <c r="N449" t="str">
        <f t="shared" ca="1" si="125"/>
        <v>有り</v>
      </c>
      <c r="O449">
        <f t="shared" ca="1" si="126"/>
        <v>491</v>
      </c>
      <c r="R449">
        <f t="shared" ca="1" si="127"/>
        <v>13</v>
      </c>
      <c r="S449">
        <f t="shared" ca="1" si="128"/>
        <v>236</v>
      </c>
      <c r="T449">
        <f t="shared" ca="1" si="129"/>
        <v>1986</v>
      </c>
      <c r="U449">
        <f t="shared" ca="1" si="130"/>
        <v>1994</v>
      </c>
      <c r="V449">
        <f t="shared" ca="1" si="131"/>
        <v>5</v>
      </c>
      <c r="W449">
        <f t="shared" ca="1" si="132"/>
        <v>16</v>
      </c>
    </row>
    <row r="450" spans="1:23">
      <c r="A450" t="s">
        <v>1570</v>
      </c>
      <c r="B450" t="str">
        <f t="shared" ca="1" si="133"/>
        <v>韓斯蘭</v>
      </c>
      <c r="C450" t="str">
        <f t="shared" ca="1" si="134"/>
        <v>ﾊﾝ ｽｰ ﾗﾝ</v>
      </c>
      <c r="D450" t="str">
        <f t="shared" ca="1" si="135"/>
        <v>Han Si Lan</v>
      </c>
      <c r="E450" t="str" cm="1">
        <f t="array" aca="1" ref="E450" ca="1">INDIRECT(ADDRESS(RANDBETWEEN(2,16),7,1,1,"valueBase"))</f>
        <v>男性</v>
      </c>
      <c r="F450" s="5">
        <f t="shared" ca="1" si="117"/>
        <v>31955</v>
      </c>
      <c r="G450" s="5">
        <f t="shared" ca="1" si="118"/>
        <v>43952</v>
      </c>
      <c r="H450" s="5">
        <f t="shared" ca="1" si="119"/>
        <v>45047</v>
      </c>
      <c r="I450" t="str">
        <f t="shared" ca="1" si="120"/>
        <v>090-8832-3112</v>
      </c>
      <c r="J450" t="str">
        <f t="shared" ca="1" si="136"/>
        <v>Han_Si_Lan_43952@outlook.jp.co</v>
      </c>
      <c r="K450" t="str">
        <f t="shared" ca="1" si="122"/>
        <v>普通</v>
      </c>
      <c r="L450" t="str">
        <f t="shared" ca="1" si="123"/>
        <v>有り</v>
      </c>
      <c r="M450" t="str">
        <f t="shared" ca="1" si="137"/>
        <v>5%</v>
      </c>
      <c r="N450" t="str">
        <f t="shared" ca="1" si="125"/>
        <v>有り</v>
      </c>
      <c r="O450">
        <f t="shared" ca="1" si="126"/>
        <v>795</v>
      </c>
      <c r="R450">
        <f t="shared" ca="1" si="127"/>
        <v>26</v>
      </c>
      <c r="S450">
        <f t="shared" ca="1" si="128"/>
        <v>30</v>
      </c>
      <c r="T450">
        <f t="shared" ca="1" si="129"/>
        <v>1988</v>
      </c>
      <c r="U450">
        <f t="shared" ca="1" si="130"/>
        <v>1992</v>
      </c>
      <c r="V450">
        <f t="shared" ca="1" si="131"/>
        <v>6</v>
      </c>
      <c r="W450">
        <f t="shared" ca="1" si="132"/>
        <v>1</v>
      </c>
    </row>
    <row r="451" spans="1:23">
      <c r="A451" t="s">
        <v>1571</v>
      </c>
      <c r="B451" t="str">
        <f t="shared" ca="1" si="133"/>
        <v>于喜永</v>
      </c>
      <c r="C451" t="str">
        <f t="shared" ca="1" si="134"/>
        <v>ﾕｲ ｼｲ ﾖｰﾝ</v>
      </c>
      <c r="D451" t="str">
        <f t="shared" ca="1" si="135"/>
        <v>Yu Xi Yong</v>
      </c>
      <c r="E451" t="str" cm="1">
        <f t="array" aca="1" ref="E451" ca="1">INDIRECT(ADDRESS(RANDBETWEEN(2,16),7,1,1,"valueBase"))</f>
        <v>女性</v>
      </c>
      <c r="F451" s="5">
        <f t="shared" ref="F451:F514" ca="1" si="138">RANDBETWEEN(21916,NOW() - 6574)</f>
        <v>31359</v>
      </c>
      <c r="G451" s="5">
        <f t="shared" ref="G451:G514" ca="1" si="139">RANDBETWEEN(F451 + 6574,NOW())</f>
        <v>43283</v>
      </c>
      <c r="H451" s="5">
        <f t="shared" ref="H451:H514" ca="1" si="140">G451 + RANDBETWEEN(1,3) * 365</f>
        <v>44378</v>
      </c>
      <c r="I451" t="str">
        <f t="shared" ca="1" si="120"/>
        <v>080-9111-2685</v>
      </c>
      <c r="J451" t="str">
        <f t="shared" ca="1" si="136"/>
        <v>Yu_Xi_Yong_43283@outlook.jp.co</v>
      </c>
      <c r="K451" t="str">
        <f t="shared" ca="1" si="122"/>
        <v>普通</v>
      </c>
      <c r="L451" t="str">
        <f t="shared" ca="1" si="123"/>
        <v>有り</v>
      </c>
      <c r="M451" t="str">
        <f t="shared" ca="1" si="137"/>
        <v>5%</v>
      </c>
      <c r="N451" t="str">
        <f t="shared" ca="1" si="125"/>
        <v>有り</v>
      </c>
      <c r="O451">
        <f t="shared" ca="1" si="126"/>
        <v>354</v>
      </c>
      <c r="R451">
        <f t="shared" ca="1" si="127"/>
        <v>29</v>
      </c>
      <c r="S451">
        <f t="shared" ca="1" si="128"/>
        <v>199</v>
      </c>
      <c r="T451">
        <f t="shared" ca="1" si="129"/>
        <v>1988</v>
      </c>
      <c r="U451">
        <f t="shared" ca="1" si="130"/>
        <v>1991</v>
      </c>
      <c r="V451">
        <f t="shared" ca="1" si="131"/>
        <v>3</v>
      </c>
      <c r="W451">
        <f t="shared" ca="1" si="132"/>
        <v>6</v>
      </c>
    </row>
    <row r="452" spans="1:23">
      <c r="A452" t="s">
        <v>1572</v>
      </c>
      <c r="B452" t="str">
        <f t="shared" ca="1" si="133"/>
        <v>趙含瑋</v>
      </c>
      <c r="C452" t="str">
        <f t="shared" ca="1" si="134"/>
        <v>ｼﾞｬｵ ﾊﾝ ｳｴｲ</v>
      </c>
      <c r="D452" t="str">
        <f t="shared" ca="1" si="135"/>
        <v>Zhao Han Wei</v>
      </c>
      <c r="E452" t="str" cm="1">
        <f t="array" aca="1" ref="E452" ca="1">INDIRECT(ADDRESS(RANDBETWEEN(2,16),7,1,1,"valueBase"))</f>
        <v>男性</v>
      </c>
      <c r="F452" s="5">
        <f t="shared" ca="1" si="138"/>
        <v>33451</v>
      </c>
      <c r="G452" s="5">
        <f t="shared" ca="1" si="139"/>
        <v>41334</v>
      </c>
      <c r="H452" s="5">
        <f t="shared" ca="1" si="140"/>
        <v>42429</v>
      </c>
      <c r="I452" t="str">
        <f t="shared" ca="1" si="120"/>
        <v>090-3365-8961</v>
      </c>
      <c r="J452" t="str">
        <f t="shared" ca="1" si="136"/>
        <v>Zhao_Han_Wei_41334@outlook.jp.co</v>
      </c>
      <c r="K452" t="str">
        <f t="shared" ca="1" si="122"/>
        <v>高級</v>
      </c>
      <c r="L452" t="str">
        <f t="shared" ca="1" si="123"/>
        <v>有り</v>
      </c>
      <c r="M452" t="str">
        <f t="shared" ca="1" si="137"/>
        <v>10%</v>
      </c>
      <c r="N452" t="str">
        <f t="shared" ca="1" si="125"/>
        <v>有り</v>
      </c>
      <c r="O452">
        <f t="shared" ca="1" si="126"/>
        <v>761</v>
      </c>
      <c r="R452">
        <f t="shared" ca="1" si="127"/>
        <v>8</v>
      </c>
      <c r="S452">
        <f t="shared" ca="1" si="128"/>
        <v>43</v>
      </c>
      <c r="T452">
        <f t="shared" ca="1" si="129"/>
        <v>2002</v>
      </c>
      <c r="U452">
        <f t="shared" ca="1" si="130"/>
        <v>2004</v>
      </c>
      <c r="V452">
        <f t="shared" ca="1" si="131"/>
        <v>9</v>
      </c>
      <c r="W452">
        <f t="shared" ca="1" si="132"/>
        <v>11</v>
      </c>
    </row>
    <row r="453" spans="1:23">
      <c r="A453" t="s">
        <v>1573</v>
      </c>
      <c r="B453" t="str">
        <f t="shared" ca="1" si="133"/>
        <v>劉旋衡</v>
      </c>
      <c r="C453" t="str">
        <f t="shared" ca="1" si="134"/>
        <v>ﾘｳ ｼｭｴﾝ ﾎｩｵﾝ</v>
      </c>
      <c r="D453" t="str">
        <f t="shared" ca="1" si="135"/>
        <v>Liu Xuan Heng</v>
      </c>
      <c r="E453" t="str" cm="1">
        <f t="array" aca="1" ref="E453" ca="1">INDIRECT(ADDRESS(RANDBETWEEN(2,16),7,1,1,"valueBase"))</f>
        <v>-</v>
      </c>
      <c r="F453" s="5">
        <f t="shared" ca="1" si="138"/>
        <v>28695</v>
      </c>
      <c r="G453" s="5">
        <f t="shared" ca="1" si="139"/>
        <v>37169</v>
      </c>
      <c r="H453" s="5">
        <f t="shared" ca="1" si="140"/>
        <v>37899</v>
      </c>
      <c r="I453" t="str">
        <f t="shared" ca="1" si="120"/>
        <v>080-7358-6651</v>
      </c>
      <c r="J453" t="str">
        <f t="shared" ca="1" si="136"/>
        <v>Liu_Xuan_Heng_37169@outlook.jp.co</v>
      </c>
      <c r="K453" t="str">
        <f t="shared" ca="1" si="122"/>
        <v>高級</v>
      </c>
      <c r="L453" t="str">
        <f t="shared" ca="1" si="123"/>
        <v>有り</v>
      </c>
      <c r="M453" t="str">
        <f t="shared" ca="1" si="137"/>
        <v>10%</v>
      </c>
      <c r="N453" t="str">
        <f t="shared" ca="1" si="125"/>
        <v>有り</v>
      </c>
      <c r="O453">
        <f t="shared" ca="1" si="126"/>
        <v>980</v>
      </c>
      <c r="R453">
        <f t="shared" ca="1" si="127"/>
        <v>5</v>
      </c>
      <c r="S453">
        <f t="shared" ca="1" si="128"/>
        <v>232</v>
      </c>
      <c r="T453">
        <f t="shared" ca="1" si="129"/>
        <v>2003</v>
      </c>
      <c r="U453">
        <f t="shared" ca="1" si="130"/>
        <v>2004</v>
      </c>
      <c r="V453">
        <f t="shared" ca="1" si="131"/>
        <v>12</v>
      </c>
      <c r="W453">
        <f t="shared" ca="1" si="132"/>
        <v>14</v>
      </c>
    </row>
    <row r="454" spans="1:23">
      <c r="A454" t="s">
        <v>1574</v>
      </c>
      <c r="B454" t="str">
        <f t="shared" ca="1" si="133"/>
        <v>周騰威</v>
      </c>
      <c r="C454" t="str">
        <f t="shared" ca="1" si="134"/>
        <v>ｼﾞｮｳ ﾄｩｵﾝ ｳｴｲ</v>
      </c>
      <c r="D454" t="str">
        <f t="shared" ca="1" si="135"/>
        <v>Zhou Teng Wei</v>
      </c>
      <c r="E454" t="str" cm="1">
        <f t="array" aca="1" ref="E454" ca="1">INDIRECT(ADDRESS(RANDBETWEEN(2,16),7,1,1,"valueBase"))</f>
        <v>女性</v>
      </c>
      <c r="F454" s="5">
        <f t="shared" ca="1" si="138"/>
        <v>27202</v>
      </c>
      <c r="G454" s="5">
        <f t="shared" ca="1" si="139"/>
        <v>41802</v>
      </c>
      <c r="H454" s="5">
        <f t="shared" ca="1" si="140"/>
        <v>42532</v>
      </c>
      <c r="I454" t="str">
        <f t="shared" ca="1" si="120"/>
        <v>080-9860-1065</v>
      </c>
      <c r="J454" t="str">
        <f t="shared" ca="1" si="136"/>
        <v>Zhou_Teng_Wei_41802@outlook.jp.co</v>
      </c>
      <c r="K454" t="str">
        <f t="shared" ca="1" si="122"/>
        <v>高級</v>
      </c>
      <c r="L454" t="str">
        <f t="shared" ca="1" si="123"/>
        <v>有り</v>
      </c>
      <c r="M454" t="str">
        <f t="shared" ca="1" si="137"/>
        <v>10%</v>
      </c>
      <c r="N454" t="str">
        <f t="shared" ca="1" si="125"/>
        <v>有り</v>
      </c>
      <c r="O454">
        <f t="shared" ca="1" si="126"/>
        <v>756</v>
      </c>
      <c r="R454">
        <f t="shared" ca="1" si="127"/>
        <v>10</v>
      </c>
      <c r="S454">
        <f t="shared" ca="1" si="128"/>
        <v>173</v>
      </c>
      <c r="T454">
        <f t="shared" ca="1" si="129"/>
        <v>2002</v>
      </c>
      <c r="U454">
        <f t="shared" ca="1" si="130"/>
        <v>2012</v>
      </c>
      <c r="V454">
        <f t="shared" ca="1" si="131"/>
        <v>9</v>
      </c>
      <c r="W454">
        <f t="shared" ca="1" si="132"/>
        <v>30</v>
      </c>
    </row>
    <row r="455" spans="1:23">
      <c r="A455" t="s">
        <v>1575</v>
      </c>
      <c r="B455" t="str">
        <f t="shared" ca="1" si="133"/>
        <v>鄭盈年</v>
      </c>
      <c r="C455" t="str">
        <f t="shared" ca="1" si="134"/>
        <v>ｼﾞｭﾖﾝ ｲｰﾝ ﾆｴﾝ</v>
      </c>
      <c r="D455" t="str">
        <f t="shared" ca="1" si="135"/>
        <v>Zheng Ying Nian</v>
      </c>
      <c r="E455" t="str" cm="1">
        <f t="array" aca="1" ref="E455" ca="1">INDIRECT(ADDRESS(RANDBETWEEN(2,16),7,1,1,"valueBase"))</f>
        <v>女性</v>
      </c>
      <c r="F455" s="5">
        <f t="shared" ca="1" si="138"/>
        <v>35391</v>
      </c>
      <c r="G455" s="5">
        <f t="shared" ca="1" si="139"/>
        <v>44382</v>
      </c>
      <c r="H455" s="5">
        <f t="shared" ca="1" si="140"/>
        <v>44747</v>
      </c>
      <c r="I455" t="str">
        <f t="shared" ca="1" si="120"/>
        <v>090-1563-7699</v>
      </c>
      <c r="J455" t="str">
        <f t="shared" ca="1" si="136"/>
        <v>Zheng_Ying_Nian_44382@outlook.jp.co</v>
      </c>
      <c r="K455" t="str">
        <f t="shared" ca="1" si="122"/>
        <v>普通</v>
      </c>
      <c r="L455" t="str">
        <f t="shared" ca="1" si="123"/>
        <v>有り</v>
      </c>
      <c r="M455" t="str">
        <f t="shared" ca="1" si="137"/>
        <v>5%</v>
      </c>
      <c r="N455" t="str">
        <f t="shared" ca="1" si="125"/>
        <v>有り</v>
      </c>
      <c r="O455">
        <f t="shared" ca="1" si="126"/>
        <v>630</v>
      </c>
      <c r="R455">
        <f t="shared" ca="1" si="127"/>
        <v>24</v>
      </c>
      <c r="S455">
        <f t="shared" ca="1" si="128"/>
        <v>309</v>
      </c>
      <c r="T455">
        <f t="shared" ca="1" si="129"/>
        <v>1995</v>
      </c>
      <c r="U455">
        <f t="shared" ca="1" si="130"/>
        <v>2004</v>
      </c>
      <c r="V455">
        <f t="shared" ca="1" si="131"/>
        <v>12</v>
      </c>
      <c r="W455">
        <f t="shared" ca="1" si="132"/>
        <v>12</v>
      </c>
    </row>
    <row r="456" spans="1:23">
      <c r="A456" t="s">
        <v>1576</v>
      </c>
      <c r="B456" t="str">
        <f t="shared" ca="1" si="133"/>
        <v>黃索頻</v>
      </c>
      <c r="C456" t="str">
        <f t="shared" ca="1" si="134"/>
        <v>ﾎﾜｰﾝ ｽｩｵ ﾋﾟﾝ</v>
      </c>
      <c r="D456" t="str">
        <f t="shared" ca="1" si="135"/>
        <v>Huang Suo Pin</v>
      </c>
      <c r="E456" t="str" cm="1">
        <f t="array" aca="1" ref="E456" ca="1">INDIRECT(ADDRESS(RANDBETWEEN(2,16),7,1,1,"valueBase"))</f>
        <v>女性</v>
      </c>
      <c r="F456" s="5">
        <f t="shared" ca="1" si="138"/>
        <v>25148</v>
      </c>
      <c r="G456" s="5">
        <f t="shared" ca="1" si="139"/>
        <v>38452</v>
      </c>
      <c r="H456" s="5">
        <f t="shared" ca="1" si="140"/>
        <v>39182</v>
      </c>
      <c r="I456" t="str">
        <f t="shared" ca="1" si="120"/>
        <v>090-1785-5755</v>
      </c>
      <c r="J456" t="str">
        <f t="shared" ca="1" si="136"/>
        <v>Huang_Suo_Pin_38452@outlook.jp.co</v>
      </c>
      <c r="K456" t="str">
        <f t="shared" ca="1" si="122"/>
        <v>普通</v>
      </c>
      <c r="L456" t="str">
        <f t="shared" ca="1" si="123"/>
        <v>有り</v>
      </c>
      <c r="M456" t="str">
        <f t="shared" ca="1" si="137"/>
        <v>5%</v>
      </c>
      <c r="N456" t="str">
        <f t="shared" ca="1" si="125"/>
        <v>-</v>
      </c>
      <c r="O456" t="str">
        <f t="shared" ca="1" si="126"/>
        <v>-</v>
      </c>
      <c r="R456">
        <f t="shared" ca="1" si="127"/>
        <v>9</v>
      </c>
      <c r="S456">
        <f t="shared" ca="1" si="128"/>
        <v>58</v>
      </c>
      <c r="T456">
        <f t="shared" ca="1" si="129"/>
        <v>1977</v>
      </c>
      <c r="U456">
        <f t="shared" ca="1" si="130"/>
        <v>1982</v>
      </c>
      <c r="V456">
        <f t="shared" ca="1" si="131"/>
        <v>6</v>
      </c>
      <c r="W456">
        <f t="shared" ca="1" si="132"/>
        <v>27</v>
      </c>
    </row>
    <row r="457" spans="1:23">
      <c r="A457" t="s">
        <v>1577</v>
      </c>
      <c r="B457" t="str">
        <f t="shared" ca="1" si="133"/>
        <v>胡暉晨</v>
      </c>
      <c r="C457" t="str">
        <f t="shared" ca="1" si="134"/>
        <v>ﾎｩ ﾎｩｲ ﾁｪﾝ</v>
      </c>
      <c r="D457" t="str">
        <f t="shared" ca="1" si="135"/>
        <v>Hu Hui Chen</v>
      </c>
      <c r="E457" t="str" cm="1">
        <f t="array" aca="1" ref="E457" ca="1">INDIRECT(ADDRESS(RANDBETWEEN(2,16),7,1,1,"valueBase"))</f>
        <v>-</v>
      </c>
      <c r="F457" s="5">
        <f t="shared" ca="1" si="138"/>
        <v>26106</v>
      </c>
      <c r="G457" s="5">
        <f t="shared" ca="1" si="139"/>
        <v>36518</v>
      </c>
      <c r="H457" s="5">
        <f t="shared" ca="1" si="140"/>
        <v>36883</v>
      </c>
      <c r="I457" t="str">
        <f t="shared" ca="1" si="120"/>
        <v>080-9626-9294</v>
      </c>
      <c r="J457" t="str">
        <f t="shared" ca="1" si="136"/>
        <v>Hu_Hui_Chen_36518@outlook.jp.co</v>
      </c>
      <c r="K457" t="str">
        <f t="shared" ca="1" si="122"/>
        <v>普通</v>
      </c>
      <c r="L457" t="str">
        <f t="shared" ca="1" si="123"/>
        <v>-</v>
      </c>
      <c r="M457" t="str">
        <f t="shared" ca="1" si="137"/>
        <v>-</v>
      </c>
      <c r="N457" t="str">
        <f t="shared" ca="1" si="125"/>
        <v>-</v>
      </c>
      <c r="O457" t="str">
        <f t="shared" ca="1" si="126"/>
        <v>-</v>
      </c>
      <c r="R457">
        <f t="shared" ca="1" si="127"/>
        <v>14</v>
      </c>
      <c r="S457">
        <f t="shared" ca="1" si="128"/>
        <v>164</v>
      </c>
      <c r="T457">
        <f t="shared" ca="1" si="129"/>
        <v>1984</v>
      </c>
      <c r="U457">
        <f t="shared" ca="1" si="130"/>
        <v>1988</v>
      </c>
      <c r="V457">
        <f t="shared" ca="1" si="131"/>
        <v>1</v>
      </c>
      <c r="W457">
        <f t="shared" ca="1" si="132"/>
        <v>2</v>
      </c>
    </row>
    <row r="458" spans="1:23">
      <c r="A458" t="s">
        <v>1578</v>
      </c>
      <c r="B458" t="str">
        <f t="shared" ca="1" si="133"/>
        <v>鄭依思</v>
      </c>
      <c r="C458" t="str">
        <f t="shared" ca="1" si="134"/>
        <v>ｼﾞｭﾖﾝ ｲｰ ｽｰ</v>
      </c>
      <c r="D458" t="str">
        <f t="shared" ca="1" si="135"/>
        <v>Zheng Yi Si</v>
      </c>
      <c r="E458" t="str" cm="1">
        <f t="array" aca="1" ref="E458" ca="1">INDIRECT(ADDRESS(RANDBETWEEN(2,16),7,1,1,"valueBase"))</f>
        <v>女性</v>
      </c>
      <c r="F458" s="5">
        <f t="shared" ca="1" si="138"/>
        <v>22981</v>
      </c>
      <c r="G458" s="5">
        <f t="shared" ca="1" si="139"/>
        <v>43321</v>
      </c>
      <c r="H458" s="5">
        <f t="shared" ca="1" si="140"/>
        <v>44416</v>
      </c>
      <c r="I458" t="str">
        <f t="shared" ca="1" si="120"/>
        <v>080-5538-8409</v>
      </c>
      <c r="J458" t="str">
        <f t="shared" ca="1" si="136"/>
        <v>Zheng_Yi_Si_43321@outlook.jp.co</v>
      </c>
      <c r="K458" t="str">
        <f t="shared" ca="1" si="122"/>
        <v>普通</v>
      </c>
      <c r="L458" t="str">
        <f t="shared" ca="1" si="123"/>
        <v>有り</v>
      </c>
      <c r="M458" t="str">
        <f t="shared" ca="1" si="137"/>
        <v>5%</v>
      </c>
      <c r="N458" t="str">
        <f t="shared" ca="1" si="125"/>
        <v>有り</v>
      </c>
      <c r="O458">
        <f t="shared" ca="1" si="126"/>
        <v>684</v>
      </c>
      <c r="R458">
        <f t="shared" ca="1" si="127"/>
        <v>24</v>
      </c>
      <c r="S458">
        <f t="shared" ca="1" si="128"/>
        <v>285</v>
      </c>
      <c r="T458">
        <f t="shared" ca="1" si="129"/>
        <v>2006</v>
      </c>
      <c r="U458">
        <f t="shared" ca="1" si="130"/>
        <v>2010</v>
      </c>
      <c r="V458">
        <f t="shared" ca="1" si="131"/>
        <v>3</v>
      </c>
      <c r="W458">
        <f t="shared" ca="1" si="132"/>
        <v>18</v>
      </c>
    </row>
    <row r="459" spans="1:23">
      <c r="A459" t="s">
        <v>1579</v>
      </c>
      <c r="B459" t="str">
        <f t="shared" ca="1" si="133"/>
        <v>孫經能</v>
      </c>
      <c r="C459" t="str">
        <f t="shared" ca="1" si="134"/>
        <v>ｽｩﾝ ｼﾞｰﾝ ﾇｵﾝ</v>
      </c>
      <c r="D459" t="str">
        <f t="shared" ca="1" si="135"/>
        <v>Sun Jing Neng</v>
      </c>
      <c r="E459" t="str" cm="1">
        <f t="array" aca="1" ref="E459" ca="1">INDIRECT(ADDRESS(RANDBETWEEN(2,16),7,1,1,"valueBase"))</f>
        <v>男性</v>
      </c>
      <c r="F459" s="5">
        <f t="shared" ca="1" si="138"/>
        <v>22291</v>
      </c>
      <c r="G459" s="5">
        <f t="shared" ca="1" si="139"/>
        <v>44556</v>
      </c>
      <c r="H459" s="5">
        <f t="shared" ca="1" si="140"/>
        <v>45286</v>
      </c>
      <c r="I459" t="str">
        <f t="shared" ca="1" si="120"/>
        <v>090-3010-3854</v>
      </c>
      <c r="J459" t="str">
        <f t="shared" ca="1" si="136"/>
        <v>Sun_Jing_Neng_44556@outlook.jp.co</v>
      </c>
      <c r="K459" t="str">
        <f t="shared" ca="1" si="122"/>
        <v>高級</v>
      </c>
      <c r="L459" t="str">
        <f t="shared" ca="1" si="123"/>
        <v>-</v>
      </c>
      <c r="M459" t="str">
        <f t="shared" ca="1" si="137"/>
        <v>-</v>
      </c>
      <c r="N459" t="str">
        <f t="shared" ca="1" si="125"/>
        <v>有り</v>
      </c>
      <c r="O459">
        <f t="shared" ca="1" si="126"/>
        <v>58</v>
      </c>
      <c r="R459">
        <f t="shared" ca="1" si="127"/>
        <v>13</v>
      </c>
      <c r="S459">
        <f t="shared" ca="1" si="128"/>
        <v>127</v>
      </c>
      <c r="T459">
        <f t="shared" ca="1" si="129"/>
        <v>2005</v>
      </c>
      <c r="U459">
        <f t="shared" ca="1" si="130"/>
        <v>2007</v>
      </c>
      <c r="V459">
        <f t="shared" ca="1" si="131"/>
        <v>10</v>
      </c>
      <c r="W459">
        <f t="shared" ca="1" si="132"/>
        <v>19</v>
      </c>
    </row>
    <row r="460" spans="1:23">
      <c r="A460" t="s">
        <v>1580</v>
      </c>
      <c r="B460" t="str">
        <f t="shared" ca="1" si="133"/>
        <v>鄭道頻</v>
      </c>
      <c r="C460" t="str">
        <f t="shared" ca="1" si="134"/>
        <v>ｼﾞｭﾖﾝ ﾀﾞｵ ﾋﾟﾝ</v>
      </c>
      <c r="D460" t="str">
        <f t="shared" ca="1" si="135"/>
        <v>Zheng Dao Pin</v>
      </c>
      <c r="E460" t="str" cm="1">
        <f t="array" aca="1" ref="E460" ca="1">INDIRECT(ADDRESS(RANDBETWEEN(2,16),7,1,1,"valueBase"))</f>
        <v>男性</v>
      </c>
      <c r="F460" s="5">
        <f t="shared" ca="1" si="138"/>
        <v>31660</v>
      </c>
      <c r="G460" s="5">
        <f t="shared" ca="1" si="139"/>
        <v>41466</v>
      </c>
      <c r="H460" s="5">
        <f t="shared" ca="1" si="140"/>
        <v>41831</v>
      </c>
      <c r="I460" t="str">
        <f t="shared" ca="1" si="120"/>
        <v>090-8981-5804</v>
      </c>
      <c r="J460" t="str">
        <f t="shared" ca="1" si="136"/>
        <v>Zheng_Dao_Pin_41466@outlook.jp.co</v>
      </c>
      <c r="K460" t="str">
        <f t="shared" ca="1" si="122"/>
        <v>普通</v>
      </c>
      <c r="L460" t="str">
        <f t="shared" ca="1" si="123"/>
        <v>有り</v>
      </c>
      <c r="M460" t="str">
        <f t="shared" ca="1" si="137"/>
        <v>5%</v>
      </c>
      <c r="N460" t="str">
        <f t="shared" ca="1" si="125"/>
        <v>有り</v>
      </c>
      <c r="O460">
        <f t="shared" ca="1" si="126"/>
        <v>25</v>
      </c>
      <c r="R460">
        <f t="shared" ca="1" si="127"/>
        <v>24</v>
      </c>
      <c r="S460">
        <f t="shared" ca="1" si="128"/>
        <v>331</v>
      </c>
      <c r="T460">
        <f t="shared" ca="1" si="129"/>
        <v>1997</v>
      </c>
      <c r="U460">
        <f t="shared" ca="1" si="130"/>
        <v>2008</v>
      </c>
      <c r="V460">
        <f t="shared" ca="1" si="131"/>
        <v>1</v>
      </c>
      <c r="W460">
        <f t="shared" ca="1" si="132"/>
        <v>13</v>
      </c>
    </row>
    <row r="461" spans="1:23">
      <c r="A461" t="s">
        <v>1581</v>
      </c>
      <c r="B461" t="str">
        <f t="shared" ca="1" si="133"/>
        <v>李物修</v>
      </c>
      <c r="C461" t="str">
        <f t="shared" ca="1" si="134"/>
        <v>ﾘｰ ｳｰ ｼｳ</v>
      </c>
      <c r="D461" t="str">
        <f t="shared" ca="1" si="135"/>
        <v>Li Wu Xiu</v>
      </c>
      <c r="E461" t="str" cm="1">
        <f t="array" aca="1" ref="E461" ca="1">INDIRECT(ADDRESS(RANDBETWEEN(2,16),7,1,1,"valueBase"))</f>
        <v>女性</v>
      </c>
      <c r="F461" s="5">
        <f t="shared" ca="1" si="138"/>
        <v>24842</v>
      </c>
      <c r="G461" s="5">
        <f t="shared" ca="1" si="139"/>
        <v>33680</v>
      </c>
      <c r="H461" s="5">
        <f t="shared" ca="1" si="140"/>
        <v>34775</v>
      </c>
      <c r="I461" t="str">
        <f t="shared" ca="1" si="120"/>
        <v>090-5241-9382</v>
      </c>
      <c r="J461" t="str">
        <f t="shared" ca="1" si="136"/>
        <v>Li_Wu_Xiu_33680@outlook.jp.co</v>
      </c>
      <c r="K461" t="str">
        <f t="shared" ca="1" si="122"/>
        <v>普通</v>
      </c>
      <c r="L461" t="str">
        <f t="shared" ca="1" si="123"/>
        <v>-</v>
      </c>
      <c r="M461" t="str">
        <f t="shared" ca="1" si="137"/>
        <v>-</v>
      </c>
      <c r="N461" t="str">
        <f t="shared" ca="1" si="125"/>
        <v>有り</v>
      </c>
      <c r="O461">
        <f t="shared" ca="1" si="126"/>
        <v>274</v>
      </c>
      <c r="R461">
        <f t="shared" ca="1" si="127"/>
        <v>2</v>
      </c>
      <c r="S461">
        <f t="shared" ca="1" si="128"/>
        <v>188</v>
      </c>
      <c r="T461">
        <f t="shared" ca="1" si="129"/>
        <v>1996</v>
      </c>
      <c r="U461">
        <f t="shared" ca="1" si="130"/>
        <v>2000</v>
      </c>
      <c r="V461">
        <f t="shared" ca="1" si="131"/>
        <v>5</v>
      </c>
      <c r="W461">
        <f t="shared" ca="1" si="132"/>
        <v>29</v>
      </c>
    </row>
    <row r="462" spans="1:23">
      <c r="A462" t="s">
        <v>1582</v>
      </c>
      <c r="B462" t="str">
        <f t="shared" ref="B462:B525" ca="1" si="141">_xlfn.CONCAT(INDIRECT(ADDRESS(R462,1,1,1,"valueBase")),INDIRECT(ADDRESS(S462,4,1,1,"valueBase")))</f>
        <v>鄭若齊</v>
      </c>
      <c r="C462" t="str">
        <f t="shared" ref="C462:C525" ca="1" si="142">_xlfn.CONCAT(INDIRECT(ADDRESS(R462,2,1,1,"valueBase")),INDIRECT(ADDRESS(S462,5,1,1,"valueBase")))</f>
        <v>ｼﾞｭﾖﾝ ｩﾙｵ ﾁｲ</v>
      </c>
      <c r="D462" t="str">
        <f t="shared" ref="D462:D525" ca="1" si="143">_xlfn.CONCAT(INDIRECT(ADDRESS(R462,3,1,1,"valueBase")),INDIRECT(ADDRESS(S462,6,1,1,"valueBase")))</f>
        <v>Zheng Ruo Qi</v>
      </c>
      <c r="E462" t="str" cm="1">
        <f t="array" aca="1" ref="E462" ca="1">INDIRECT(ADDRESS(RANDBETWEEN(2,16),7,1,1,"valueBase"))</f>
        <v>男性</v>
      </c>
      <c r="F462" s="5">
        <f t="shared" ca="1" si="138"/>
        <v>37792</v>
      </c>
      <c r="G462" s="5">
        <f t="shared" ca="1" si="139"/>
        <v>44418</v>
      </c>
      <c r="H462" s="5">
        <f t="shared" ca="1" si="140"/>
        <v>45148</v>
      </c>
      <c r="I462" t="str">
        <f t="shared" ca="1" si="120"/>
        <v>090-9142-8748</v>
      </c>
      <c r="J462" t="str">
        <f t="shared" ref="J462:J525" ca="1" si="144">CONCATENATE(SUBSTITUTE(D462," ","_"),"_",SUBSTITUTE(G462,"/","_"),"@outlook.jp.co")</f>
        <v>Zheng_Ruo Qi_44418@outlook.jp.co</v>
      </c>
      <c r="K462" t="str">
        <f t="shared" ca="1" si="122"/>
        <v>普通</v>
      </c>
      <c r="L462" t="str">
        <f t="shared" ca="1" si="123"/>
        <v>有り</v>
      </c>
      <c r="M462" t="str">
        <f t="shared" ref="M462:M525" ca="1" si="145">IF(L462 = "有り",IF(K462 = "高級","10%","5%"),"-")</f>
        <v>5%</v>
      </c>
      <c r="N462" t="str">
        <f t="shared" ca="1" si="125"/>
        <v>-</v>
      </c>
      <c r="O462" t="str">
        <f t="shared" ca="1" si="126"/>
        <v>-</v>
      </c>
      <c r="R462">
        <f t="shared" ca="1" si="127"/>
        <v>24</v>
      </c>
      <c r="S462">
        <f t="shared" ca="1" si="128"/>
        <v>69</v>
      </c>
      <c r="T462">
        <f t="shared" ca="1" si="129"/>
        <v>1982</v>
      </c>
      <c r="U462">
        <f t="shared" ca="1" si="130"/>
        <v>1989</v>
      </c>
      <c r="V462">
        <f t="shared" ca="1" si="131"/>
        <v>6</v>
      </c>
      <c r="W462">
        <f t="shared" ca="1" si="132"/>
        <v>26</v>
      </c>
    </row>
    <row r="463" spans="1:23">
      <c r="A463" t="s">
        <v>1583</v>
      </c>
      <c r="B463" t="str">
        <f t="shared" ca="1" si="141"/>
        <v>劉風帝</v>
      </c>
      <c r="C463" t="str">
        <f t="shared" ca="1" si="142"/>
        <v>ﾘｳ ﾌｵﾝ ﾃﾞｨｰ</v>
      </c>
      <c r="D463" t="str">
        <f t="shared" ca="1" si="143"/>
        <v>Liu Feng Di</v>
      </c>
      <c r="E463" t="str" cm="1">
        <f t="array" aca="1" ref="E463" ca="1">INDIRECT(ADDRESS(RANDBETWEEN(2,16),7,1,1,"valueBase"))</f>
        <v>男性</v>
      </c>
      <c r="F463" s="5">
        <f t="shared" ca="1" si="138"/>
        <v>30746</v>
      </c>
      <c r="G463" s="5">
        <f t="shared" ca="1" si="139"/>
        <v>37768</v>
      </c>
      <c r="H463" s="5">
        <f t="shared" ca="1" si="140"/>
        <v>38498</v>
      </c>
      <c r="I463" t="str">
        <f t="shared" ca="1" si="120"/>
        <v>090-4699-6804</v>
      </c>
      <c r="J463" t="str">
        <f t="shared" ca="1" si="144"/>
        <v>Liu_Feng_Di_37768@outlook.jp.co</v>
      </c>
      <c r="K463" t="str">
        <f t="shared" ca="1" si="122"/>
        <v>普通</v>
      </c>
      <c r="L463" t="str">
        <f t="shared" ca="1" si="123"/>
        <v>有り</v>
      </c>
      <c r="M463" t="str">
        <f t="shared" ca="1" si="145"/>
        <v>5%</v>
      </c>
      <c r="N463" t="str">
        <f t="shared" ca="1" si="125"/>
        <v>有り</v>
      </c>
      <c r="O463">
        <f t="shared" ca="1" si="126"/>
        <v>27</v>
      </c>
      <c r="R463">
        <f t="shared" ca="1" si="127"/>
        <v>5</v>
      </c>
      <c r="S463">
        <f t="shared" ca="1" si="128"/>
        <v>22</v>
      </c>
      <c r="T463">
        <f t="shared" ca="1" si="129"/>
        <v>1994</v>
      </c>
      <c r="U463">
        <f t="shared" ca="1" si="130"/>
        <v>1997</v>
      </c>
      <c r="V463">
        <f t="shared" ca="1" si="131"/>
        <v>10</v>
      </c>
      <c r="W463">
        <f t="shared" ca="1" si="132"/>
        <v>31</v>
      </c>
    </row>
    <row r="464" spans="1:23">
      <c r="A464" t="s">
        <v>1584</v>
      </c>
      <c r="B464" t="str">
        <f t="shared" ca="1" si="141"/>
        <v>郭韻臨</v>
      </c>
      <c r="C464" t="str">
        <f t="shared" ca="1" si="142"/>
        <v>ｸﾞｵ ﾕｲﾝ ﾘﾝ</v>
      </c>
      <c r="D464" t="str">
        <f t="shared" ca="1" si="143"/>
        <v>Guo Yun Lin</v>
      </c>
      <c r="E464" t="str" cm="1">
        <f t="array" aca="1" ref="E464" ca="1">INDIRECT(ADDRESS(RANDBETWEEN(2,16),7,1,1,"valueBase"))</f>
        <v>男性</v>
      </c>
      <c r="F464" s="5">
        <f t="shared" ca="1" si="138"/>
        <v>30362</v>
      </c>
      <c r="G464" s="5">
        <f t="shared" ca="1" si="139"/>
        <v>42764</v>
      </c>
      <c r="H464" s="5">
        <f t="shared" ca="1" si="140"/>
        <v>43129</v>
      </c>
      <c r="I464" t="str">
        <f t="shared" ca="1" si="120"/>
        <v>080-6550-5025</v>
      </c>
      <c r="J464" t="str">
        <f t="shared" ca="1" si="144"/>
        <v>Guo_Yun_Lin_42764@outlook.jp.co</v>
      </c>
      <c r="K464" t="str">
        <f t="shared" ca="1" si="122"/>
        <v>普通</v>
      </c>
      <c r="L464" t="str">
        <f t="shared" ca="1" si="123"/>
        <v>-</v>
      </c>
      <c r="M464" t="str">
        <f t="shared" ca="1" si="145"/>
        <v>-</v>
      </c>
      <c r="N464" t="str">
        <f t="shared" ca="1" si="125"/>
        <v>有り</v>
      </c>
      <c r="O464">
        <f t="shared" ca="1" si="126"/>
        <v>883</v>
      </c>
      <c r="R464">
        <f t="shared" ca="1" si="127"/>
        <v>19</v>
      </c>
      <c r="S464">
        <f t="shared" ca="1" si="128"/>
        <v>276</v>
      </c>
      <c r="T464">
        <f t="shared" ca="1" si="129"/>
        <v>1974</v>
      </c>
      <c r="U464">
        <f t="shared" ca="1" si="130"/>
        <v>1984</v>
      </c>
      <c r="V464">
        <f t="shared" ca="1" si="131"/>
        <v>3</v>
      </c>
      <c r="W464">
        <f t="shared" ca="1" si="132"/>
        <v>1</v>
      </c>
    </row>
    <row r="465" spans="1:23">
      <c r="A465" t="s">
        <v>1585</v>
      </c>
      <c r="B465" t="str">
        <f t="shared" ca="1" si="141"/>
        <v>吳騰瑞</v>
      </c>
      <c r="C465" t="str">
        <f t="shared" ca="1" si="142"/>
        <v>ｳｰ ﾄｩｵﾝ ｩﾙｲ</v>
      </c>
      <c r="D465" t="str">
        <f t="shared" ca="1" si="143"/>
        <v>Wu Teng Rui</v>
      </c>
      <c r="E465" t="str" cm="1">
        <f t="array" aca="1" ref="E465" ca="1">INDIRECT(ADDRESS(RANDBETWEEN(2,16),7,1,1,"valueBase"))</f>
        <v>男性</v>
      </c>
      <c r="F465" s="5">
        <f t="shared" ca="1" si="138"/>
        <v>36914</v>
      </c>
      <c r="G465" s="5">
        <f t="shared" ca="1" si="139"/>
        <v>44551</v>
      </c>
      <c r="H465" s="5">
        <f t="shared" ca="1" si="140"/>
        <v>44916</v>
      </c>
      <c r="I465" t="str">
        <f t="shared" ca="1" si="120"/>
        <v>080-7416-5711</v>
      </c>
      <c r="J465" t="str">
        <f t="shared" ca="1" si="144"/>
        <v>Wu_Teng_Rui_44551@outlook.jp.co</v>
      </c>
      <c r="K465" t="str">
        <f t="shared" ca="1" si="122"/>
        <v>高級</v>
      </c>
      <c r="L465" t="str">
        <f t="shared" ca="1" si="123"/>
        <v>有り</v>
      </c>
      <c r="M465" t="str">
        <f t="shared" ca="1" si="145"/>
        <v>10%</v>
      </c>
      <c r="N465" t="str">
        <f t="shared" ca="1" si="125"/>
        <v>有り</v>
      </c>
      <c r="O465">
        <f t="shared" ca="1" si="126"/>
        <v>501</v>
      </c>
      <c r="R465">
        <f t="shared" ca="1" si="127"/>
        <v>11</v>
      </c>
      <c r="S465">
        <f t="shared" ca="1" si="128"/>
        <v>197</v>
      </c>
      <c r="T465">
        <f t="shared" ca="1" si="129"/>
        <v>2008</v>
      </c>
      <c r="U465">
        <f t="shared" ca="1" si="130"/>
        <v>2019</v>
      </c>
      <c r="V465">
        <f t="shared" ca="1" si="131"/>
        <v>2</v>
      </c>
      <c r="W465">
        <f t="shared" ca="1" si="132"/>
        <v>14</v>
      </c>
    </row>
    <row r="466" spans="1:23">
      <c r="A466" t="s">
        <v>1586</v>
      </c>
      <c r="B466" t="str">
        <f t="shared" ca="1" si="141"/>
        <v>楊木納</v>
      </c>
      <c r="C466" t="str">
        <f t="shared" ca="1" si="142"/>
        <v>ﾔｰﾝ ﾑｩ ﾅｰ</v>
      </c>
      <c r="D466" t="str">
        <f t="shared" ca="1" si="143"/>
        <v>Yang Mu Na</v>
      </c>
      <c r="E466" t="str" cm="1">
        <f t="array" aca="1" ref="E466" ca="1">INDIRECT(ADDRESS(RANDBETWEEN(2,16),7,1,1,"valueBase"))</f>
        <v>男性</v>
      </c>
      <c r="F466" s="5">
        <f t="shared" ca="1" si="138"/>
        <v>23997</v>
      </c>
      <c r="G466" s="5">
        <f t="shared" ca="1" si="139"/>
        <v>40636</v>
      </c>
      <c r="H466" s="5">
        <f t="shared" ca="1" si="140"/>
        <v>41731</v>
      </c>
      <c r="I466" t="str">
        <f t="shared" ca="1" si="120"/>
        <v>080-7691-4661</v>
      </c>
      <c r="J466" t="str">
        <f t="shared" ca="1" si="144"/>
        <v>Yang_Mu_Na_40636@outlook.jp.co</v>
      </c>
      <c r="K466" t="str">
        <f t="shared" ca="1" si="122"/>
        <v>普通</v>
      </c>
      <c r="L466" t="str">
        <f t="shared" ca="1" si="123"/>
        <v>-</v>
      </c>
      <c r="M466" t="str">
        <f t="shared" ca="1" si="145"/>
        <v>-</v>
      </c>
      <c r="N466" t="str">
        <f t="shared" ca="1" si="125"/>
        <v>-</v>
      </c>
      <c r="O466" t="str">
        <f t="shared" ca="1" si="126"/>
        <v>-</v>
      </c>
      <c r="R466">
        <f t="shared" ca="1" si="127"/>
        <v>7</v>
      </c>
      <c r="S466">
        <f t="shared" ca="1" si="128"/>
        <v>200</v>
      </c>
      <c r="T466">
        <f t="shared" ca="1" si="129"/>
        <v>1981</v>
      </c>
      <c r="U466">
        <f t="shared" ca="1" si="130"/>
        <v>1990</v>
      </c>
      <c r="V466">
        <f t="shared" ca="1" si="131"/>
        <v>1</v>
      </c>
      <c r="W466">
        <f t="shared" ca="1" si="132"/>
        <v>20</v>
      </c>
    </row>
    <row r="467" spans="1:23">
      <c r="A467" t="s">
        <v>1587</v>
      </c>
      <c r="B467" t="str">
        <f t="shared" ca="1" si="141"/>
        <v>林碼紀</v>
      </c>
      <c r="C467" t="str">
        <f t="shared" ca="1" si="142"/>
        <v>ﾘﾝ ﾏｰ ｼﾞｰ</v>
      </c>
      <c r="D467" t="str">
        <f t="shared" ca="1" si="143"/>
        <v>Lin Ma Ji</v>
      </c>
      <c r="E467" t="str" cm="1">
        <f t="array" aca="1" ref="E467" ca="1">INDIRECT(ADDRESS(RANDBETWEEN(2,16),7,1,1,"valueBase"))</f>
        <v>女性</v>
      </c>
      <c r="F467" s="5">
        <f t="shared" ca="1" si="138"/>
        <v>32587</v>
      </c>
      <c r="G467" s="5">
        <f t="shared" ca="1" si="139"/>
        <v>44183</v>
      </c>
      <c r="H467" s="5">
        <f t="shared" ca="1" si="140"/>
        <v>45278</v>
      </c>
      <c r="I467" t="str">
        <f t="shared" ca="1" si="120"/>
        <v>090-6291-4354</v>
      </c>
      <c r="J467" t="str">
        <f t="shared" ca="1" si="144"/>
        <v>Lin_Ma_Ji_44183@outlook.jp.co</v>
      </c>
      <c r="K467" t="str">
        <f t="shared" ca="1" si="122"/>
        <v>普通</v>
      </c>
      <c r="L467" t="str">
        <f t="shared" ca="1" si="123"/>
        <v>-</v>
      </c>
      <c r="M467" t="str">
        <f t="shared" ca="1" si="145"/>
        <v>-</v>
      </c>
      <c r="N467" t="str">
        <f t="shared" ca="1" si="125"/>
        <v>有り</v>
      </c>
      <c r="O467">
        <f t="shared" ca="1" si="126"/>
        <v>475</v>
      </c>
      <c r="R467">
        <f t="shared" ca="1" si="127"/>
        <v>17</v>
      </c>
      <c r="S467">
        <f t="shared" ca="1" si="128"/>
        <v>287</v>
      </c>
      <c r="T467">
        <f t="shared" ca="1" si="129"/>
        <v>1997</v>
      </c>
      <c r="U467">
        <f t="shared" ca="1" si="130"/>
        <v>2009</v>
      </c>
      <c r="V467">
        <f t="shared" ca="1" si="131"/>
        <v>8</v>
      </c>
      <c r="W467">
        <f t="shared" ca="1" si="132"/>
        <v>6</v>
      </c>
    </row>
    <row r="468" spans="1:23">
      <c r="A468" t="s">
        <v>1588</v>
      </c>
      <c r="B468" t="str">
        <f t="shared" ca="1" si="141"/>
        <v>于具幽</v>
      </c>
      <c r="C468" t="str">
        <f t="shared" ca="1" si="142"/>
        <v>ﾕｲ ｼﾞｭｲ ﾖｳ</v>
      </c>
      <c r="D468" t="str">
        <f t="shared" ca="1" si="143"/>
        <v>Yu Ju You</v>
      </c>
      <c r="E468" t="str" cm="1">
        <f t="array" aca="1" ref="E468" ca="1">INDIRECT(ADDRESS(RANDBETWEEN(2,16),7,1,1,"valueBase"))</f>
        <v>男性</v>
      </c>
      <c r="F468" s="5">
        <f t="shared" ca="1" si="138"/>
        <v>25896</v>
      </c>
      <c r="G468" s="5">
        <f t="shared" ca="1" si="139"/>
        <v>36527</v>
      </c>
      <c r="H468" s="5">
        <f t="shared" ca="1" si="140"/>
        <v>37257</v>
      </c>
      <c r="I468" t="str">
        <f t="shared" ca="1" si="120"/>
        <v>080-9033-7979</v>
      </c>
      <c r="J468" t="str">
        <f t="shared" ca="1" si="144"/>
        <v>Yu_Ju_You_36527@outlook.jp.co</v>
      </c>
      <c r="K468" t="str">
        <f t="shared" ca="1" si="122"/>
        <v>普通</v>
      </c>
      <c r="L468" t="str">
        <f t="shared" ca="1" si="123"/>
        <v>有り</v>
      </c>
      <c r="M468" t="str">
        <f t="shared" ca="1" si="145"/>
        <v>5%</v>
      </c>
      <c r="N468" t="str">
        <f t="shared" ca="1" si="125"/>
        <v>有り</v>
      </c>
      <c r="O468">
        <f t="shared" ca="1" si="126"/>
        <v>493</v>
      </c>
      <c r="R468">
        <f t="shared" ca="1" si="127"/>
        <v>29</v>
      </c>
      <c r="S468">
        <f t="shared" ca="1" si="128"/>
        <v>279</v>
      </c>
      <c r="T468">
        <f t="shared" ca="1" si="129"/>
        <v>1990</v>
      </c>
      <c r="U468">
        <f t="shared" ca="1" si="130"/>
        <v>1999</v>
      </c>
      <c r="V468">
        <f t="shared" ca="1" si="131"/>
        <v>6</v>
      </c>
      <c r="W468">
        <f t="shared" ca="1" si="132"/>
        <v>20</v>
      </c>
    </row>
    <row r="469" spans="1:23">
      <c r="A469" t="s">
        <v>1589</v>
      </c>
      <c r="B469" t="str">
        <f t="shared" ca="1" si="141"/>
        <v>徐瀚躍</v>
      </c>
      <c r="C469" t="str">
        <f t="shared" ca="1" si="142"/>
        <v>ｼｭｲ ﾊﾝ ﾕｴ</v>
      </c>
      <c r="D469" t="str">
        <f t="shared" ca="1" si="143"/>
        <v>Xu Han Yue</v>
      </c>
      <c r="E469" t="str" cm="1">
        <f t="array" aca="1" ref="E469" ca="1">INDIRECT(ADDRESS(RANDBETWEEN(2,16),7,1,1,"valueBase"))</f>
        <v>男性</v>
      </c>
      <c r="F469" s="5">
        <f t="shared" ca="1" si="138"/>
        <v>32275</v>
      </c>
      <c r="G469" s="5">
        <f t="shared" ca="1" si="139"/>
        <v>42888</v>
      </c>
      <c r="H469" s="5">
        <f t="shared" ca="1" si="140"/>
        <v>43618</v>
      </c>
      <c r="I469" t="str">
        <f t="shared" ca="1" si="120"/>
        <v>090-2512-0900</v>
      </c>
      <c r="J469" t="str">
        <f t="shared" ca="1" si="144"/>
        <v>Xu_Han_Yue_42888@outlook.jp.co</v>
      </c>
      <c r="K469" t="str">
        <f t="shared" ca="1" si="122"/>
        <v>高級</v>
      </c>
      <c r="L469" t="str">
        <f t="shared" ca="1" si="123"/>
        <v>有り</v>
      </c>
      <c r="M469" t="str">
        <f t="shared" ca="1" si="145"/>
        <v>10%</v>
      </c>
      <c r="N469" t="str">
        <f t="shared" ca="1" si="125"/>
        <v>-</v>
      </c>
      <c r="O469" t="str">
        <f t="shared" ca="1" si="126"/>
        <v>-</v>
      </c>
      <c r="R469">
        <f t="shared" ca="1" si="127"/>
        <v>12</v>
      </c>
      <c r="S469">
        <f t="shared" ca="1" si="128"/>
        <v>67</v>
      </c>
      <c r="T469">
        <f t="shared" ca="1" si="129"/>
        <v>2007</v>
      </c>
      <c r="U469">
        <f t="shared" ca="1" si="130"/>
        <v>2019</v>
      </c>
      <c r="V469">
        <f t="shared" ca="1" si="131"/>
        <v>1</v>
      </c>
      <c r="W469">
        <f t="shared" ca="1" si="132"/>
        <v>13</v>
      </c>
    </row>
    <row r="470" spans="1:23">
      <c r="A470" t="s">
        <v>1590</v>
      </c>
      <c r="B470" t="str">
        <f t="shared" ca="1" si="141"/>
        <v>馮曇軒</v>
      </c>
      <c r="C470" t="str">
        <f t="shared" ca="1" si="142"/>
        <v>ﾌｵﾝ ﾀﾝ ｼｭｴﾝ</v>
      </c>
      <c r="D470" t="str">
        <f t="shared" ca="1" si="143"/>
        <v>Feng Tan Xuan</v>
      </c>
      <c r="E470" t="str" cm="1">
        <f t="array" aca="1" ref="E470" ca="1">INDIRECT(ADDRESS(RANDBETWEEN(2,16),7,1,1,"valueBase"))</f>
        <v>男性</v>
      </c>
      <c r="F470" s="5">
        <f t="shared" ca="1" si="138"/>
        <v>28132</v>
      </c>
      <c r="G470" s="5">
        <f t="shared" ca="1" si="139"/>
        <v>37403</v>
      </c>
      <c r="H470" s="5">
        <f t="shared" ca="1" si="140"/>
        <v>37768</v>
      </c>
      <c r="I470" t="str">
        <f t="shared" ca="1" si="120"/>
        <v>080-9975-3088</v>
      </c>
      <c r="J470" t="str">
        <f t="shared" ca="1" si="144"/>
        <v>Feng_Tan_Xuan_37403@outlook.jp.co</v>
      </c>
      <c r="K470" t="str">
        <f t="shared" ca="1" si="122"/>
        <v>高級</v>
      </c>
      <c r="L470" t="str">
        <f t="shared" ca="1" si="123"/>
        <v>有り</v>
      </c>
      <c r="M470" t="str">
        <f t="shared" ca="1" si="145"/>
        <v>10%</v>
      </c>
      <c r="N470" t="str">
        <f t="shared" ca="1" si="125"/>
        <v>有り</v>
      </c>
      <c r="O470">
        <f t="shared" ca="1" si="126"/>
        <v>220</v>
      </c>
      <c r="R470">
        <f t="shared" ca="1" si="127"/>
        <v>28</v>
      </c>
      <c r="S470">
        <f t="shared" ca="1" si="128"/>
        <v>321</v>
      </c>
      <c r="T470">
        <f t="shared" ca="1" si="129"/>
        <v>2010</v>
      </c>
      <c r="U470">
        <f t="shared" ca="1" si="130"/>
        <v>2013</v>
      </c>
      <c r="V470">
        <f t="shared" ca="1" si="131"/>
        <v>5</v>
      </c>
      <c r="W470">
        <f t="shared" ca="1" si="132"/>
        <v>10</v>
      </c>
    </row>
    <row r="471" spans="1:23">
      <c r="A471" t="s">
        <v>1591</v>
      </c>
      <c r="B471" t="str">
        <f t="shared" ca="1" si="141"/>
        <v>林益希</v>
      </c>
      <c r="C471" t="str">
        <f t="shared" ca="1" si="142"/>
        <v>ﾘﾝ ｲｰ ｼｲ</v>
      </c>
      <c r="D471" t="str">
        <f t="shared" ca="1" si="143"/>
        <v>Lin Yi Xi</v>
      </c>
      <c r="E471" t="str" cm="1">
        <f t="array" aca="1" ref="E471" ca="1">INDIRECT(ADDRESS(RANDBETWEEN(2,16),7,1,1,"valueBase"))</f>
        <v>-</v>
      </c>
      <c r="F471" s="5">
        <f t="shared" ca="1" si="138"/>
        <v>23903</v>
      </c>
      <c r="G471" s="5">
        <f t="shared" ca="1" si="139"/>
        <v>32092</v>
      </c>
      <c r="H471" s="5">
        <f t="shared" ca="1" si="140"/>
        <v>33187</v>
      </c>
      <c r="I471" t="str">
        <f t="shared" ca="1" si="120"/>
        <v>080-4390-0415</v>
      </c>
      <c r="J471" t="str">
        <f t="shared" ca="1" si="144"/>
        <v>Lin_Yi_Xi_32092@outlook.jp.co</v>
      </c>
      <c r="K471" t="str">
        <f t="shared" ca="1" si="122"/>
        <v>普通</v>
      </c>
      <c r="L471" t="str">
        <f t="shared" ca="1" si="123"/>
        <v>有り</v>
      </c>
      <c r="M471" t="str">
        <f t="shared" ca="1" si="145"/>
        <v>5%</v>
      </c>
      <c r="N471" t="str">
        <f t="shared" ca="1" si="125"/>
        <v>有り</v>
      </c>
      <c r="O471">
        <f t="shared" ca="1" si="126"/>
        <v>202</v>
      </c>
      <c r="R471">
        <f t="shared" ca="1" si="127"/>
        <v>17</v>
      </c>
      <c r="S471">
        <f t="shared" ca="1" si="128"/>
        <v>138</v>
      </c>
      <c r="T471">
        <f t="shared" ca="1" si="129"/>
        <v>1976</v>
      </c>
      <c r="U471">
        <f t="shared" ca="1" si="130"/>
        <v>1980</v>
      </c>
      <c r="V471">
        <f t="shared" ca="1" si="131"/>
        <v>8</v>
      </c>
      <c r="W471">
        <f t="shared" ca="1" si="132"/>
        <v>11</v>
      </c>
    </row>
    <row r="472" spans="1:23">
      <c r="A472" t="s">
        <v>1592</v>
      </c>
      <c r="B472" t="str">
        <f t="shared" ca="1" si="141"/>
        <v>孫軒荒</v>
      </c>
      <c r="C472" t="str">
        <f t="shared" ca="1" si="142"/>
        <v>ｽｩﾝ ｼｭｴﾝ ﾎﾜｰﾝ</v>
      </c>
      <c r="D472" t="str">
        <f t="shared" ca="1" si="143"/>
        <v>Sun Xuan Huang</v>
      </c>
      <c r="E472" t="str" cm="1">
        <f t="array" aca="1" ref="E472" ca="1">INDIRECT(ADDRESS(RANDBETWEEN(2,16),7,1,1,"valueBase"))</f>
        <v>男性</v>
      </c>
      <c r="F472" s="5">
        <f t="shared" ca="1" si="138"/>
        <v>25522</v>
      </c>
      <c r="G472" s="5">
        <f t="shared" ca="1" si="139"/>
        <v>39066</v>
      </c>
      <c r="H472" s="5">
        <f t="shared" ca="1" si="140"/>
        <v>39431</v>
      </c>
      <c r="I472" t="str">
        <f t="shared" ca="1" si="120"/>
        <v>090-7427-0740</v>
      </c>
      <c r="J472" t="str">
        <f t="shared" ca="1" si="144"/>
        <v>Sun_Xuan_Huang_39066@outlook.jp.co</v>
      </c>
      <c r="K472" t="str">
        <f t="shared" ca="1" si="122"/>
        <v>高級</v>
      </c>
      <c r="L472" t="str">
        <f t="shared" ca="1" si="123"/>
        <v>有り</v>
      </c>
      <c r="M472" t="str">
        <f t="shared" ca="1" si="145"/>
        <v>10%</v>
      </c>
      <c r="N472" t="str">
        <f t="shared" ca="1" si="125"/>
        <v>有り</v>
      </c>
      <c r="O472">
        <f t="shared" ca="1" si="126"/>
        <v>115</v>
      </c>
      <c r="R472">
        <f t="shared" ca="1" si="127"/>
        <v>13</v>
      </c>
      <c r="S472">
        <f t="shared" ca="1" si="128"/>
        <v>86</v>
      </c>
      <c r="T472">
        <f t="shared" ca="1" si="129"/>
        <v>1983</v>
      </c>
      <c r="U472">
        <f t="shared" ca="1" si="130"/>
        <v>1988</v>
      </c>
      <c r="V472">
        <f t="shared" ca="1" si="131"/>
        <v>7</v>
      </c>
      <c r="W472">
        <f t="shared" ca="1" si="132"/>
        <v>27</v>
      </c>
    </row>
    <row r="473" spans="1:23">
      <c r="A473" t="s">
        <v>1593</v>
      </c>
      <c r="B473" t="str">
        <f t="shared" ca="1" si="141"/>
        <v>劉台亭</v>
      </c>
      <c r="C473" t="str">
        <f t="shared" ca="1" si="142"/>
        <v>ﾘｳ ﾀｲ ﾃｨｰﾝ</v>
      </c>
      <c r="D473" t="str">
        <f t="shared" ca="1" si="143"/>
        <v>Liu Tai Ting</v>
      </c>
      <c r="E473" t="str" cm="1">
        <f t="array" aca="1" ref="E473" ca="1">INDIRECT(ADDRESS(RANDBETWEEN(2,16),7,1,1,"valueBase"))</f>
        <v>男性</v>
      </c>
      <c r="F473" s="5">
        <f t="shared" ca="1" si="138"/>
        <v>36149</v>
      </c>
      <c r="G473" s="5">
        <f t="shared" ca="1" si="139"/>
        <v>44365</v>
      </c>
      <c r="H473" s="5">
        <f t="shared" ca="1" si="140"/>
        <v>44730</v>
      </c>
      <c r="I473" t="str">
        <f t="shared" ca="1" si="120"/>
        <v>090-9577-2182</v>
      </c>
      <c r="J473" t="str">
        <f t="shared" ca="1" si="144"/>
        <v>Liu_Tai_Ting_44365@outlook.jp.co</v>
      </c>
      <c r="K473" t="str">
        <f t="shared" ca="1" si="122"/>
        <v>普通</v>
      </c>
      <c r="L473" t="str">
        <f t="shared" ca="1" si="123"/>
        <v>有り</v>
      </c>
      <c r="M473" t="str">
        <f t="shared" ca="1" si="145"/>
        <v>5%</v>
      </c>
      <c r="N473" t="str">
        <f t="shared" ca="1" si="125"/>
        <v>有り</v>
      </c>
      <c r="O473">
        <f t="shared" ca="1" si="126"/>
        <v>680</v>
      </c>
      <c r="R473">
        <f t="shared" ca="1" si="127"/>
        <v>5</v>
      </c>
      <c r="S473">
        <f t="shared" ca="1" si="128"/>
        <v>283</v>
      </c>
      <c r="T473">
        <f t="shared" ca="1" si="129"/>
        <v>2010</v>
      </c>
      <c r="U473">
        <f t="shared" ca="1" si="130"/>
        <v>2020</v>
      </c>
      <c r="V473">
        <f t="shared" ca="1" si="131"/>
        <v>2</v>
      </c>
      <c r="W473">
        <f t="shared" ca="1" si="132"/>
        <v>13</v>
      </c>
    </row>
    <row r="474" spans="1:23">
      <c r="A474" t="s">
        <v>1594</v>
      </c>
      <c r="B474" t="str">
        <f t="shared" ca="1" si="141"/>
        <v>唐綸網</v>
      </c>
      <c r="C474" t="str">
        <f t="shared" ca="1" si="142"/>
        <v>ﾀｰﾝ ﾙﾝ ﾜｰﾝ</v>
      </c>
      <c r="D474" t="str">
        <f t="shared" ca="1" si="143"/>
        <v>Tang Lun Wang</v>
      </c>
      <c r="E474" t="str" cm="1">
        <f t="array" aca="1" ref="E474" ca="1">INDIRECT(ADDRESS(RANDBETWEEN(2,16),7,1,1,"valueBase"))</f>
        <v>女性</v>
      </c>
      <c r="F474" s="5">
        <f t="shared" ca="1" si="138"/>
        <v>37111</v>
      </c>
      <c r="G474" s="5">
        <f t="shared" ca="1" si="139"/>
        <v>44654</v>
      </c>
      <c r="H474" s="5">
        <f t="shared" ca="1" si="140"/>
        <v>45384</v>
      </c>
      <c r="I474" t="str">
        <f t="shared" ca="1" si="120"/>
        <v>090-1601-0301</v>
      </c>
      <c r="J474" t="str">
        <f t="shared" ca="1" si="144"/>
        <v>Tang_Lun Wang_44654@outlook.jp.co</v>
      </c>
      <c r="K474" t="str">
        <f t="shared" ca="1" si="122"/>
        <v>普通</v>
      </c>
      <c r="L474" t="str">
        <f t="shared" ca="1" si="123"/>
        <v>有り</v>
      </c>
      <c r="M474" t="str">
        <f t="shared" ca="1" si="145"/>
        <v>5%</v>
      </c>
      <c r="N474" t="str">
        <f t="shared" ca="1" si="125"/>
        <v>有り</v>
      </c>
      <c r="O474">
        <f t="shared" ca="1" si="126"/>
        <v>861</v>
      </c>
      <c r="R474">
        <f t="shared" ca="1" si="127"/>
        <v>27</v>
      </c>
      <c r="S474">
        <f t="shared" ca="1" si="128"/>
        <v>263</v>
      </c>
      <c r="T474">
        <f t="shared" ca="1" si="129"/>
        <v>1987</v>
      </c>
      <c r="U474">
        <f t="shared" ca="1" si="130"/>
        <v>1990</v>
      </c>
      <c r="V474">
        <f t="shared" ca="1" si="131"/>
        <v>10</v>
      </c>
      <c r="W474">
        <f t="shared" ca="1" si="132"/>
        <v>27</v>
      </c>
    </row>
    <row r="475" spans="1:23">
      <c r="A475" t="s">
        <v>1595</v>
      </c>
      <c r="B475" t="str">
        <f t="shared" ca="1" si="141"/>
        <v>梁登寧</v>
      </c>
      <c r="C475" t="str">
        <f t="shared" ca="1" si="142"/>
        <v>ﾘﾔｰﾝ ﾄﾞｩｵﾝ ﾆｰﾝ</v>
      </c>
      <c r="D475" t="str">
        <f t="shared" ca="1" si="143"/>
        <v>Liang Deng Ning</v>
      </c>
      <c r="E475" t="str" cm="1">
        <f t="array" aca="1" ref="E475" ca="1">INDIRECT(ADDRESS(RANDBETWEEN(2,16),7,1,1,"valueBase"))</f>
        <v>女性</v>
      </c>
      <c r="F475" s="5">
        <f t="shared" ca="1" si="138"/>
        <v>28575</v>
      </c>
      <c r="G475" s="5">
        <f t="shared" ca="1" si="139"/>
        <v>39898</v>
      </c>
      <c r="H475" s="5">
        <f t="shared" ca="1" si="140"/>
        <v>40628</v>
      </c>
      <c r="I475" t="str">
        <f t="shared" ca="1" si="120"/>
        <v>090-9290-4380</v>
      </c>
      <c r="J475" t="str">
        <f t="shared" ca="1" si="144"/>
        <v>Liang_Deng_Ning_39898@outlook.jp.co</v>
      </c>
      <c r="K475" t="str">
        <f t="shared" ca="1" si="122"/>
        <v>高級</v>
      </c>
      <c r="L475" t="str">
        <f t="shared" ca="1" si="123"/>
        <v>有り</v>
      </c>
      <c r="M475" t="str">
        <f t="shared" ca="1" si="145"/>
        <v>10%</v>
      </c>
      <c r="N475" t="str">
        <f t="shared" ca="1" si="125"/>
        <v>有り</v>
      </c>
      <c r="O475">
        <f t="shared" ca="1" si="126"/>
        <v>732</v>
      </c>
      <c r="R475">
        <f t="shared" ca="1" si="127"/>
        <v>22</v>
      </c>
      <c r="S475">
        <f t="shared" ca="1" si="128"/>
        <v>121</v>
      </c>
      <c r="T475">
        <f t="shared" ca="1" si="129"/>
        <v>1995</v>
      </c>
      <c r="U475">
        <f t="shared" ca="1" si="130"/>
        <v>2000</v>
      </c>
      <c r="V475">
        <f t="shared" ca="1" si="131"/>
        <v>10</v>
      </c>
      <c r="W475">
        <f t="shared" ca="1" si="132"/>
        <v>7</v>
      </c>
    </row>
    <row r="476" spans="1:23">
      <c r="A476" t="s">
        <v>1596</v>
      </c>
      <c r="B476" t="str">
        <f t="shared" ca="1" si="141"/>
        <v>張芬勁</v>
      </c>
      <c r="C476" t="str">
        <f t="shared" ca="1" si="142"/>
        <v>ｼﾞｬｰﾝ ﾌｪﾝ ｼﾞﾝ</v>
      </c>
      <c r="D476" t="str">
        <f t="shared" ca="1" si="143"/>
        <v>Zhang Fen Jin</v>
      </c>
      <c r="E476" t="str" cm="1">
        <f t="array" aca="1" ref="E476" ca="1">INDIRECT(ADDRESS(RANDBETWEEN(2,16),7,1,1,"valueBase"))</f>
        <v>男性</v>
      </c>
      <c r="F476" s="5">
        <f t="shared" ca="1" si="138"/>
        <v>32263</v>
      </c>
      <c r="G476" s="5">
        <f t="shared" ca="1" si="139"/>
        <v>45223</v>
      </c>
      <c r="H476" s="5">
        <f t="shared" ca="1" si="140"/>
        <v>46318</v>
      </c>
      <c r="I476" t="str">
        <f t="shared" ca="1" si="120"/>
        <v>080-7894-6889</v>
      </c>
      <c r="J476" t="str">
        <f t="shared" ca="1" si="144"/>
        <v>Zhang_Fen Jin_45223@outlook.jp.co</v>
      </c>
      <c r="K476" t="str">
        <f t="shared" ca="1" si="122"/>
        <v>高級</v>
      </c>
      <c r="L476" t="str">
        <f t="shared" ca="1" si="123"/>
        <v>有り</v>
      </c>
      <c r="M476" t="str">
        <f t="shared" ca="1" si="145"/>
        <v>10%</v>
      </c>
      <c r="N476" t="str">
        <f t="shared" ca="1" si="125"/>
        <v>有り</v>
      </c>
      <c r="O476">
        <f t="shared" ca="1" si="126"/>
        <v>113</v>
      </c>
      <c r="R476">
        <f t="shared" ca="1" si="127"/>
        <v>4</v>
      </c>
      <c r="S476">
        <f t="shared" ca="1" si="128"/>
        <v>10</v>
      </c>
      <c r="T476">
        <f t="shared" ca="1" si="129"/>
        <v>1970</v>
      </c>
      <c r="U476">
        <f t="shared" ca="1" si="130"/>
        <v>1982</v>
      </c>
      <c r="V476">
        <f t="shared" ca="1" si="131"/>
        <v>1</v>
      </c>
      <c r="W476">
        <f t="shared" ca="1" si="132"/>
        <v>6</v>
      </c>
    </row>
    <row r="477" spans="1:23">
      <c r="A477" t="s">
        <v>1597</v>
      </c>
      <c r="B477" t="str">
        <f t="shared" ca="1" si="141"/>
        <v>謝菏科</v>
      </c>
      <c r="C477" t="str">
        <f t="shared" ca="1" si="142"/>
        <v>ｼｴ ﾎｰｧ ｺｰｧ</v>
      </c>
      <c r="D477" t="str">
        <f t="shared" ca="1" si="143"/>
        <v>Xie He Ke</v>
      </c>
      <c r="E477" t="str" cm="1">
        <f t="array" aca="1" ref="E477" ca="1">INDIRECT(ADDRESS(RANDBETWEEN(2,16),7,1,1,"valueBase"))</f>
        <v>男性</v>
      </c>
      <c r="F477" s="5">
        <f t="shared" ca="1" si="138"/>
        <v>25978</v>
      </c>
      <c r="G477" s="5">
        <f t="shared" ca="1" si="139"/>
        <v>38766</v>
      </c>
      <c r="H477" s="5">
        <f t="shared" ca="1" si="140"/>
        <v>39861</v>
      </c>
      <c r="I477" t="str">
        <f t="shared" ca="1" si="120"/>
        <v>080-7821-3865</v>
      </c>
      <c r="J477" t="str">
        <f t="shared" ca="1" si="144"/>
        <v>Xie_He_Ke_38766@outlook.jp.co</v>
      </c>
      <c r="K477" t="str">
        <f t="shared" ca="1" si="122"/>
        <v>普通</v>
      </c>
      <c r="L477" t="str">
        <f t="shared" ca="1" si="123"/>
        <v>有り</v>
      </c>
      <c r="M477" t="str">
        <f t="shared" ca="1" si="145"/>
        <v>5%</v>
      </c>
      <c r="N477" t="str">
        <f t="shared" ca="1" si="125"/>
        <v>有り</v>
      </c>
      <c r="O477">
        <f t="shared" ca="1" si="126"/>
        <v>130</v>
      </c>
      <c r="R477">
        <f t="shared" ca="1" si="127"/>
        <v>25</v>
      </c>
      <c r="S477">
        <f t="shared" ca="1" si="128"/>
        <v>11</v>
      </c>
      <c r="T477">
        <f t="shared" ca="1" si="129"/>
        <v>2009</v>
      </c>
      <c r="U477">
        <f t="shared" ca="1" si="130"/>
        <v>2010</v>
      </c>
      <c r="V477">
        <f t="shared" ca="1" si="131"/>
        <v>3</v>
      </c>
      <c r="W477">
        <f t="shared" ca="1" si="132"/>
        <v>24</v>
      </c>
    </row>
    <row r="478" spans="1:23">
      <c r="A478" t="s">
        <v>1598</v>
      </c>
      <c r="B478" t="str">
        <f t="shared" ca="1" si="141"/>
        <v>唐碼紀</v>
      </c>
      <c r="C478" t="str">
        <f t="shared" ca="1" si="142"/>
        <v>ﾀｰﾝ ﾏｰ ｼﾞｰ</v>
      </c>
      <c r="D478" t="str">
        <f t="shared" ca="1" si="143"/>
        <v>Tang Ma Ji</v>
      </c>
      <c r="E478" t="str" cm="1">
        <f t="array" aca="1" ref="E478" ca="1">INDIRECT(ADDRESS(RANDBETWEEN(2,16),7,1,1,"valueBase"))</f>
        <v>男性</v>
      </c>
      <c r="F478" s="5">
        <f t="shared" ca="1" si="138"/>
        <v>38558</v>
      </c>
      <c r="G478" s="5">
        <f t="shared" ca="1" si="139"/>
        <v>45446</v>
      </c>
      <c r="H478" s="5">
        <f t="shared" ca="1" si="140"/>
        <v>45811</v>
      </c>
      <c r="I478" t="str">
        <f t="shared" ca="1" si="120"/>
        <v>090-7662-1033</v>
      </c>
      <c r="J478" t="str">
        <f t="shared" ca="1" si="144"/>
        <v>Tang_Ma_Ji_45446@outlook.jp.co</v>
      </c>
      <c r="K478" t="str">
        <f t="shared" ca="1" si="122"/>
        <v>普通</v>
      </c>
      <c r="L478" t="str">
        <f t="shared" ca="1" si="123"/>
        <v>有り</v>
      </c>
      <c r="M478" t="str">
        <f t="shared" ca="1" si="145"/>
        <v>5%</v>
      </c>
      <c r="N478" t="str">
        <f t="shared" ca="1" si="125"/>
        <v>-</v>
      </c>
      <c r="O478" t="str">
        <f t="shared" ca="1" si="126"/>
        <v>-</v>
      </c>
      <c r="R478">
        <f t="shared" ca="1" si="127"/>
        <v>27</v>
      </c>
      <c r="S478">
        <f t="shared" ca="1" si="128"/>
        <v>287</v>
      </c>
      <c r="T478">
        <f t="shared" ca="1" si="129"/>
        <v>2002</v>
      </c>
      <c r="U478">
        <f t="shared" ca="1" si="130"/>
        <v>2011</v>
      </c>
      <c r="V478">
        <f t="shared" ca="1" si="131"/>
        <v>4</v>
      </c>
      <c r="W478">
        <f t="shared" ca="1" si="132"/>
        <v>25</v>
      </c>
    </row>
    <row r="479" spans="1:23">
      <c r="A479" t="s">
        <v>1599</v>
      </c>
      <c r="B479" t="str">
        <f t="shared" ca="1" si="141"/>
        <v>馮創淺</v>
      </c>
      <c r="C479" t="str">
        <f t="shared" ca="1" si="142"/>
        <v>ﾌｵﾝ ﾁｭﾜｰﾝ ﾁｴﾝ</v>
      </c>
      <c r="D479" t="str">
        <f t="shared" ca="1" si="143"/>
        <v>Feng Chuang Qian</v>
      </c>
      <c r="E479" t="str" cm="1">
        <f t="array" aca="1" ref="E479" ca="1">INDIRECT(ADDRESS(RANDBETWEEN(2,16),7,1,1,"valueBase"))</f>
        <v>-</v>
      </c>
      <c r="F479" s="5">
        <f t="shared" ca="1" si="138"/>
        <v>22296</v>
      </c>
      <c r="G479" s="5">
        <f t="shared" ca="1" si="139"/>
        <v>42379</v>
      </c>
      <c r="H479" s="5">
        <f t="shared" ca="1" si="140"/>
        <v>43474</v>
      </c>
      <c r="I479" t="str">
        <f t="shared" ca="1" si="120"/>
        <v>080-9562-1793</v>
      </c>
      <c r="J479" t="str">
        <f t="shared" ca="1" si="144"/>
        <v>Feng_Chuang Qian_42379@outlook.jp.co</v>
      </c>
      <c r="K479" t="str">
        <f t="shared" ca="1" si="122"/>
        <v>普通</v>
      </c>
      <c r="L479" t="str">
        <f t="shared" ca="1" si="123"/>
        <v>-</v>
      </c>
      <c r="M479" t="str">
        <f t="shared" ca="1" si="145"/>
        <v>-</v>
      </c>
      <c r="N479" t="str">
        <f t="shared" ca="1" si="125"/>
        <v>有り</v>
      </c>
      <c r="O479">
        <f t="shared" ca="1" si="126"/>
        <v>985</v>
      </c>
      <c r="R479">
        <f t="shared" ca="1" si="127"/>
        <v>28</v>
      </c>
      <c r="S479">
        <f t="shared" ca="1" si="128"/>
        <v>149</v>
      </c>
      <c r="T479">
        <f t="shared" ca="1" si="129"/>
        <v>1990</v>
      </c>
      <c r="U479">
        <f t="shared" ca="1" si="130"/>
        <v>1995</v>
      </c>
      <c r="V479">
        <f t="shared" ca="1" si="131"/>
        <v>8</v>
      </c>
      <c r="W479">
        <f t="shared" ca="1" si="132"/>
        <v>24</v>
      </c>
    </row>
    <row r="480" spans="1:23">
      <c r="A480" t="s">
        <v>1600</v>
      </c>
      <c r="B480" t="str">
        <f t="shared" ca="1" si="141"/>
        <v>韓繼材</v>
      </c>
      <c r="C480" t="str">
        <f t="shared" ca="1" si="142"/>
        <v>ﾊﾝ ｼﾞｰ ﾂｧｲ</v>
      </c>
      <c r="D480" t="str">
        <f t="shared" ca="1" si="143"/>
        <v>Han Ji Cai</v>
      </c>
      <c r="E480" t="str" cm="1">
        <f t="array" aca="1" ref="E480" ca="1">INDIRECT(ADDRESS(RANDBETWEEN(2,16),7,1,1,"valueBase"))</f>
        <v>-</v>
      </c>
      <c r="F480" s="5">
        <f t="shared" ca="1" si="138"/>
        <v>28749</v>
      </c>
      <c r="G480" s="5">
        <f t="shared" ca="1" si="139"/>
        <v>39368</v>
      </c>
      <c r="H480" s="5">
        <f t="shared" ca="1" si="140"/>
        <v>40463</v>
      </c>
      <c r="I480" t="str">
        <f t="shared" ca="1" si="120"/>
        <v>080-6769-6461</v>
      </c>
      <c r="J480" t="str">
        <f t="shared" ca="1" si="144"/>
        <v>Han_Ji_Cai_39368@outlook.jp.co</v>
      </c>
      <c r="K480" t="str">
        <f t="shared" ca="1" si="122"/>
        <v>普通</v>
      </c>
      <c r="L480" t="str">
        <f t="shared" ca="1" si="123"/>
        <v>有り</v>
      </c>
      <c r="M480" t="str">
        <f t="shared" ca="1" si="145"/>
        <v>5%</v>
      </c>
      <c r="N480" t="str">
        <f t="shared" ca="1" si="125"/>
        <v>有り</v>
      </c>
      <c r="O480">
        <f t="shared" ca="1" si="126"/>
        <v>392</v>
      </c>
      <c r="R480">
        <f t="shared" ca="1" si="127"/>
        <v>26</v>
      </c>
      <c r="S480">
        <f t="shared" ca="1" si="128"/>
        <v>169</v>
      </c>
      <c r="T480">
        <f t="shared" ca="1" si="129"/>
        <v>1980</v>
      </c>
      <c r="U480">
        <f t="shared" ca="1" si="130"/>
        <v>1987</v>
      </c>
      <c r="V480">
        <f t="shared" ca="1" si="131"/>
        <v>4</v>
      </c>
      <c r="W480">
        <f t="shared" ca="1" si="132"/>
        <v>8</v>
      </c>
    </row>
    <row r="481" spans="1:23">
      <c r="A481" t="s">
        <v>1601</v>
      </c>
      <c r="B481" t="str">
        <f t="shared" ca="1" si="141"/>
        <v>徐逸傲</v>
      </c>
      <c r="C481" t="str">
        <f t="shared" ca="1" si="142"/>
        <v>ｼｭｲ ｲｰ ｱｵ</v>
      </c>
      <c r="D481" t="str">
        <f t="shared" ca="1" si="143"/>
        <v>Xu Yi Ao</v>
      </c>
      <c r="E481" t="str" cm="1">
        <f t="array" aca="1" ref="E481" ca="1">INDIRECT(ADDRESS(RANDBETWEEN(2,16),7,1,1,"valueBase"))</f>
        <v>男性</v>
      </c>
      <c r="F481" s="5">
        <f t="shared" ca="1" si="138"/>
        <v>22667</v>
      </c>
      <c r="G481" s="5">
        <f t="shared" ca="1" si="139"/>
        <v>34815</v>
      </c>
      <c r="H481" s="5">
        <f t="shared" ca="1" si="140"/>
        <v>35545</v>
      </c>
      <c r="I481" t="str">
        <f t="shared" ca="1" si="120"/>
        <v>090-8847-8278</v>
      </c>
      <c r="J481" t="str">
        <f t="shared" ca="1" si="144"/>
        <v>Xu_Yi_Ao_34815@outlook.jp.co</v>
      </c>
      <c r="K481" t="str">
        <f t="shared" ca="1" si="122"/>
        <v>普通</v>
      </c>
      <c r="L481" t="str">
        <f t="shared" ca="1" si="123"/>
        <v>有り</v>
      </c>
      <c r="M481" t="str">
        <f t="shared" ca="1" si="145"/>
        <v>5%</v>
      </c>
      <c r="N481" t="str">
        <f t="shared" ca="1" si="125"/>
        <v>-</v>
      </c>
      <c r="O481" t="str">
        <f t="shared" ca="1" si="126"/>
        <v>-</v>
      </c>
      <c r="R481">
        <f t="shared" ca="1" si="127"/>
        <v>12</v>
      </c>
      <c r="S481">
        <f t="shared" ca="1" si="128"/>
        <v>183</v>
      </c>
      <c r="T481">
        <f t="shared" ca="1" si="129"/>
        <v>1975</v>
      </c>
      <c r="U481">
        <f t="shared" ca="1" si="130"/>
        <v>1977</v>
      </c>
      <c r="V481">
        <f t="shared" ca="1" si="131"/>
        <v>9</v>
      </c>
      <c r="W481">
        <f t="shared" ca="1" si="132"/>
        <v>8</v>
      </c>
    </row>
    <row r="482" spans="1:23">
      <c r="A482" t="s">
        <v>1602</v>
      </c>
      <c r="B482" t="str">
        <f t="shared" ca="1" si="141"/>
        <v>楊聯頃</v>
      </c>
      <c r="C482" t="str">
        <f t="shared" ca="1" si="142"/>
        <v>ﾔｰﾝ ﾘｴﾝ ﾁｰﾝ</v>
      </c>
      <c r="D482" t="str">
        <f t="shared" ca="1" si="143"/>
        <v>Yang Lian Qing</v>
      </c>
      <c r="E482" t="str" cm="1">
        <f t="array" aca="1" ref="E482" ca="1">INDIRECT(ADDRESS(RANDBETWEEN(2,16),7,1,1,"valueBase"))</f>
        <v>女性</v>
      </c>
      <c r="F482" s="5">
        <f t="shared" ca="1" si="138"/>
        <v>32759</v>
      </c>
      <c r="G482" s="5">
        <f t="shared" ca="1" si="139"/>
        <v>43901</v>
      </c>
      <c r="H482" s="5">
        <f t="shared" ca="1" si="140"/>
        <v>44266</v>
      </c>
      <c r="I482" t="str">
        <f t="shared" ca="1" si="120"/>
        <v>080-0945-8660</v>
      </c>
      <c r="J482" t="str">
        <f t="shared" ca="1" si="144"/>
        <v>Yang_Lian_Qing_43901@outlook.jp.co</v>
      </c>
      <c r="K482" t="str">
        <f t="shared" ca="1" si="122"/>
        <v>高級</v>
      </c>
      <c r="L482" t="str">
        <f t="shared" ca="1" si="123"/>
        <v>有り</v>
      </c>
      <c r="M482" t="str">
        <f t="shared" ca="1" si="145"/>
        <v>10%</v>
      </c>
      <c r="N482" t="str">
        <f t="shared" ca="1" si="125"/>
        <v>有り</v>
      </c>
      <c r="O482">
        <f t="shared" ca="1" si="126"/>
        <v>599</v>
      </c>
      <c r="R482">
        <f t="shared" ca="1" si="127"/>
        <v>7</v>
      </c>
      <c r="S482">
        <f t="shared" ca="1" si="128"/>
        <v>29</v>
      </c>
      <c r="T482">
        <f t="shared" ca="1" si="129"/>
        <v>1988</v>
      </c>
      <c r="U482">
        <f t="shared" ca="1" si="130"/>
        <v>2000</v>
      </c>
      <c r="V482">
        <f t="shared" ca="1" si="131"/>
        <v>6</v>
      </c>
      <c r="W482">
        <f t="shared" ca="1" si="132"/>
        <v>19</v>
      </c>
    </row>
    <row r="483" spans="1:23">
      <c r="A483" t="s">
        <v>1603</v>
      </c>
      <c r="B483" t="str">
        <f t="shared" ca="1" si="141"/>
        <v>王元壯</v>
      </c>
      <c r="C483" t="str">
        <f t="shared" ca="1" si="142"/>
        <v>ﾜｰﾝ ﾕｴﾝ ｼﾞｭﾜｰﾝ</v>
      </c>
      <c r="D483" t="str">
        <f t="shared" ca="1" si="143"/>
        <v>Wang Yuan Zhuang</v>
      </c>
      <c r="E483" t="str" cm="1">
        <f t="array" aca="1" ref="E483" ca="1">INDIRECT(ADDRESS(RANDBETWEEN(2,16),7,1,1,"valueBase"))</f>
        <v>男性</v>
      </c>
      <c r="F483" s="5">
        <f t="shared" ca="1" si="138"/>
        <v>27813</v>
      </c>
      <c r="G483" s="5">
        <f t="shared" ca="1" si="139"/>
        <v>44541</v>
      </c>
      <c r="H483" s="5">
        <f t="shared" ca="1" si="140"/>
        <v>45636</v>
      </c>
      <c r="I483" t="str">
        <f t="shared" ca="1" si="120"/>
        <v>090-9053-8320</v>
      </c>
      <c r="J483" t="str">
        <f t="shared" ca="1" si="144"/>
        <v>Wang_Yuan_Zhuang_44541@outlook.jp.co</v>
      </c>
      <c r="K483" t="str">
        <f t="shared" ca="1" si="122"/>
        <v>高級</v>
      </c>
      <c r="L483" t="str">
        <f t="shared" ca="1" si="123"/>
        <v>有り</v>
      </c>
      <c r="M483" t="str">
        <f t="shared" ca="1" si="145"/>
        <v>10%</v>
      </c>
      <c r="N483" t="str">
        <f t="shared" ca="1" si="125"/>
        <v>有り</v>
      </c>
      <c r="O483">
        <f t="shared" ca="1" si="126"/>
        <v>953</v>
      </c>
      <c r="R483">
        <f t="shared" ca="1" si="127"/>
        <v>3</v>
      </c>
      <c r="S483">
        <f t="shared" ca="1" si="128"/>
        <v>170</v>
      </c>
      <c r="T483">
        <f t="shared" ca="1" si="129"/>
        <v>2005</v>
      </c>
      <c r="U483">
        <f t="shared" ca="1" si="130"/>
        <v>2006</v>
      </c>
      <c r="V483">
        <f t="shared" ca="1" si="131"/>
        <v>5</v>
      </c>
      <c r="W483">
        <f t="shared" ca="1" si="132"/>
        <v>10</v>
      </c>
    </row>
    <row r="484" spans="1:23">
      <c r="A484" t="s">
        <v>1604</v>
      </c>
      <c r="B484" t="str">
        <f t="shared" ca="1" si="141"/>
        <v>徐靜耿</v>
      </c>
      <c r="C484" t="str">
        <f t="shared" ca="1" si="142"/>
        <v>ｼｭｲ ｼﾞｰﾝ ｸﾞｵﾝ</v>
      </c>
      <c r="D484" t="str">
        <f t="shared" ca="1" si="143"/>
        <v>Xu Jing Geng</v>
      </c>
      <c r="E484" t="str" cm="1">
        <f t="array" aca="1" ref="E484" ca="1">INDIRECT(ADDRESS(RANDBETWEEN(2,16),7,1,1,"valueBase"))</f>
        <v>女性</v>
      </c>
      <c r="F484" s="5">
        <f t="shared" ca="1" si="138"/>
        <v>22098</v>
      </c>
      <c r="G484" s="5">
        <f t="shared" ca="1" si="139"/>
        <v>41409</v>
      </c>
      <c r="H484" s="5">
        <f t="shared" ca="1" si="140"/>
        <v>42504</v>
      </c>
      <c r="I484" t="str">
        <f t="shared" ca="1" si="120"/>
        <v>090-2537-5891</v>
      </c>
      <c r="J484" t="str">
        <f t="shared" ca="1" si="144"/>
        <v>Xu_Jing_Geng_41409@outlook.jp.co</v>
      </c>
      <c r="K484" t="str">
        <f t="shared" ca="1" si="122"/>
        <v>普通</v>
      </c>
      <c r="L484" t="str">
        <f t="shared" ca="1" si="123"/>
        <v>有り</v>
      </c>
      <c r="M484" t="str">
        <f t="shared" ca="1" si="145"/>
        <v>5%</v>
      </c>
      <c r="N484" t="str">
        <f t="shared" ca="1" si="125"/>
        <v>有り</v>
      </c>
      <c r="O484">
        <f t="shared" ca="1" si="126"/>
        <v>915</v>
      </c>
      <c r="R484">
        <f t="shared" ca="1" si="127"/>
        <v>12</v>
      </c>
      <c r="S484">
        <f t="shared" ca="1" si="128"/>
        <v>5</v>
      </c>
      <c r="T484">
        <f t="shared" ca="1" si="129"/>
        <v>1978</v>
      </c>
      <c r="U484">
        <f t="shared" ca="1" si="130"/>
        <v>1981</v>
      </c>
      <c r="V484">
        <f t="shared" ca="1" si="131"/>
        <v>9</v>
      </c>
      <c r="W484">
        <f t="shared" ca="1" si="132"/>
        <v>15</v>
      </c>
    </row>
    <row r="485" spans="1:23">
      <c r="A485" t="s">
        <v>1605</v>
      </c>
      <c r="B485" t="str">
        <f t="shared" ca="1" si="141"/>
        <v>周虎傑</v>
      </c>
      <c r="C485" t="str">
        <f t="shared" ca="1" si="142"/>
        <v>ｼﾞｮｳ ﾎｩ ｼﾞｴ</v>
      </c>
      <c r="D485" t="str">
        <f t="shared" ca="1" si="143"/>
        <v>Zhou Hu Jie</v>
      </c>
      <c r="E485" t="str" cm="1">
        <f t="array" aca="1" ref="E485" ca="1">INDIRECT(ADDRESS(RANDBETWEEN(2,16),7,1,1,"valueBase"))</f>
        <v>女性</v>
      </c>
      <c r="F485" s="5">
        <f t="shared" ca="1" si="138"/>
        <v>22588</v>
      </c>
      <c r="G485" s="5">
        <f t="shared" ca="1" si="139"/>
        <v>38507</v>
      </c>
      <c r="H485" s="5">
        <f t="shared" ca="1" si="140"/>
        <v>38872</v>
      </c>
      <c r="I485" t="str">
        <f t="shared" ca="1" si="120"/>
        <v>080-8376-3457</v>
      </c>
      <c r="J485" t="str">
        <f t="shared" ca="1" si="144"/>
        <v>Zhou_Hu_Jie_38507@outlook.jp.co</v>
      </c>
      <c r="K485" t="str">
        <f t="shared" ca="1" si="122"/>
        <v>高級</v>
      </c>
      <c r="L485" t="str">
        <f t="shared" ca="1" si="123"/>
        <v>-</v>
      </c>
      <c r="M485" t="str">
        <f t="shared" ca="1" si="145"/>
        <v>-</v>
      </c>
      <c r="N485" t="str">
        <f t="shared" ca="1" si="125"/>
        <v>有り</v>
      </c>
      <c r="O485">
        <f t="shared" ca="1" si="126"/>
        <v>644</v>
      </c>
      <c r="R485">
        <f t="shared" ca="1" si="127"/>
        <v>10</v>
      </c>
      <c r="S485">
        <f t="shared" ca="1" si="128"/>
        <v>201</v>
      </c>
      <c r="T485">
        <f t="shared" ca="1" si="129"/>
        <v>1984</v>
      </c>
      <c r="U485">
        <f t="shared" ca="1" si="130"/>
        <v>1989</v>
      </c>
      <c r="V485">
        <f t="shared" ca="1" si="131"/>
        <v>6</v>
      </c>
      <c r="W485">
        <f t="shared" ca="1" si="132"/>
        <v>8</v>
      </c>
    </row>
    <row r="486" spans="1:23">
      <c r="A486" t="s">
        <v>1606</v>
      </c>
      <c r="B486" t="str">
        <f t="shared" ca="1" si="141"/>
        <v>鄭耿雙</v>
      </c>
      <c r="C486" t="str">
        <f t="shared" ca="1" si="142"/>
        <v>ｼﾞｭﾖﾝ ｸﾞｵﾝ ｼｭﾜｰﾝ</v>
      </c>
      <c r="D486" t="str">
        <f t="shared" ca="1" si="143"/>
        <v>Zheng Geng Shuang</v>
      </c>
      <c r="E486" t="str" cm="1">
        <f t="array" aca="1" ref="E486" ca="1">INDIRECT(ADDRESS(RANDBETWEEN(2,16),7,1,1,"valueBase"))</f>
        <v>女性</v>
      </c>
      <c r="F486" s="5">
        <f t="shared" ca="1" si="138"/>
        <v>24352</v>
      </c>
      <c r="G486" s="5">
        <f t="shared" ca="1" si="139"/>
        <v>42818</v>
      </c>
      <c r="H486" s="5">
        <f t="shared" ca="1" si="140"/>
        <v>43183</v>
      </c>
      <c r="I486" t="str">
        <f t="shared" ca="1" si="120"/>
        <v>080-0299-0319</v>
      </c>
      <c r="J486" t="str">
        <f t="shared" ca="1" si="144"/>
        <v>Zheng_Geng_Shuang_42818@outlook.jp.co</v>
      </c>
      <c r="K486" t="str">
        <f t="shared" ca="1" si="122"/>
        <v>普通</v>
      </c>
      <c r="L486" t="str">
        <f t="shared" ca="1" si="123"/>
        <v>有り</v>
      </c>
      <c r="M486" t="str">
        <f t="shared" ca="1" si="145"/>
        <v>5%</v>
      </c>
      <c r="N486" t="str">
        <f t="shared" ca="1" si="125"/>
        <v>有り</v>
      </c>
      <c r="O486">
        <f t="shared" ca="1" si="126"/>
        <v>73</v>
      </c>
      <c r="R486">
        <f t="shared" ca="1" si="127"/>
        <v>24</v>
      </c>
      <c r="S486">
        <f t="shared" ca="1" si="128"/>
        <v>20</v>
      </c>
      <c r="T486">
        <f t="shared" ca="1" si="129"/>
        <v>1982</v>
      </c>
      <c r="U486">
        <f t="shared" ca="1" si="130"/>
        <v>1988</v>
      </c>
      <c r="V486">
        <f t="shared" ca="1" si="131"/>
        <v>12</v>
      </c>
      <c r="W486">
        <f t="shared" ca="1" si="132"/>
        <v>6</v>
      </c>
    </row>
    <row r="487" spans="1:23">
      <c r="A487" t="s">
        <v>1607</v>
      </c>
      <c r="B487" t="str">
        <f t="shared" ca="1" si="141"/>
        <v>宋菡晨</v>
      </c>
      <c r="C487" t="str">
        <f t="shared" ca="1" si="142"/>
        <v>ｿｰﾝ ﾊﾝ ﾁｪﾝ</v>
      </c>
      <c r="D487" t="str">
        <f t="shared" ca="1" si="143"/>
        <v>Song Han Chen</v>
      </c>
      <c r="E487" t="str" cm="1">
        <f t="array" aca="1" ref="E487" ca="1">INDIRECT(ADDRESS(RANDBETWEEN(2,16),7,1,1,"valueBase"))</f>
        <v>女性</v>
      </c>
      <c r="F487" s="5">
        <f t="shared" ca="1" si="138"/>
        <v>38543</v>
      </c>
      <c r="G487" s="5">
        <f t="shared" ca="1" si="139"/>
        <v>45149</v>
      </c>
      <c r="H487" s="5">
        <f t="shared" ca="1" si="140"/>
        <v>45514</v>
      </c>
      <c r="I487" t="str">
        <f t="shared" ca="1" si="120"/>
        <v>090-7783-6541</v>
      </c>
      <c r="J487" t="str">
        <f t="shared" ca="1" si="144"/>
        <v>Song_Han_Chen_45149@outlook.jp.co</v>
      </c>
      <c r="K487" t="str">
        <f t="shared" ca="1" si="122"/>
        <v>普通</v>
      </c>
      <c r="L487" t="str">
        <f t="shared" ca="1" si="123"/>
        <v>有り</v>
      </c>
      <c r="M487" t="str">
        <f t="shared" ca="1" si="145"/>
        <v>5%</v>
      </c>
      <c r="N487" t="str">
        <f t="shared" ca="1" si="125"/>
        <v>-</v>
      </c>
      <c r="O487" t="str">
        <f t="shared" ca="1" si="126"/>
        <v>-</v>
      </c>
      <c r="R487">
        <f t="shared" ca="1" si="127"/>
        <v>23</v>
      </c>
      <c r="S487">
        <f t="shared" ca="1" si="128"/>
        <v>85</v>
      </c>
      <c r="T487">
        <f t="shared" ca="1" si="129"/>
        <v>1983</v>
      </c>
      <c r="U487">
        <f t="shared" ca="1" si="130"/>
        <v>1989</v>
      </c>
      <c r="V487">
        <f t="shared" ca="1" si="131"/>
        <v>3</v>
      </c>
      <c r="W487">
        <f t="shared" ca="1" si="132"/>
        <v>16</v>
      </c>
    </row>
    <row r="488" spans="1:23">
      <c r="A488" t="s">
        <v>1608</v>
      </c>
      <c r="B488" t="str">
        <f t="shared" ca="1" si="141"/>
        <v>朱心璟</v>
      </c>
      <c r="C488" t="str">
        <f t="shared" ca="1" si="142"/>
        <v>ｼﾞｭｳ ｼﾝ ｼﾞｰﾝ</v>
      </c>
      <c r="D488" t="str">
        <f t="shared" ca="1" si="143"/>
        <v>Zhu Xin Jing</v>
      </c>
      <c r="E488" t="str" cm="1">
        <f t="array" aca="1" ref="E488" ca="1">INDIRECT(ADDRESS(RANDBETWEEN(2,16),7,1,1,"valueBase"))</f>
        <v>男性</v>
      </c>
      <c r="F488" s="5">
        <f t="shared" ca="1" si="138"/>
        <v>27649</v>
      </c>
      <c r="G488" s="5">
        <f t="shared" ca="1" si="139"/>
        <v>45380</v>
      </c>
      <c r="H488" s="5">
        <f t="shared" ca="1" si="140"/>
        <v>46110</v>
      </c>
      <c r="I488" t="str">
        <f t="shared" ca="1" si="120"/>
        <v>080-7047-2602</v>
      </c>
      <c r="J488" t="str">
        <f t="shared" ca="1" si="144"/>
        <v>Zhu_Xin_Jing_45380@outlook.jp.co</v>
      </c>
      <c r="K488" t="str">
        <f t="shared" ca="1" si="122"/>
        <v>普通</v>
      </c>
      <c r="L488" t="str">
        <f t="shared" ca="1" si="123"/>
        <v>有り</v>
      </c>
      <c r="M488" t="str">
        <f t="shared" ca="1" si="145"/>
        <v>5%</v>
      </c>
      <c r="N488" t="str">
        <f t="shared" ca="1" si="125"/>
        <v>有り</v>
      </c>
      <c r="O488">
        <f t="shared" ca="1" si="126"/>
        <v>529</v>
      </c>
      <c r="R488">
        <f t="shared" ca="1" si="127"/>
        <v>15</v>
      </c>
      <c r="S488">
        <f t="shared" ca="1" si="128"/>
        <v>61</v>
      </c>
      <c r="T488">
        <f t="shared" ca="1" si="129"/>
        <v>2001</v>
      </c>
      <c r="U488">
        <f t="shared" ca="1" si="130"/>
        <v>2012</v>
      </c>
      <c r="V488">
        <f t="shared" ca="1" si="131"/>
        <v>7</v>
      </c>
      <c r="W488">
        <f t="shared" ca="1" si="132"/>
        <v>31</v>
      </c>
    </row>
    <row r="489" spans="1:23">
      <c r="A489" t="s">
        <v>1609</v>
      </c>
      <c r="B489" t="str">
        <f t="shared" ca="1" si="141"/>
        <v>趙憶捷</v>
      </c>
      <c r="C489" t="str">
        <f t="shared" ca="1" si="142"/>
        <v>ｼﾞｬｵ ｲｰ ｼﾞｴ</v>
      </c>
      <c r="D489" t="str">
        <f t="shared" ca="1" si="143"/>
        <v>Zhao Yi Jie</v>
      </c>
      <c r="E489" t="str" cm="1">
        <f t="array" aca="1" ref="E489" ca="1">INDIRECT(ADDRESS(RANDBETWEEN(2,16),7,1,1,"valueBase"))</f>
        <v>女性</v>
      </c>
      <c r="F489" s="5">
        <f t="shared" ca="1" si="138"/>
        <v>26988</v>
      </c>
      <c r="G489" s="5">
        <f t="shared" ca="1" si="139"/>
        <v>36074</v>
      </c>
      <c r="H489" s="5">
        <f t="shared" ca="1" si="140"/>
        <v>36439</v>
      </c>
      <c r="I489" t="str">
        <f t="shared" ca="1" si="120"/>
        <v>090-8899-7679</v>
      </c>
      <c r="J489" t="str">
        <f t="shared" ca="1" si="144"/>
        <v>Zhao_Yi_Jie_36074@outlook.jp.co</v>
      </c>
      <c r="K489" t="str">
        <f t="shared" ca="1" si="122"/>
        <v>高級</v>
      </c>
      <c r="L489" t="str">
        <f t="shared" ca="1" si="123"/>
        <v>-</v>
      </c>
      <c r="M489" t="str">
        <f t="shared" ca="1" si="145"/>
        <v>-</v>
      </c>
      <c r="N489" t="str">
        <f t="shared" ca="1" si="125"/>
        <v>-</v>
      </c>
      <c r="O489" t="str">
        <f t="shared" ca="1" si="126"/>
        <v>-</v>
      </c>
      <c r="R489">
        <f t="shared" ca="1" si="127"/>
        <v>8</v>
      </c>
      <c r="S489">
        <f t="shared" ca="1" si="128"/>
        <v>98</v>
      </c>
      <c r="T489">
        <f t="shared" ca="1" si="129"/>
        <v>1977</v>
      </c>
      <c r="U489">
        <f t="shared" ca="1" si="130"/>
        <v>1986</v>
      </c>
      <c r="V489">
        <f t="shared" ca="1" si="131"/>
        <v>1</v>
      </c>
      <c r="W489">
        <f t="shared" ca="1" si="132"/>
        <v>26</v>
      </c>
    </row>
    <row r="490" spans="1:23">
      <c r="A490" t="s">
        <v>1610</v>
      </c>
      <c r="B490" t="str">
        <f t="shared" ca="1" si="141"/>
        <v>謝冠複</v>
      </c>
      <c r="C490" t="str">
        <f t="shared" ca="1" si="142"/>
        <v>ｼｴ ｸﾞﾜﾝ ﾌｩ</v>
      </c>
      <c r="D490" t="str">
        <f t="shared" ca="1" si="143"/>
        <v>Xie Guan Fu</v>
      </c>
      <c r="E490" t="str" cm="1">
        <f t="array" aca="1" ref="E490" ca="1">INDIRECT(ADDRESS(RANDBETWEEN(2,16),7,1,1,"valueBase"))</f>
        <v>女性</v>
      </c>
      <c r="F490" s="5">
        <f t="shared" ca="1" si="138"/>
        <v>23189</v>
      </c>
      <c r="G490" s="5">
        <f t="shared" ca="1" si="139"/>
        <v>42044</v>
      </c>
      <c r="H490" s="5">
        <f t="shared" ca="1" si="140"/>
        <v>42409</v>
      </c>
      <c r="I490" t="str">
        <f t="shared" ca="1" si="120"/>
        <v>080-9794-1615</v>
      </c>
      <c r="J490" t="str">
        <f t="shared" ca="1" si="144"/>
        <v>Xie_Guan_Fu_42044@outlook.jp.co</v>
      </c>
      <c r="K490" t="str">
        <f t="shared" ca="1" si="122"/>
        <v>高級</v>
      </c>
      <c r="L490" t="str">
        <f t="shared" ca="1" si="123"/>
        <v>有り</v>
      </c>
      <c r="M490" t="str">
        <f t="shared" ca="1" si="145"/>
        <v>10%</v>
      </c>
      <c r="N490" t="str">
        <f t="shared" ca="1" si="125"/>
        <v>-</v>
      </c>
      <c r="O490" t="str">
        <f t="shared" ca="1" si="126"/>
        <v>-</v>
      </c>
      <c r="R490">
        <f t="shared" ca="1" si="127"/>
        <v>25</v>
      </c>
      <c r="S490">
        <f t="shared" ca="1" si="128"/>
        <v>53</v>
      </c>
      <c r="T490">
        <f t="shared" ca="1" si="129"/>
        <v>2009</v>
      </c>
      <c r="U490">
        <f t="shared" ca="1" si="130"/>
        <v>2014</v>
      </c>
      <c r="V490">
        <f t="shared" ca="1" si="131"/>
        <v>1</v>
      </c>
      <c r="W490">
        <f t="shared" ca="1" si="132"/>
        <v>25</v>
      </c>
    </row>
    <row r="491" spans="1:23">
      <c r="A491" t="s">
        <v>1611</v>
      </c>
      <c r="B491" t="str">
        <f t="shared" ca="1" si="141"/>
        <v>徐旋衡</v>
      </c>
      <c r="C491" t="str">
        <f t="shared" ca="1" si="142"/>
        <v>ｼｭｲ ｼｭｴﾝ ﾎｩｵﾝ</v>
      </c>
      <c r="D491" t="str">
        <f t="shared" ca="1" si="143"/>
        <v>Xu Xuan Heng</v>
      </c>
      <c r="E491" t="str" cm="1">
        <f t="array" aca="1" ref="E491" ca="1">INDIRECT(ADDRESS(RANDBETWEEN(2,16),7,1,1,"valueBase"))</f>
        <v>男性</v>
      </c>
      <c r="F491" s="5">
        <f t="shared" ca="1" si="138"/>
        <v>30019</v>
      </c>
      <c r="G491" s="5">
        <f t="shared" ca="1" si="139"/>
        <v>40061</v>
      </c>
      <c r="H491" s="5">
        <f t="shared" ca="1" si="140"/>
        <v>40791</v>
      </c>
      <c r="I491" t="str">
        <f t="shared" ca="1" si="120"/>
        <v>080-8683-4745</v>
      </c>
      <c r="J491" t="str">
        <f t="shared" ca="1" si="144"/>
        <v>Xu_Xuan_Heng_40061@outlook.jp.co</v>
      </c>
      <c r="K491" t="str">
        <f t="shared" ca="1" si="122"/>
        <v>高級</v>
      </c>
      <c r="L491" t="str">
        <f t="shared" ca="1" si="123"/>
        <v>-</v>
      </c>
      <c r="M491" t="str">
        <f t="shared" ca="1" si="145"/>
        <v>-</v>
      </c>
      <c r="N491" t="str">
        <f t="shared" ca="1" si="125"/>
        <v>有り</v>
      </c>
      <c r="O491">
        <f t="shared" ca="1" si="126"/>
        <v>634</v>
      </c>
      <c r="R491">
        <f t="shared" ca="1" si="127"/>
        <v>12</v>
      </c>
      <c r="S491">
        <f t="shared" ca="1" si="128"/>
        <v>232</v>
      </c>
      <c r="T491">
        <f t="shared" ca="1" si="129"/>
        <v>1970</v>
      </c>
      <c r="U491">
        <f t="shared" ca="1" si="130"/>
        <v>1979</v>
      </c>
      <c r="V491">
        <f t="shared" ca="1" si="131"/>
        <v>9</v>
      </c>
      <c r="W491">
        <f t="shared" ca="1" si="132"/>
        <v>2</v>
      </c>
    </row>
    <row r="492" spans="1:23">
      <c r="A492" t="s">
        <v>1612</v>
      </c>
      <c r="B492" t="str">
        <f t="shared" ca="1" si="141"/>
        <v>郭芬勁</v>
      </c>
      <c r="C492" t="str">
        <f t="shared" ca="1" si="142"/>
        <v>ｸﾞｵ ﾌｪﾝ ｼﾞﾝ</v>
      </c>
      <c r="D492" t="str">
        <f t="shared" ca="1" si="143"/>
        <v>Guo Fen Jin</v>
      </c>
      <c r="E492" t="str" cm="1">
        <f t="array" aca="1" ref="E492" ca="1">INDIRECT(ADDRESS(RANDBETWEEN(2,16),7,1,1,"valueBase"))</f>
        <v>女性</v>
      </c>
      <c r="F492" s="5">
        <f t="shared" ca="1" si="138"/>
        <v>28843</v>
      </c>
      <c r="G492" s="5">
        <f t="shared" ca="1" si="139"/>
        <v>40854</v>
      </c>
      <c r="H492" s="5">
        <f t="shared" ca="1" si="140"/>
        <v>41949</v>
      </c>
      <c r="I492" t="str">
        <f t="shared" ca="1" si="120"/>
        <v>080-6719-3340</v>
      </c>
      <c r="J492" t="str">
        <f t="shared" ca="1" si="144"/>
        <v>Guo_Fen Jin_40854@outlook.jp.co</v>
      </c>
      <c r="K492" t="str">
        <f t="shared" ca="1" si="122"/>
        <v>普通</v>
      </c>
      <c r="L492" t="str">
        <f t="shared" ca="1" si="123"/>
        <v>有り</v>
      </c>
      <c r="M492" t="str">
        <f t="shared" ca="1" si="145"/>
        <v>5%</v>
      </c>
      <c r="N492" t="str">
        <f t="shared" ca="1" si="125"/>
        <v>有り</v>
      </c>
      <c r="O492">
        <f t="shared" ca="1" si="126"/>
        <v>931</v>
      </c>
      <c r="R492">
        <f t="shared" ca="1" si="127"/>
        <v>19</v>
      </c>
      <c r="S492">
        <f t="shared" ca="1" si="128"/>
        <v>10</v>
      </c>
      <c r="T492">
        <f t="shared" ca="1" si="129"/>
        <v>2005</v>
      </c>
      <c r="U492">
        <f t="shared" ca="1" si="130"/>
        <v>2008</v>
      </c>
      <c r="V492">
        <f t="shared" ca="1" si="131"/>
        <v>3</v>
      </c>
      <c r="W492">
        <f t="shared" ca="1" si="132"/>
        <v>18</v>
      </c>
    </row>
    <row r="493" spans="1:23">
      <c r="A493" t="s">
        <v>1613</v>
      </c>
      <c r="B493" t="str">
        <f t="shared" ca="1" si="141"/>
        <v>黃菏本</v>
      </c>
      <c r="C493" t="str">
        <f t="shared" ca="1" si="142"/>
        <v>ﾎﾜｰﾝ ﾎｰｧ ﾍﾞﾝ</v>
      </c>
      <c r="D493" t="str">
        <f t="shared" ca="1" si="143"/>
        <v>Huang He Ben</v>
      </c>
      <c r="E493" t="str" cm="1">
        <f t="array" aca="1" ref="E493" ca="1">INDIRECT(ADDRESS(RANDBETWEEN(2,16),7,1,1,"valueBase"))</f>
        <v>女性</v>
      </c>
      <c r="F493" s="5">
        <f t="shared" ca="1" si="138"/>
        <v>24877</v>
      </c>
      <c r="G493" s="5">
        <f t="shared" ca="1" si="139"/>
        <v>42417</v>
      </c>
      <c r="H493" s="5">
        <f t="shared" ca="1" si="140"/>
        <v>42782</v>
      </c>
      <c r="I493" t="str">
        <f t="shared" ca="1" si="120"/>
        <v>080-9639-0028</v>
      </c>
      <c r="J493" t="str">
        <f t="shared" ca="1" si="144"/>
        <v>Huang_He_Ben_42417@outlook.jp.co</v>
      </c>
      <c r="K493" t="str">
        <f t="shared" ca="1" si="122"/>
        <v>普通</v>
      </c>
      <c r="L493" t="str">
        <f t="shared" ca="1" si="123"/>
        <v>有り</v>
      </c>
      <c r="M493" t="str">
        <f t="shared" ca="1" si="145"/>
        <v>5%</v>
      </c>
      <c r="N493" t="str">
        <f t="shared" ca="1" si="125"/>
        <v>有り</v>
      </c>
      <c r="O493">
        <f t="shared" ca="1" si="126"/>
        <v>326</v>
      </c>
      <c r="R493">
        <f t="shared" ca="1" si="127"/>
        <v>9</v>
      </c>
      <c r="S493">
        <f t="shared" ca="1" si="128"/>
        <v>240</v>
      </c>
      <c r="T493">
        <f t="shared" ca="1" si="129"/>
        <v>2002</v>
      </c>
      <c r="U493">
        <f t="shared" ca="1" si="130"/>
        <v>2009</v>
      </c>
      <c r="V493">
        <f t="shared" ca="1" si="131"/>
        <v>12</v>
      </c>
      <c r="W493">
        <f t="shared" ca="1" si="132"/>
        <v>15</v>
      </c>
    </row>
    <row r="494" spans="1:23">
      <c r="A494" t="s">
        <v>1614</v>
      </c>
      <c r="B494" t="str">
        <f t="shared" ca="1" si="141"/>
        <v>羅德基</v>
      </c>
      <c r="C494" t="str">
        <f t="shared" ca="1" si="142"/>
        <v>ﾙｵ ﾄﾞｰｧ ｼﾞｰ</v>
      </c>
      <c r="D494" t="str">
        <f t="shared" ca="1" si="143"/>
        <v>Luo De Ji</v>
      </c>
      <c r="E494" t="str" cm="1">
        <f t="array" aca="1" ref="E494" ca="1">INDIRECT(ADDRESS(RANDBETWEEN(2,16),7,1,1,"valueBase"))</f>
        <v>男性</v>
      </c>
      <c r="F494" s="5">
        <f t="shared" ca="1" si="138"/>
        <v>25237</v>
      </c>
      <c r="G494" s="5">
        <f t="shared" ca="1" si="139"/>
        <v>43364</v>
      </c>
      <c r="H494" s="5">
        <f t="shared" ca="1" si="140"/>
        <v>43729</v>
      </c>
      <c r="I494" t="str">
        <f t="shared" ca="1" si="120"/>
        <v>080-0205-4331</v>
      </c>
      <c r="J494" t="str">
        <f t="shared" ca="1" si="144"/>
        <v>Luo_De_Ji_43364@outlook.jp.co</v>
      </c>
      <c r="K494" t="str">
        <f t="shared" ca="1" si="122"/>
        <v>普通</v>
      </c>
      <c r="L494" t="str">
        <f t="shared" ca="1" si="123"/>
        <v>有り</v>
      </c>
      <c r="M494" t="str">
        <f t="shared" ca="1" si="145"/>
        <v>5%</v>
      </c>
      <c r="N494" t="str">
        <f t="shared" ca="1" si="125"/>
        <v>有り</v>
      </c>
      <c r="O494">
        <f t="shared" ca="1" si="126"/>
        <v>358</v>
      </c>
      <c r="R494">
        <f t="shared" ca="1" si="127"/>
        <v>21</v>
      </c>
      <c r="S494">
        <f t="shared" ca="1" si="128"/>
        <v>181</v>
      </c>
      <c r="T494">
        <f t="shared" ca="1" si="129"/>
        <v>1970</v>
      </c>
      <c r="U494">
        <f t="shared" ca="1" si="130"/>
        <v>1973</v>
      </c>
      <c r="V494">
        <f t="shared" ca="1" si="131"/>
        <v>12</v>
      </c>
      <c r="W494">
        <f t="shared" ca="1" si="132"/>
        <v>8</v>
      </c>
    </row>
    <row r="495" spans="1:23">
      <c r="A495" t="s">
        <v>1615</v>
      </c>
      <c r="B495" t="str">
        <f t="shared" ca="1" si="141"/>
        <v>周曉頻</v>
      </c>
      <c r="C495" t="str">
        <f t="shared" ca="1" si="142"/>
        <v>ｼﾞｮｳ ｼﾔｵ ﾋﾟﾝ</v>
      </c>
      <c r="D495" t="str">
        <f t="shared" ca="1" si="143"/>
        <v>Zhou Xiao Pin</v>
      </c>
      <c r="E495" t="str" cm="1">
        <f t="array" aca="1" ref="E495" ca="1">INDIRECT(ADDRESS(RANDBETWEEN(2,16),7,1,1,"valueBase"))</f>
        <v>男性</v>
      </c>
      <c r="F495" s="5">
        <f t="shared" ca="1" si="138"/>
        <v>32581</v>
      </c>
      <c r="G495" s="5">
        <f t="shared" ca="1" si="139"/>
        <v>42381</v>
      </c>
      <c r="H495" s="5">
        <f t="shared" ca="1" si="140"/>
        <v>43476</v>
      </c>
      <c r="I495" t="str">
        <f t="shared" ca="1" si="120"/>
        <v>090-5001-1486</v>
      </c>
      <c r="J495" t="str">
        <f t="shared" ca="1" si="144"/>
        <v>Zhou_Xiao_Pin_42381@outlook.jp.co</v>
      </c>
      <c r="K495" t="str">
        <f t="shared" ca="1" si="122"/>
        <v>普通</v>
      </c>
      <c r="L495" t="str">
        <f t="shared" ca="1" si="123"/>
        <v>有り</v>
      </c>
      <c r="M495" t="str">
        <f t="shared" ca="1" si="145"/>
        <v>5%</v>
      </c>
      <c r="N495" t="str">
        <f t="shared" ca="1" si="125"/>
        <v>有り</v>
      </c>
      <c r="O495">
        <f t="shared" ca="1" si="126"/>
        <v>93</v>
      </c>
      <c r="R495">
        <f t="shared" ca="1" si="127"/>
        <v>10</v>
      </c>
      <c r="S495">
        <f t="shared" ca="1" si="128"/>
        <v>39</v>
      </c>
      <c r="T495">
        <f t="shared" ca="1" si="129"/>
        <v>1990</v>
      </c>
      <c r="U495">
        <f t="shared" ca="1" si="130"/>
        <v>2001</v>
      </c>
      <c r="V495">
        <f t="shared" ca="1" si="131"/>
        <v>10</v>
      </c>
      <c r="W495">
        <f t="shared" ca="1" si="132"/>
        <v>30</v>
      </c>
    </row>
    <row r="496" spans="1:23">
      <c r="A496" t="s">
        <v>1616</v>
      </c>
      <c r="B496" t="str">
        <f t="shared" ca="1" si="141"/>
        <v>劉複仟</v>
      </c>
      <c r="C496" t="str">
        <f t="shared" ca="1" si="142"/>
        <v>ﾘｳ ﾌｩ ﾁｴﾝ</v>
      </c>
      <c r="D496" t="str">
        <f t="shared" ca="1" si="143"/>
        <v>Liu Fu Qian</v>
      </c>
      <c r="E496" t="str" cm="1">
        <f t="array" aca="1" ref="E496" ca="1">INDIRECT(ADDRESS(RANDBETWEEN(2,16),7,1,1,"valueBase"))</f>
        <v>女性</v>
      </c>
      <c r="F496" s="5">
        <f t="shared" ca="1" si="138"/>
        <v>29420</v>
      </c>
      <c r="G496" s="5">
        <f t="shared" ca="1" si="139"/>
        <v>42125</v>
      </c>
      <c r="H496" s="5">
        <f t="shared" ca="1" si="140"/>
        <v>42855</v>
      </c>
      <c r="I496" t="str">
        <f t="shared" ca="1" si="120"/>
        <v>090-9882-5827</v>
      </c>
      <c r="J496" t="str">
        <f t="shared" ca="1" si="144"/>
        <v>Liu_Fu_Qian_42125@outlook.jp.co</v>
      </c>
      <c r="K496" t="str">
        <f t="shared" ca="1" si="122"/>
        <v>高級</v>
      </c>
      <c r="L496" t="str">
        <f t="shared" ca="1" si="123"/>
        <v>有り</v>
      </c>
      <c r="M496" t="str">
        <f t="shared" ca="1" si="145"/>
        <v>10%</v>
      </c>
      <c r="N496" t="str">
        <f t="shared" ca="1" si="125"/>
        <v>有り</v>
      </c>
      <c r="O496">
        <f t="shared" ca="1" si="126"/>
        <v>2</v>
      </c>
      <c r="R496">
        <f t="shared" ca="1" si="127"/>
        <v>5</v>
      </c>
      <c r="S496">
        <f t="shared" ca="1" si="128"/>
        <v>175</v>
      </c>
      <c r="T496">
        <f t="shared" ca="1" si="129"/>
        <v>1973</v>
      </c>
      <c r="U496">
        <f t="shared" ca="1" si="130"/>
        <v>1974</v>
      </c>
      <c r="V496">
        <f t="shared" ca="1" si="131"/>
        <v>10</v>
      </c>
      <c r="W496">
        <f t="shared" ca="1" si="132"/>
        <v>21</v>
      </c>
    </row>
    <row r="497" spans="1:23">
      <c r="A497" t="s">
        <v>1617</v>
      </c>
      <c r="B497" t="str">
        <f t="shared" ca="1" si="141"/>
        <v>李靜耿</v>
      </c>
      <c r="C497" t="str">
        <f t="shared" ca="1" si="142"/>
        <v>ﾘｰ ｼﾞｰﾝ ｸﾞｵﾝ</v>
      </c>
      <c r="D497" t="str">
        <f t="shared" ca="1" si="143"/>
        <v>Li Jing Geng</v>
      </c>
      <c r="E497" t="str" cm="1">
        <f t="array" aca="1" ref="E497" ca="1">INDIRECT(ADDRESS(RANDBETWEEN(2,16),7,1,1,"valueBase"))</f>
        <v>男性</v>
      </c>
      <c r="F497" s="5">
        <f t="shared" ca="1" si="138"/>
        <v>30768</v>
      </c>
      <c r="G497" s="5">
        <f t="shared" ca="1" si="139"/>
        <v>42267</v>
      </c>
      <c r="H497" s="5">
        <f t="shared" ca="1" si="140"/>
        <v>42997</v>
      </c>
      <c r="I497" t="str">
        <f t="shared" ca="1" si="120"/>
        <v>090-1661-3898</v>
      </c>
      <c r="J497" t="str">
        <f t="shared" ca="1" si="144"/>
        <v>Li_Jing_Geng_42267@outlook.jp.co</v>
      </c>
      <c r="K497" t="str">
        <f t="shared" ca="1" si="122"/>
        <v>普通</v>
      </c>
      <c r="L497" t="str">
        <f t="shared" ca="1" si="123"/>
        <v>有り</v>
      </c>
      <c r="M497" t="str">
        <f t="shared" ca="1" si="145"/>
        <v>5%</v>
      </c>
      <c r="N497" t="str">
        <f t="shared" ca="1" si="125"/>
        <v>有り</v>
      </c>
      <c r="O497">
        <f t="shared" ca="1" si="126"/>
        <v>704</v>
      </c>
      <c r="R497">
        <f t="shared" ca="1" si="127"/>
        <v>2</v>
      </c>
      <c r="S497">
        <f t="shared" ca="1" si="128"/>
        <v>5</v>
      </c>
      <c r="T497">
        <f t="shared" ca="1" si="129"/>
        <v>2004</v>
      </c>
      <c r="U497">
        <f t="shared" ca="1" si="130"/>
        <v>2015</v>
      </c>
      <c r="V497">
        <f t="shared" ca="1" si="131"/>
        <v>1</v>
      </c>
      <c r="W497">
        <f t="shared" ca="1" si="132"/>
        <v>6</v>
      </c>
    </row>
    <row r="498" spans="1:23">
      <c r="A498" t="s">
        <v>1618</v>
      </c>
      <c r="B498" t="str">
        <f t="shared" ca="1" si="141"/>
        <v>趙奧常</v>
      </c>
      <c r="C498" t="str">
        <f t="shared" ca="1" si="142"/>
        <v>ｼﾞｬｵ ｱｵ ﾁｬｰﾝ</v>
      </c>
      <c r="D498" t="str">
        <f t="shared" ca="1" si="143"/>
        <v>Zhao Ao Chang</v>
      </c>
      <c r="E498" t="str" cm="1">
        <f t="array" aca="1" ref="E498" ca="1">INDIRECT(ADDRESS(RANDBETWEEN(2,16),7,1,1,"valueBase"))</f>
        <v>女性</v>
      </c>
      <c r="F498" s="5">
        <f t="shared" ca="1" si="138"/>
        <v>27102</v>
      </c>
      <c r="G498" s="5">
        <f t="shared" ca="1" si="139"/>
        <v>39486</v>
      </c>
      <c r="H498" s="5">
        <f t="shared" ca="1" si="140"/>
        <v>40216</v>
      </c>
      <c r="I498" t="str">
        <f t="shared" ca="1" si="120"/>
        <v>090-2308-5523</v>
      </c>
      <c r="J498" t="str">
        <f t="shared" ca="1" si="144"/>
        <v>Zhao_Ao_Chang_39486@outlook.jp.co</v>
      </c>
      <c r="K498" t="str">
        <f t="shared" ca="1" si="122"/>
        <v>普通</v>
      </c>
      <c r="L498" t="str">
        <f t="shared" ca="1" si="123"/>
        <v>有り</v>
      </c>
      <c r="M498" t="str">
        <f t="shared" ca="1" si="145"/>
        <v>5%</v>
      </c>
      <c r="N498" t="str">
        <f t="shared" ca="1" si="125"/>
        <v>有り</v>
      </c>
      <c r="O498">
        <f t="shared" ca="1" si="126"/>
        <v>541</v>
      </c>
      <c r="R498">
        <f t="shared" ca="1" si="127"/>
        <v>8</v>
      </c>
      <c r="S498">
        <f t="shared" ca="1" si="128"/>
        <v>178</v>
      </c>
      <c r="T498">
        <f t="shared" ca="1" si="129"/>
        <v>1993</v>
      </c>
      <c r="U498">
        <f t="shared" ca="1" si="130"/>
        <v>2002</v>
      </c>
      <c r="V498">
        <f t="shared" ca="1" si="131"/>
        <v>10</v>
      </c>
      <c r="W498">
        <f t="shared" ca="1" si="132"/>
        <v>29</v>
      </c>
    </row>
    <row r="499" spans="1:23">
      <c r="A499" t="s">
        <v>1619</v>
      </c>
      <c r="B499" t="str">
        <f t="shared" ca="1" si="141"/>
        <v>劉孝宏</v>
      </c>
      <c r="C499" t="str">
        <f t="shared" ca="1" si="142"/>
        <v>ﾘｳ ｼﾔｵ ﾎｰﾝ</v>
      </c>
      <c r="D499" t="str">
        <f t="shared" ca="1" si="143"/>
        <v>Liu Xiao Hong</v>
      </c>
      <c r="E499" t="str" cm="1">
        <f t="array" aca="1" ref="E499" ca="1">INDIRECT(ADDRESS(RANDBETWEEN(2,16),7,1,1,"valueBase"))</f>
        <v>女性</v>
      </c>
      <c r="F499" s="5">
        <f t="shared" ca="1" si="138"/>
        <v>22102</v>
      </c>
      <c r="G499" s="5">
        <f t="shared" ca="1" si="139"/>
        <v>39052</v>
      </c>
      <c r="H499" s="5">
        <f t="shared" ca="1" si="140"/>
        <v>40147</v>
      </c>
      <c r="I499" t="str">
        <f t="shared" ca="1" si="120"/>
        <v>080-5548-4307</v>
      </c>
      <c r="J499" t="str">
        <f t="shared" ca="1" si="144"/>
        <v>Liu_Xiao_Hong_39052@outlook.jp.co</v>
      </c>
      <c r="K499" t="str">
        <f t="shared" ca="1" si="122"/>
        <v>高級</v>
      </c>
      <c r="L499" t="str">
        <f t="shared" ca="1" si="123"/>
        <v>有り</v>
      </c>
      <c r="M499" t="str">
        <f t="shared" ca="1" si="145"/>
        <v>10%</v>
      </c>
      <c r="N499" t="str">
        <f t="shared" ca="1" si="125"/>
        <v>有り</v>
      </c>
      <c r="O499">
        <f t="shared" ca="1" si="126"/>
        <v>880</v>
      </c>
      <c r="R499">
        <f t="shared" ca="1" si="127"/>
        <v>5</v>
      </c>
      <c r="S499">
        <f t="shared" ca="1" si="128"/>
        <v>120</v>
      </c>
      <c r="T499">
        <f t="shared" ca="1" si="129"/>
        <v>2004</v>
      </c>
      <c r="U499">
        <f t="shared" ca="1" si="130"/>
        <v>2008</v>
      </c>
      <c r="V499">
        <f t="shared" ca="1" si="131"/>
        <v>1</v>
      </c>
      <c r="W499">
        <f t="shared" ca="1" si="132"/>
        <v>26</v>
      </c>
    </row>
    <row r="500" spans="1:23">
      <c r="A500" t="s">
        <v>1620</v>
      </c>
      <c r="B500" t="str">
        <f t="shared" ca="1" si="141"/>
        <v>張協銘</v>
      </c>
      <c r="C500" t="str">
        <f t="shared" ca="1" si="142"/>
        <v>ｼﾞｬｰﾝ ｼｴ ﾐｰﾝ</v>
      </c>
      <c r="D500" t="str">
        <f t="shared" ca="1" si="143"/>
        <v>Zhang Xie Ming</v>
      </c>
      <c r="E500" t="str" cm="1">
        <f t="array" aca="1" ref="E500" ca="1">INDIRECT(ADDRESS(RANDBETWEEN(2,16),7,1,1,"valueBase"))</f>
        <v>女性</v>
      </c>
      <c r="F500" s="5">
        <f t="shared" ca="1" si="138"/>
        <v>26200</v>
      </c>
      <c r="G500" s="5">
        <f t="shared" ca="1" si="139"/>
        <v>38578</v>
      </c>
      <c r="H500" s="5">
        <f t="shared" ca="1" si="140"/>
        <v>39308</v>
      </c>
      <c r="I500" t="str">
        <f t="shared" ca="1" si="120"/>
        <v>080-7430-5743</v>
      </c>
      <c r="J500" t="str">
        <f t="shared" ca="1" si="144"/>
        <v>Zhang_Xie_Ming_38578@outlook.jp.co</v>
      </c>
      <c r="K500" t="str">
        <f t="shared" ca="1" si="122"/>
        <v>普通</v>
      </c>
      <c r="L500" t="str">
        <f t="shared" ca="1" si="123"/>
        <v>有り</v>
      </c>
      <c r="M500" t="str">
        <f t="shared" ca="1" si="145"/>
        <v>5%</v>
      </c>
      <c r="N500" t="str">
        <f t="shared" ca="1" si="125"/>
        <v>有り</v>
      </c>
      <c r="O500">
        <f t="shared" ca="1" si="126"/>
        <v>297</v>
      </c>
      <c r="R500">
        <f t="shared" ca="1" si="127"/>
        <v>4</v>
      </c>
      <c r="S500">
        <f t="shared" ca="1" si="128"/>
        <v>225</v>
      </c>
      <c r="T500">
        <f t="shared" ca="1" si="129"/>
        <v>1984</v>
      </c>
      <c r="U500">
        <f t="shared" ca="1" si="130"/>
        <v>1990</v>
      </c>
      <c r="V500">
        <f t="shared" ca="1" si="131"/>
        <v>10</v>
      </c>
      <c r="W500">
        <f t="shared" ca="1" si="132"/>
        <v>13</v>
      </c>
    </row>
    <row r="501" spans="1:23">
      <c r="A501" t="s">
        <v>1621</v>
      </c>
      <c r="B501" t="str">
        <f t="shared" ca="1" si="141"/>
        <v>于致複</v>
      </c>
      <c r="C501" t="str">
        <f t="shared" ca="1" si="142"/>
        <v>ﾕｲ ｼﾞｰ ﾌｩ</v>
      </c>
      <c r="D501" t="str">
        <f t="shared" ca="1" si="143"/>
        <v>Yu Zhi Fu</v>
      </c>
      <c r="E501" t="str" cm="1">
        <f t="array" aca="1" ref="E501" ca="1">INDIRECT(ADDRESS(RANDBETWEEN(2,16),7,1,1,"valueBase"))</f>
        <v>男性</v>
      </c>
      <c r="F501" s="5">
        <f t="shared" ca="1" si="138"/>
        <v>38402</v>
      </c>
      <c r="G501" s="5">
        <f t="shared" ca="1" si="139"/>
        <v>45013</v>
      </c>
      <c r="H501" s="5">
        <f t="shared" ca="1" si="140"/>
        <v>45378</v>
      </c>
      <c r="I501" t="str">
        <f t="shared" ca="1" si="120"/>
        <v>090-1852-7835</v>
      </c>
      <c r="J501" t="str">
        <f t="shared" ca="1" si="144"/>
        <v>Yu_Zhi_Fu_45013@outlook.jp.co</v>
      </c>
      <c r="K501" t="str">
        <f t="shared" ca="1" si="122"/>
        <v>高級</v>
      </c>
      <c r="L501" t="str">
        <f t="shared" ca="1" si="123"/>
        <v>有り</v>
      </c>
      <c r="M501" t="str">
        <f t="shared" ca="1" si="145"/>
        <v>10%</v>
      </c>
      <c r="N501" t="str">
        <f t="shared" ca="1" si="125"/>
        <v>有り</v>
      </c>
      <c r="O501">
        <f t="shared" ca="1" si="126"/>
        <v>403</v>
      </c>
      <c r="R501">
        <f t="shared" ca="1" si="127"/>
        <v>29</v>
      </c>
      <c r="S501">
        <f t="shared" ca="1" si="128"/>
        <v>79</v>
      </c>
      <c r="T501">
        <f t="shared" ca="1" si="129"/>
        <v>1979</v>
      </c>
      <c r="U501">
        <f t="shared" ca="1" si="130"/>
        <v>1986</v>
      </c>
      <c r="V501">
        <f t="shared" ca="1" si="131"/>
        <v>3</v>
      </c>
      <c r="W501">
        <f t="shared" ca="1" si="132"/>
        <v>12</v>
      </c>
    </row>
    <row r="502" spans="1:23">
      <c r="A502" t="s">
        <v>1622</v>
      </c>
      <c r="B502" t="str">
        <f t="shared" ca="1" si="141"/>
        <v>馬超鈺</v>
      </c>
      <c r="C502" t="str">
        <f t="shared" ca="1" si="142"/>
        <v>ﾏｰ ﾁｬｵ ﾕｲ</v>
      </c>
      <c r="D502" t="str">
        <f t="shared" ca="1" si="143"/>
        <v>Ma Chao Yu</v>
      </c>
      <c r="E502" t="str" cm="1">
        <f t="array" aca="1" ref="E502" ca="1">INDIRECT(ADDRESS(RANDBETWEEN(2,16),7,1,1,"valueBase"))</f>
        <v>男性</v>
      </c>
      <c r="F502" s="5">
        <f t="shared" ca="1" si="138"/>
        <v>28379</v>
      </c>
      <c r="G502" s="5">
        <f t="shared" ca="1" si="139"/>
        <v>37807</v>
      </c>
      <c r="H502" s="5">
        <f t="shared" ca="1" si="140"/>
        <v>38172</v>
      </c>
      <c r="I502" t="str">
        <f t="shared" ca="1" si="120"/>
        <v>080-5892-0528</v>
      </c>
      <c r="J502" t="str">
        <f t="shared" ca="1" si="144"/>
        <v>Ma_Chao_Yu_37807@outlook.jp.co</v>
      </c>
      <c r="K502" t="str">
        <f t="shared" ca="1" si="122"/>
        <v>高級</v>
      </c>
      <c r="L502" t="str">
        <f t="shared" ca="1" si="123"/>
        <v>有り</v>
      </c>
      <c r="M502" t="str">
        <f t="shared" ca="1" si="145"/>
        <v>10%</v>
      </c>
      <c r="N502" t="str">
        <f t="shared" ca="1" si="125"/>
        <v>有り</v>
      </c>
      <c r="O502">
        <f t="shared" ca="1" si="126"/>
        <v>969</v>
      </c>
      <c r="R502">
        <f t="shared" ca="1" si="127"/>
        <v>20</v>
      </c>
      <c r="S502">
        <f t="shared" ca="1" si="128"/>
        <v>52</v>
      </c>
      <c r="T502">
        <f t="shared" ca="1" si="129"/>
        <v>1993</v>
      </c>
      <c r="U502">
        <f t="shared" ca="1" si="130"/>
        <v>2005</v>
      </c>
      <c r="V502">
        <f t="shared" ca="1" si="131"/>
        <v>4</v>
      </c>
      <c r="W502">
        <f t="shared" ca="1" si="132"/>
        <v>18</v>
      </c>
    </row>
    <row r="503" spans="1:23">
      <c r="A503" t="s">
        <v>1623</v>
      </c>
      <c r="B503" t="str">
        <f t="shared" ca="1" si="141"/>
        <v>黃濱媛</v>
      </c>
      <c r="C503" t="str">
        <f t="shared" ca="1" si="142"/>
        <v>ﾎﾜｰﾝ ﾋﾞﾝ ﾕｴﾝ</v>
      </c>
      <c r="D503" t="str">
        <f t="shared" ca="1" si="143"/>
        <v>Huang Bin Yuan</v>
      </c>
      <c r="E503" t="str" cm="1">
        <f t="array" aca="1" ref="E503" ca="1">INDIRECT(ADDRESS(RANDBETWEEN(2,16),7,1,1,"valueBase"))</f>
        <v>男性</v>
      </c>
      <c r="F503" s="5">
        <f t="shared" ca="1" si="138"/>
        <v>31511</v>
      </c>
      <c r="G503" s="5">
        <f t="shared" ca="1" si="139"/>
        <v>38921</v>
      </c>
      <c r="H503" s="5">
        <f t="shared" ca="1" si="140"/>
        <v>39651</v>
      </c>
      <c r="I503" t="str">
        <f t="shared" ca="1" si="120"/>
        <v>080-7664-4452</v>
      </c>
      <c r="J503" t="str">
        <f t="shared" ca="1" si="144"/>
        <v>Huang_Bin_Yuan_38921@outlook.jp.co</v>
      </c>
      <c r="K503" t="str">
        <f t="shared" ca="1" si="122"/>
        <v>普通</v>
      </c>
      <c r="L503" t="str">
        <f t="shared" ca="1" si="123"/>
        <v>-</v>
      </c>
      <c r="M503" t="str">
        <f t="shared" ca="1" si="145"/>
        <v>-</v>
      </c>
      <c r="N503" t="str">
        <f t="shared" ca="1" si="125"/>
        <v>-</v>
      </c>
      <c r="O503" t="str">
        <f t="shared" ca="1" si="126"/>
        <v>-</v>
      </c>
      <c r="R503">
        <f t="shared" ca="1" si="127"/>
        <v>9</v>
      </c>
      <c r="S503">
        <f t="shared" ca="1" si="128"/>
        <v>251</v>
      </c>
      <c r="T503">
        <f t="shared" ca="1" si="129"/>
        <v>1971</v>
      </c>
      <c r="U503">
        <f t="shared" ca="1" si="130"/>
        <v>1979</v>
      </c>
      <c r="V503">
        <f t="shared" ca="1" si="131"/>
        <v>8</v>
      </c>
      <c r="W503">
        <f t="shared" ca="1" si="132"/>
        <v>30</v>
      </c>
    </row>
    <row r="504" spans="1:23">
      <c r="A504" t="s">
        <v>1624</v>
      </c>
      <c r="B504" t="str">
        <f t="shared" ca="1" si="141"/>
        <v>孫冰夢</v>
      </c>
      <c r="C504" t="str">
        <f t="shared" ca="1" si="142"/>
        <v>ｽｩﾝ ﾋﾞｰﾝ ﾑｵﾝ</v>
      </c>
      <c r="D504" t="str">
        <f t="shared" ca="1" si="143"/>
        <v>Sun Bing Meng</v>
      </c>
      <c r="E504" t="str" cm="1">
        <f t="array" aca="1" ref="E504" ca="1">INDIRECT(ADDRESS(RANDBETWEEN(2,16),7,1,1,"valueBase"))</f>
        <v>女性</v>
      </c>
      <c r="F504" s="5">
        <f t="shared" ca="1" si="138"/>
        <v>33125</v>
      </c>
      <c r="G504" s="5">
        <f t="shared" ca="1" si="139"/>
        <v>41787</v>
      </c>
      <c r="H504" s="5">
        <f t="shared" ca="1" si="140"/>
        <v>42517</v>
      </c>
      <c r="I504" t="str">
        <f t="shared" ca="1" si="120"/>
        <v>080-3533-0974</v>
      </c>
      <c r="J504" t="str">
        <f t="shared" ca="1" si="144"/>
        <v>Sun_Bing_Meng_41787@outlook.jp.co</v>
      </c>
      <c r="K504" t="str">
        <f t="shared" ca="1" si="122"/>
        <v>普通</v>
      </c>
      <c r="L504" t="str">
        <f t="shared" ca="1" si="123"/>
        <v>-</v>
      </c>
      <c r="M504" t="str">
        <f t="shared" ca="1" si="145"/>
        <v>-</v>
      </c>
      <c r="N504" t="str">
        <f t="shared" ca="1" si="125"/>
        <v>有り</v>
      </c>
      <c r="O504">
        <f t="shared" ca="1" si="126"/>
        <v>388</v>
      </c>
      <c r="R504">
        <f t="shared" ca="1" si="127"/>
        <v>13</v>
      </c>
      <c r="S504">
        <f t="shared" ca="1" si="128"/>
        <v>136</v>
      </c>
      <c r="T504">
        <f t="shared" ca="1" si="129"/>
        <v>2004</v>
      </c>
      <c r="U504">
        <f t="shared" ca="1" si="130"/>
        <v>2005</v>
      </c>
      <c r="V504">
        <f t="shared" ca="1" si="131"/>
        <v>5</v>
      </c>
      <c r="W504">
        <f t="shared" ca="1" si="132"/>
        <v>16</v>
      </c>
    </row>
    <row r="505" spans="1:23">
      <c r="A505" t="s">
        <v>1625</v>
      </c>
      <c r="B505" t="str">
        <f t="shared" ca="1" si="141"/>
        <v>唐碧漢</v>
      </c>
      <c r="C505" t="str">
        <f t="shared" ca="1" si="142"/>
        <v>ﾀｰﾝ ﾋﾞｰ ﾊﾝ</v>
      </c>
      <c r="D505" t="str">
        <f t="shared" ca="1" si="143"/>
        <v>Tang Bi Han</v>
      </c>
      <c r="E505" t="str" cm="1">
        <f t="array" aca="1" ref="E505" ca="1">INDIRECT(ADDRESS(RANDBETWEEN(2,16),7,1,1,"valueBase"))</f>
        <v>男性</v>
      </c>
      <c r="F505" s="5">
        <f t="shared" ca="1" si="138"/>
        <v>38622</v>
      </c>
      <c r="G505" s="5">
        <f t="shared" ca="1" si="139"/>
        <v>45235</v>
      </c>
      <c r="H505" s="5">
        <f t="shared" ca="1" si="140"/>
        <v>45965</v>
      </c>
      <c r="I505" t="str">
        <f t="shared" ca="1" si="120"/>
        <v>080-8248-9021</v>
      </c>
      <c r="J505" t="str">
        <f t="shared" ca="1" si="144"/>
        <v>Tang_Bi_Han_45235@outlook.jp.co</v>
      </c>
      <c r="K505" t="str">
        <f t="shared" ca="1" si="122"/>
        <v>高級</v>
      </c>
      <c r="L505" t="str">
        <f t="shared" ca="1" si="123"/>
        <v>有り</v>
      </c>
      <c r="M505" t="str">
        <f t="shared" ca="1" si="145"/>
        <v>10%</v>
      </c>
      <c r="N505" t="str">
        <f t="shared" ca="1" si="125"/>
        <v>有り</v>
      </c>
      <c r="O505">
        <f t="shared" ca="1" si="126"/>
        <v>217</v>
      </c>
      <c r="R505">
        <f t="shared" ca="1" si="127"/>
        <v>27</v>
      </c>
      <c r="S505">
        <f t="shared" ca="1" si="128"/>
        <v>294</v>
      </c>
      <c r="T505">
        <f t="shared" ca="1" si="129"/>
        <v>2000</v>
      </c>
      <c r="U505">
        <f t="shared" ca="1" si="130"/>
        <v>2004</v>
      </c>
      <c r="V505">
        <f t="shared" ca="1" si="131"/>
        <v>1</v>
      </c>
      <c r="W505">
        <f t="shared" ca="1" si="132"/>
        <v>3</v>
      </c>
    </row>
    <row r="506" spans="1:23">
      <c r="A506" t="s">
        <v>1626</v>
      </c>
      <c r="B506" t="str">
        <f t="shared" ca="1" si="141"/>
        <v>吳林會</v>
      </c>
      <c r="C506" t="str">
        <f t="shared" ca="1" si="142"/>
        <v>ｳｰ ﾘﾝ ﾎｩｲ</v>
      </c>
      <c r="D506" t="str">
        <f t="shared" ca="1" si="143"/>
        <v>Wu Lin Hui</v>
      </c>
      <c r="E506" t="str" cm="1">
        <f t="array" aca="1" ref="E506" ca="1">INDIRECT(ADDRESS(RANDBETWEEN(2,16),7,1,1,"valueBase"))</f>
        <v>-</v>
      </c>
      <c r="F506" s="5">
        <f t="shared" ca="1" si="138"/>
        <v>32661</v>
      </c>
      <c r="G506" s="5">
        <f t="shared" ca="1" si="139"/>
        <v>39344</v>
      </c>
      <c r="H506" s="5">
        <f t="shared" ca="1" si="140"/>
        <v>40439</v>
      </c>
      <c r="I506" t="str">
        <f t="shared" ca="1" si="120"/>
        <v>080-6301-5532</v>
      </c>
      <c r="J506" t="str">
        <f t="shared" ca="1" si="144"/>
        <v>Wu_Lin Hui_39344@outlook.jp.co</v>
      </c>
      <c r="K506" t="str">
        <f t="shared" ca="1" si="122"/>
        <v>高級</v>
      </c>
      <c r="L506" t="str">
        <f t="shared" ca="1" si="123"/>
        <v>有り</v>
      </c>
      <c r="M506" t="str">
        <f t="shared" ca="1" si="145"/>
        <v>10%</v>
      </c>
      <c r="N506" t="str">
        <f t="shared" ca="1" si="125"/>
        <v>有り</v>
      </c>
      <c r="O506">
        <f t="shared" ca="1" si="126"/>
        <v>956</v>
      </c>
      <c r="R506">
        <f t="shared" ca="1" si="127"/>
        <v>11</v>
      </c>
      <c r="S506">
        <f t="shared" ca="1" si="128"/>
        <v>250</v>
      </c>
      <c r="T506">
        <f t="shared" ca="1" si="129"/>
        <v>1980</v>
      </c>
      <c r="U506">
        <f t="shared" ca="1" si="130"/>
        <v>1989</v>
      </c>
      <c r="V506">
        <f t="shared" ca="1" si="131"/>
        <v>3</v>
      </c>
      <c r="W506">
        <f t="shared" ca="1" si="132"/>
        <v>5</v>
      </c>
    </row>
    <row r="507" spans="1:23">
      <c r="A507" t="s">
        <v>1627</v>
      </c>
      <c r="B507" t="str">
        <f t="shared" ca="1" si="141"/>
        <v>趙忠本</v>
      </c>
      <c r="C507" t="str">
        <f t="shared" ca="1" si="142"/>
        <v>ｼﾞｬｵ ｼﾞｮｰﾝ ﾍﾞﾝ</v>
      </c>
      <c r="D507" t="str">
        <f t="shared" ca="1" si="143"/>
        <v>Zhao Zhong Ben</v>
      </c>
      <c r="E507" t="str" cm="1">
        <f t="array" aca="1" ref="E507" ca="1">INDIRECT(ADDRESS(RANDBETWEEN(2,16),7,1,1,"valueBase"))</f>
        <v>男性</v>
      </c>
      <c r="F507" s="5">
        <f t="shared" ca="1" si="138"/>
        <v>24528</v>
      </c>
      <c r="G507" s="5">
        <f t="shared" ca="1" si="139"/>
        <v>38832</v>
      </c>
      <c r="H507" s="5">
        <f t="shared" ca="1" si="140"/>
        <v>39927</v>
      </c>
      <c r="I507" t="str">
        <f t="shared" ca="1" si="120"/>
        <v>090-4263-3529</v>
      </c>
      <c r="J507" t="str">
        <f t="shared" ca="1" si="144"/>
        <v>Zhao_Zhong_Ben_38832@outlook.jp.co</v>
      </c>
      <c r="K507" t="str">
        <f t="shared" ca="1" si="122"/>
        <v>普通</v>
      </c>
      <c r="L507" t="str">
        <f t="shared" ca="1" si="123"/>
        <v>有り</v>
      </c>
      <c r="M507" t="str">
        <f t="shared" ca="1" si="145"/>
        <v>5%</v>
      </c>
      <c r="N507" t="str">
        <f t="shared" ca="1" si="125"/>
        <v>有り</v>
      </c>
      <c r="O507">
        <f t="shared" ca="1" si="126"/>
        <v>494</v>
      </c>
      <c r="R507">
        <f t="shared" ca="1" si="127"/>
        <v>8</v>
      </c>
      <c r="S507">
        <f t="shared" ca="1" si="128"/>
        <v>212</v>
      </c>
      <c r="T507">
        <f t="shared" ca="1" si="129"/>
        <v>1972</v>
      </c>
      <c r="U507">
        <f t="shared" ca="1" si="130"/>
        <v>1977</v>
      </c>
      <c r="V507">
        <f t="shared" ca="1" si="131"/>
        <v>2</v>
      </c>
      <c r="W507">
        <f t="shared" ca="1" si="132"/>
        <v>13</v>
      </c>
    </row>
    <row r="508" spans="1:23">
      <c r="A508" t="s">
        <v>1628</v>
      </c>
      <c r="B508" t="str">
        <f t="shared" ca="1" si="141"/>
        <v>梁晟輝</v>
      </c>
      <c r="C508" t="str">
        <f t="shared" ca="1" si="142"/>
        <v>ﾘﾔｰﾝ ｼｭﾖﾝ ﾎｩｲ</v>
      </c>
      <c r="D508" t="str">
        <f t="shared" ca="1" si="143"/>
        <v>Liang Sheng Hui</v>
      </c>
      <c r="E508" t="str" cm="1">
        <f t="array" aca="1" ref="E508" ca="1">INDIRECT(ADDRESS(RANDBETWEEN(2,16),7,1,1,"valueBase"))</f>
        <v>女性</v>
      </c>
      <c r="F508" s="5">
        <f t="shared" ca="1" si="138"/>
        <v>31928</v>
      </c>
      <c r="G508" s="5">
        <f t="shared" ca="1" si="139"/>
        <v>39960</v>
      </c>
      <c r="H508" s="5">
        <f t="shared" ca="1" si="140"/>
        <v>40325</v>
      </c>
      <c r="I508" t="str">
        <f t="shared" ca="1" si="120"/>
        <v>090-1129-7644</v>
      </c>
      <c r="J508" t="str">
        <f t="shared" ca="1" si="144"/>
        <v>Liang_Sheng_Hui_39960@outlook.jp.co</v>
      </c>
      <c r="K508" t="str">
        <f t="shared" ca="1" si="122"/>
        <v>普通</v>
      </c>
      <c r="L508" t="str">
        <f t="shared" ca="1" si="123"/>
        <v>-</v>
      </c>
      <c r="M508" t="str">
        <f t="shared" ca="1" si="145"/>
        <v>-</v>
      </c>
      <c r="N508" t="str">
        <f t="shared" ca="1" si="125"/>
        <v>有り</v>
      </c>
      <c r="O508">
        <f t="shared" ca="1" si="126"/>
        <v>207</v>
      </c>
      <c r="R508">
        <f t="shared" ca="1" si="127"/>
        <v>22</v>
      </c>
      <c r="S508">
        <f t="shared" ca="1" si="128"/>
        <v>303</v>
      </c>
      <c r="T508">
        <f t="shared" ca="1" si="129"/>
        <v>1980</v>
      </c>
      <c r="U508">
        <f t="shared" ca="1" si="130"/>
        <v>1983</v>
      </c>
      <c r="V508">
        <f t="shared" ca="1" si="131"/>
        <v>12</v>
      </c>
      <c r="W508">
        <f t="shared" ca="1" si="132"/>
        <v>7</v>
      </c>
    </row>
    <row r="509" spans="1:23">
      <c r="A509" t="s">
        <v>1629</v>
      </c>
      <c r="B509" t="str">
        <f t="shared" ca="1" si="141"/>
        <v>何銀池</v>
      </c>
      <c r="C509" t="str">
        <f t="shared" ca="1" si="142"/>
        <v>ﾎｰｧ ｲﾝ ﾁｰ</v>
      </c>
      <c r="D509" t="str">
        <f t="shared" ca="1" si="143"/>
        <v>He Yin Chi</v>
      </c>
      <c r="E509" t="str" cm="1">
        <f t="array" aca="1" ref="E509" ca="1">INDIRECT(ADDRESS(RANDBETWEEN(2,16),7,1,1,"valueBase"))</f>
        <v>-</v>
      </c>
      <c r="F509" s="5">
        <f t="shared" ca="1" si="138"/>
        <v>33814</v>
      </c>
      <c r="G509" s="5">
        <f t="shared" ca="1" si="139"/>
        <v>40786</v>
      </c>
      <c r="H509" s="5">
        <f t="shared" ca="1" si="140"/>
        <v>41881</v>
      </c>
      <c r="I509" t="str">
        <f t="shared" ca="1" si="120"/>
        <v>090-6157-7508</v>
      </c>
      <c r="J509" t="str">
        <f t="shared" ca="1" si="144"/>
        <v>He_Yin_Chi_40786@outlook.jp.co</v>
      </c>
      <c r="K509" t="str">
        <f t="shared" ca="1" si="122"/>
        <v>普通</v>
      </c>
      <c r="L509" t="str">
        <f t="shared" ca="1" si="123"/>
        <v>有り</v>
      </c>
      <c r="M509" t="str">
        <f t="shared" ca="1" si="145"/>
        <v>5%</v>
      </c>
      <c r="N509" t="str">
        <f t="shared" ca="1" si="125"/>
        <v>-</v>
      </c>
      <c r="O509" t="str">
        <f t="shared" ca="1" si="126"/>
        <v>-</v>
      </c>
      <c r="R509">
        <f t="shared" ca="1" si="127"/>
        <v>18</v>
      </c>
      <c r="S509">
        <f t="shared" ca="1" si="128"/>
        <v>90</v>
      </c>
      <c r="T509">
        <f t="shared" ca="1" si="129"/>
        <v>2005</v>
      </c>
      <c r="U509">
        <f t="shared" ca="1" si="130"/>
        <v>2007</v>
      </c>
      <c r="V509">
        <f t="shared" ca="1" si="131"/>
        <v>11</v>
      </c>
      <c r="W509">
        <f t="shared" ca="1" si="132"/>
        <v>4</v>
      </c>
    </row>
    <row r="510" spans="1:23">
      <c r="A510" t="s">
        <v>1630</v>
      </c>
      <c r="B510" t="str">
        <f t="shared" ca="1" si="141"/>
        <v>陳茂韋</v>
      </c>
      <c r="C510" t="str">
        <f t="shared" ca="1" si="142"/>
        <v>ﾁｪﾝ ﾏｵ ｳｴｲ</v>
      </c>
      <c r="D510" t="str">
        <f t="shared" ca="1" si="143"/>
        <v>Chen Mao Wei</v>
      </c>
      <c r="E510" t="str" cm="1">
        <f t="array" aca="1" ref="E510" ca="1">INDIRECT(ADDRESS(RANDBETWEEN(2,16),7,1,1,"valueBase"))</f>
        <v>女性</v>
      </c>
      <c r="F510" s="5">
        <f t="shared" ca="1" si="138"/>
        <v>25465</v>
      </c>
      <c r="G510" s="5">
        <f t="shared" ca="1" si="139"/>
        <v>44330</v>
      </c>
      <c r="H510" s="5">
        <f t="shared" ca="1" si="140"/>
        <v>45060</v>
      </c>
      <c r="I510" t="str">
        <f t="shared" ca="1" si="120"/>
        <v>080-0784-8242</v>
      </c>
      <c r="J510" t="str">
        <f t="shared" ca="1" si="144"/>
        <v>Chen_Mao_Wei_44330@outlook.jp.co</v>
      </c>
      <c r="K510" t="str">
        <f t="shared" ca="1" si="122"/>
        <v>高級</v>
      </c>
      <c r="L510" t="str">
        <f t="shared" ca="1" si="123"/>
        <v>有り</v>
      </c>
      <c r="M510" t="str">
        <f t="shared" ca="1" si="145"/>
        <v>10%</v>
      </c>
      <c r="N510" t="str">
        <f t="shared" ca="1" si="125"/>
        <v>有り</v>
      </c>
      <c r="O510">
        <f t="shared" ca="1" si="126"/>
        <v>388</v>
      </c>
      <c r="R510">
        <f t="shared" ca="1" si="127"/>
        <v>6</v>
      </c>
      <c r="S510">
        <f t="shared" ca="1" si="128"/>
        <v>152</v>
      </c>
      <c r="T510">
        <f t="shared" ca="1" si="129"/>
        <v>1994</v>
      </c>
      <c r="U510">
        <f t="shared" ca="1" si="130"/>
        <v>1998</v>
      </c>
      <c r="V510">
        <f t="shared" ca="1" si="131"/>
        <v>1</v>
      </c>
      <c r="W510">
        <f t="shared" ca="1" si="132"/>
        <v>30</v>
      </c>
    </row>
    <row r="511" spans="1:23">
      <c r="A511" t="s">
        <v>1631</v>
      </c>
      <c r="B511" t="str">
        <f t="shared" ca="1" si="141"/>
        <v>徐索頻</v>
      </c>
      <c r="C511" t="str">
        <f t="shared" ca="1" si="142"/>
        <v>ｼｭｲ ｽｩｵ ﾋﾟﾝ</v>
      </c>
      <c r="D511" t="str">
        <f t="shared" ca="1" si="143"/>
        <v>Xu Suo Pin</v>
      </c>
      <c r="E511" t="str" cm="1">
        <f t="array" aca="1" ref="E511" ca="1">INDIRECT(ADDRESS(RANDBETWEEN(2,16),7,1,1,"valueBase"))</f>
        <v>男性</v>
      </c>
      <c r="F511" s="5">
        <f t="shared" ca="1" si="138"/>
        <v>23988</v>
      </c>
      <c r="G511" s="5">
        <f t="shared" ca="1" si="139"/>
        <v>31092</v>
      </c>
      <c r="H511" s="5">
        <f t="shared" ca="1" si="140"/>
        <v>32187</v>
      </c>
      <c r="I511" t="str">
        <f t="shared" ca="1" si="120"/>
        <v>090-8960-2347</v>
      </c>
      <c r="J511" t="str">
        <f t="shared" ca="1" si="144"/>
        <v>Xu_Suo_Pin_31092@outlook.jp.co</v>
      </c>
      <c r="K511" t="str">
        <f t="shared" ca="1" si="122"/>
        <v>普通</v>
      </c>
      <c r="L511" t="str">
        <f t="shared" ca="1" si="123"/>
        <v>有り</v>
      </c>
      <c r="M511" t="str">
        <f t="shared" ca="1" si="145"/>
        <v>5%</v>
      </c>
      <c r="N511" t="str">
        <f t="shared" ca="1" si="125"/>
        <v>有り</v>
      </c>
      <c r="O511">
        <f t="shared" ca="1" si="126"/>
        <v>340</v>
      </c>
      <c r="R511">
        <f t="shared" ca="1" si="127"/>
        <v>12</v>
      </c>
      <c r="S511">
        <f t="shared" ca="1" si="128"/>
        <v>58</v>
      </c>
      <c r="T511">
        <f t="shared" ca="1" si="129"/>
        <v>1984</v>
      </c>
      <c r="U511">
        <f t="shared" ca="1" si="130"/>
        <v>1986</v>
      </c>
      <c r="V511">
        <f t="shared" ca="1" si="131"/>
        <v>4</v>
      </c>
      <c r="W511">
        <f t="shared" ca="1" si="132"/>
        <v>27</v>
      </c>
    </row>
    <row r="512" spans="1:23">
      <c r="A512" t="s">
        <v>1632</v>
      </c>
      <c r="B512" t="str">
        <f t="shared" ca="1" si="141"/>
        <v>梁協曉</v>
      </c>
      <c r="C512" t="str">
        <f t="shared" ca="1" si="142"/>
        <v>ﾘﾔｰﾝ ｼｴ ｼﾔｵ</v>
      </c>
      <c r="D512" t="str">
        <f t="shared" ca="1" si="143"/>
        <v>Liang Xie Xiao</v>
      </c>
      <c r="E512" t="str" cm="1">
        <f t="array" aca="1" ref="E512" ca="1">INDIRECT(ADDRESS(RANDBETWEEN(2,16),7,1,1,"valueBase"))</f>
        <v>男性</v>
      </c>
      <c r="F512" s="5">
        <f t="shared" ca="1" si="138"/>
        <v>35902</v>
      </c>
      <c r="G512" s="5">
        <f t="shared" ca="1" si="139"/>
        <v>42956</v>
      </c>
      <c r="H512" s="5">
        <f t="shared" ca="1" si="140"/>
        <v>43686</v>
      </c>
      <c r="I512" t="str">
        <f t="shared" ca="1" si="120"/>
        <v>080-7318-1612</v>
      </c>
      <c r="J512" t="str">
        <f t="shared" ca="1" si="144"/>
        <v>Liang_Xie_Xiao_42956@outlook.jp.co</v>
      </c>
      <c r="K512" t="str">
        <f t="shared" ca="1" si="122"/>
        <v>普通</v>
      </c>
      <c r="L512" t="str">
        <f t="shared" ca="1" si="123"/>
        <v>有り</v>
      </c>
      <c r="M512" t="str">
        <f t="shared" ca="1" si="145"/>
        <v>5%</v>
      </c>
      <c r="N512" t="str">
        <f t="shared" ca="1" si="125"/>
        <v>有り</v>
      </c>
      <c r="O512">
        <f t="shared" ca="1" si="126"/>
        <v>586</v>
      </c>
      <c r="R512">
        <f t="shared" ca="1" si="127"/>
        <v>22</v>
      </c>
      <c r="S512">
        <f t="shared" ca="1" si="128"/>
        <v>111</v>
      </c>
      <c r="T512">
        <f t="shared" ca="1" si="129"/>
        <v>1972</v>
      </c>
      <c r="U512">
        <f t="shared" ca="1" si="130"/>
        <v>1976</v>
      </c>
      <c r="V512">
        <f t="shared" ca="1" si="131"/>
        <v>9</v>
      </c>
      <c r="W512">
        <f t="shared" ca="1" si="132"/>
        <v>26</v>
      </c>
    </row>
    <row r="513" spans="1:23">
      <c r="A513" t="s">
        <v>1633</v>
      </c>
      <c r="B513" t="str">
        <f t="shared" ca="1" si="141"/>
        <v>謝協曉</v>
      </c>
      <c r="C513" t="str">
        <f t="shared" ca="1" si="142"/>
        <v>ｼｴ ｼｴ ｼﾔｵ</v>
      </c>
      <c r="D513" t="str">
        <f t="shared" ca="1" si="143"/>
        <v>Xie Xie Xiao</v>
      </c>
      <c r="E513" t="str" cm="1">
        <f t="array" aca="1" ref="E513" ca="1">INDIRECT(ADDRESS(RANDBETWEEN(2,16),7,1,1,"valueBase"))</f>
        <v>女性</v>
      </c>
      <c r="F513" s="5">
        <f t="shared" ca="1" si="138"/>
        <v>26175</v>
      </c>
      <c r="G513" s="5">
        <f t="shared" ca="1" si="139"/>
        <v>32948</v>
      </c>
      <c r="H513" s="5">
        <f t="shared" ca="1" si="140"/>
        <v>33678</v>
      </c>
      <c r="I513" t="str">
        <f t="shared" ca="1" si="120"/>
        <v>080-3653-1172</v>
      </c>
      <c r="J513" t="str">
        <f t="shared" ca="1" si="144"/>
        <v>Xie_Xie_Xiao_32948@outlook.jp.co</v>
      </c>
      <c r="K513" t="str">
        <f t="shared" ca="1" si="122"/>
        <v>普通</v>
      </c>
      <c r="L513" t="str">
        <f t="shared" ca="1" si="123"/>
        <v>-</v>
      </c>
      <c r="M513" t="str">
        <f t="shared" ca="1" si="145"/>
        <v>-</v>
      </c>
      <c r="N513" t="str">
        <f t="shared" ca="1" si="125"/>
        <v>有り</v>
      </c>
      <c r="O513">
        <f t="shared" ca="1" si="126"/>
        <v>862</v>
      </c>
      <c r="R513">
        <f t="shared" ca="1" si="127"/>
        <v>25</v>
      </c>
      <c r="S513">
        <f t="shared" ca="1" si="128"/>
        <v>111</v>
      </c>
      <c r="T513">
        <f t="shared" ca="1" si="129"/>
        <v>1986</v>
      </c>
      <c r="U513">
        <f t="shared" ca="1" si="130"/>
        <v>1996</v>
      </c>
      <c r="V513">
        <f t="shared" ca="1" si="131"/>
        <v>8</v>
      </c>
      <c r="W513">
        <f t="shared" ca="1" si="132"/>
        <v>29</v>
      </c>
    </row>
    <row r="514" spans="1:23">
      <c r="A514" t="s">
        <v>1634</v>
      </c>
      <c r="B514" t="str">
        <f t="shared" ca="1" si="141"/>
        <v>宋銀營</v>
      </c>
      <c r="C514" t="str">
        <f t="shared" ca="1" si="142"/>
        <v>ｿｰﾝ ｲﾝ ｲｰﾝ</v>
      </c>
      <c r="D514" t="str">
        <f t="shared" ca="1" si="143"/>
        <v>Song Yin Ying</v>
      </c>
      <c r="E514" t="str" cm="1">
        <f t="array" aca="1" ref="E514" ca="1">INDIRECT(ADDRESS(RANDBETWEEN(2,16),7,1,1,"valueBase"))</f>
        <v>女性</v>
      </c>
      <c r="F514" s="5">
        <f t="shared" ca="1" si="138"/>
        <v>29747</v>
      </c>
      <c r="G514" s="5">
        <f t="shared" ca="1" si="139"/>
        <v>45393</v>
      </c>
      <c r="H514" s="5">
        <f t="shared" ca="1" si="140"/>
        <v>46488</v>
      </c>
      <c r="I514" t="str">
        <f t="shared" ca="1" si="120"/>
        <v>080-2722-3521</v>
      </c>
      <c r="J514" t="str">
        <f t="shared" ca="1" si="144"/>
        <v>Song_Yin_Ying_45393@outlook.jp.co</v>
      </c>
      <c r="K514" t="str">
        <f t="shared" ca="1" si="122"/>
        <v>高級</v>
      </c>
      <c r="L514" t="str">
        <f t="shared" ca="1" si="123"/>
        <v>有り</v>
      </c>
      <c r="M514" t="str">
        <f t="shared" ca="1" si="145"/>
        <v>10%</v>
      </c>
      <c r="N514" t="str">
        <f t="shared" ca="1" si="125"/>
        <v>有り</v>
      </c>
      <c r="O514">
        <f t="shared" ca="1" si="126"/>
        <v>489</v>
      </c>
      <c r="R514">
        <f t="shared" ca="1" si="127"/>
        <v>23</v>
      </c>
      <c r="S514">
        <f t="shared" ca="1" si="128"/>
        <v>257</v>
      </c>
      <c r="T514">
        <f t="shared" ca="1" si="129"/>
        <v>1983</v>
      </c>
      <c r="U514">
        <f t="shared" ca="1" si="130"/>
        <v>1991</v>
      </c>
      <c r="V514">
        <f t="shared" ca="1" si="131"/>
        <v>12</v>
      </c>
      <c r="W514">
        <f t="shared" ca="1" si="132"/>
        <v>31</v>
      </c>
    </row>
    <row r="515" spans="1:23">
      <c r="A515" t="s">
        <v>1635</v>
      </c>
      <c r="B515" t="str">
        <f t="shared" ca="1" si="141"/>
        <v>羅影雙</v>
      </c>
      <c r="C515" t="str">
        <f t="shared" ca="1" si="142"/>
        <v>ﾙｵ ｲｰﾝ ｼｭﾜｰﾝ</v>
      </c>
      <c r="D515" t="str">
        <f t="shared" ca="1" si="143"/>
        <v>Luo Ying Shuang</v>
      </c>
      <c r="E515" t="str" cm="1">
        <f t="array" aca="1" ref="E515" ca="1">INDIRECT(ADDRESS(RANDBETWEEN(2,16),7,1,1,"valueBase"))</f>
        <v>女性</v>
      </c>
      <c r="F515" s="5">
        <f t="shared" ref="F515:F578" ca="1" si="146">RANDBETWEEN(21916,NOW() - 6574)</f>
        <v>31135</v>
      </c>
      <c r="G515" s="5">
        <f t="shared" ref="G515:G578" ca="1" si="147">RANDBETWEEN(F515 + 6574,NOW())</f>
        <v>43539</v>
      </c>
      <c r="H515" s="5">
        <f t="shared" ref="H515:H578" ca="1" si="148">G515 + RANDBETWEEN(1,3) * 365</f>
        <v>43904</v>
      </c>
      <c r="I515" t="str">
        <f t="shared" ca="1" si="120"/>
        <v>080-4374-8714</v>
      </c>
      <c r="J515" t="str">
        <f t="shared" ca="1" si="144"/>
        <v>Luo_Ying_Shuang_43539@outlook.jp.co</v>
      </c>
      <c r="K515" t="str">
        <f t="shared" ca="1" si="122"/>
        <v>高級</v>
      </c>
      <c r="L515" t="str">
        <f t="shared" ca="1" si="123"/>
        <v>有り</v>
      </c>
      <c r="M515" t="str">
        <f t="shared" ca="1" si="145"/>
        <v>10%</v>
      </c>
      <c r="N515" t="str">
        <f t="shared" ca="1" si="125"/>
        <v>-</v>
      </c>
      <c r="O515" t="str">
        <f t="shared" ca="1" si="126"/>
        <v>-</v>
      </c>
      <c r="R515">
        <f t="shared" ca="1" si="127"/>
        <v>21</v>
      </c>
      <c r="S515">
        <f t="shared" ca="1" si="128"/>
        <v>323</v>
      </c>
      <c r="T515">
        <f t="shared" ca="1" si="129"/>
        <v>1997</v>
      </c>
      <c r="U515">
        <f t="shared" ca="1" si="130"/>
        <v>2002</v>
      </c>
      <c r="V515">
        <f t="shared" ca="1" si="131"/>
        <v>10</v>
      </c>
      <c r="W515">
        <f t="shared" ca="1" si="132"/>
        <v>22</v>
      </c>
    </row>
    <row r="516" spans="1:23">
      <c r="A516" t="s">
        <v>1636</v>
      </c>
      <c r="B516" t="str">
        <f t="shared" ca="1" si="141"/>
        <v>黃才雅</v>
      </c>
      <c r="C516" t="str">
        <f t="shared" ca="1" si="142"/>
        <v>ﾎﾜｰﾝ ﾂｧｲ ﾔｰ</v>
      </c>
      <c r="D516" t="str">
        <f t="shared" ca="1" si="143"/>
        <v>Huang Cai Ya</v>
      </c>
      <c r="E516" t="str" cm="1">
        <f t="array" aca="1" ref="E516" ca="1">INDIRECT(ADDRESS(RANDBETWEEN(2,16),7,1,1,"valueBase"))</f>
        <v>女性</v>
      </c>
      <c r="F516" s="5">
        <f t="shared" ca="1" si="146"/>
        <v>36402</v>
      </c>
      <c r="G516" s="5">
        <f t="shared" ca="1" si="147"/>
        <v>45121</v>
      </c>
      <c r="H516" s="5">
        <f t="shared" ca="1" si="148"/>
        <v>46216</v>
      </c>
      <c r="I516" t="str">
        <f t="shared" ca="1" si="120"/>
        <v>090-3769-4302</v>
      </c>
      <c r="J516" t="str">
        <f t="shared" ca="1" si="144"/>
        <v>Huang_Cai_Ya_45121@outlook.jp.co</v>
      </c>
      <c r="K516" t="str">
        <f t="shared" ca="1" si="122"/>
        <v>高級</v>
      </c>
      <c r="L516" t="str">
        <f t="shared" ca="1" si="123"/>
        <v>有り</v>
      </c>
      <c r="M516" t="str">
        <f t="shared" ca="1" si="145"/>
        <v>10%</v>
      </c>
      <c r="N516" t="str">
        <f t="shared" ca="1" si="125"/>
        <v>有り</v>
      </c>
      <c r="O516">
        <f t="shared" ca="1" si="126"/>
        <v>282</v>
      </c>
      <c r="R516">
        <f t="shared" ca="1" si="127"/>
        <v>9</v>
      </c>
      <c r="S516">
        <f t="shared" ca="1" si="128"/>
        <v>146</v>
      </c>
      <c r="T516">
        <f t="shared" ca="1" si="129"/>
        <v>2001</v>
      </c>
      <c r="U516">
        <f t="shared" ca="1" si="130"/>
        <v>2010</v>
      </c>
      <c r="V516">
        <f t="shared" ca="1" si="131"/>
        <v>10</v>
      </c>
      <c r="W516">
        <f t="shared" ca="1" si="132"/>
        <v>10</v>
      </c>
    </row>
    <row r="517" spans="1:23">
      <c r="A517" t="s">
        <v>1637</v>
      </c>
      <c r="B517" t="str">
        <f t="shared" ca="1" si="141"/>
        <v>陳斌湖</v>
      </c>
      <c r="C517" t="str">
        <f t="shared" ca="1" si="142"/>
        <v>ﾁｪﾝ ﾋﾞﾝ ﾎｩ</v>
      </c>
      <c r="D517" t="str">
        <f t="shared" ca="1" si="143"/>
        <v>Chen Bin Hu</v>
      </c>
      <c r="E517" t="str" cm="1">
        <f t="array" aca="1" ref="E517" ca="1">INDIRECT(ADDRESS(RANDBETWEEN(2,16),7,1,1,"valueBase"))</f>
        <v>男性</v>
      </c>
      <c r="F517" s="5">
        <f t="shared" ca="1" si="146"/>
        <v>26032</v>
      </c>
      <c r="G517" s="5">
        <f t="shared" ca="1" si="147"/>
        <v>42615</v>
      </c>
      <c r="H517" s="5">
        <f t="shared" ca="1" si="148"/>
        <v>42980</v>
      </c>
      <c r="I517" t="str">
        <f t="shared" ca="1" si="120"/>
        <v>090-2570-6225</v>
      </c>
      <c r="J517" t="str">
        <f t="shared" ca="1" si="144"/>
        <v>Chen_Bin_Hu_42615@outlook.jp.co</v>
      </c>
      <c r="K517" t="str">
        <f t="shared" ca="1" si="122"/>
        <v>高級</v>
      </c>
      <c r="L517" t="str">
        <f t="shared" ca="1" si="123"/>
        <v>有り</v>
      </c>
      <c r="M517" t="str">
        <f t="shared" ca="1" si="145"/>
        <v>10%</v>
      </c>
      <c r="N517" t="str">
        <f t="shared" ca="1" si="125"/>
        <v>有り</v>
      </c>
      <c r="O517">
        <f t="shared" ca="1" si="126"/>
        <v>953</v>
      </c>
      <c r="R517">
        <f t="shared" ca="1" si="127"/>
        <v>6</v>
      </c>
      <c r="S517">
        <f t="shared" ca="1" si="128"/>
        <v>77</v>
      </c>
      <c r="T517">
        <f t="shared" ca="1" si="129"/>
        <v>1991</v>
      </c>
      <c r="U517">
        <f t="shared" ca="1" si="130"/>
        <v>1994</v>
      </c>
      <c r="V517">
        <f t="shared" ca="1" si="131"/>
        <v>5</v>
      </c>
      <c r="W517">
        <f t="shared" ca="1" si="132"/>
        <v>29</v>
      </c>
    </row>
    <row r="518" spans="1:23">
      <c r="A518" t="s">
        <v>1638</v>
      </c>
      <c r="B518" t="str">
        <f t="shared" ca="1" si="141"/>
        <v>鄭碧漢</v>
      </c>
      <c r="C518" t="str">
        <f t="shared" ca="1" si="142"/>
        <v>ｼﾞｭﾖﾝ ﾋﾞｰ ﾊﾝ</v>
      </c>
      <c r="D518" t="str">
        <f t="shared" ca="1" si="143"/>
        <v>Zheng Bi Han</v>
      </c>
      <c r="E518" t="str" cm="1">
        <f t="array" aca="1" ref="E518" ca="1">INDIRECT(ADDRESS(RANDBETWEEN(2,16),7,1,1,"valueBase"))</f>
        <v>女性</v>
      </c>
      <c r="F518" s="5">
        <f t="shared" ca="1" si="146"/>
        <v>30764</v>
      </c>
      <c r="G518" s="5">
        <f t="shared" ca="1" si="147"/>
        <v>42277</v>
      </c>
      <c r="H518" s="5">
        <f t="shared" ca="1" si="148"/>
        <v>43372</v>
      </c>
      <c r="I518" t="str">
        <f t="shared" ca="1" si="120"/>
        <v>090-3718-7498</v>
      </c>
      <c r="J518" t="str">
        <f t="shared" ca="1" si="144"/>
        <v>Zheng_Bi_Han_42277@outlook.jp.co</v>
      </c>
      <c r="K518" t="str">
        <f t="shared" ca="1" si="122"/>
        <v>普通</v>
      </c>
      <c r="L518" t="str">
        <f t="shared" ca="1" si="123"/>
        <v>有り</v>
      </c>
      <c r="M518" t="str">
        <f t="shared" ca="1" si="145"/>
        <v>5%</v>
      </c>
      <c r="N518" t="str">
        <f t="shared" ca="1" si="125"/>
        <v>有り</v>
      </c>
      <c r="O518">
        <f t="shared" ca="1" si="126"/>
        <v>394</v>
      </c>
      <c r="R518">
        <f t="shared" ca="1" si="127"/>
        <v>24</v>
      </c>
      <c r="S518">
        <f t="shared" ca="1" si="128"/>
        <v>294</v>
      </c>
      <c r="T518">
        <f t="shared" ca="1" si="129"/>
        <v>2004</v>
      </c>
      <c r="U518">
        <f t="shared" ca="1" si="130"/>
        <v>2008</v>
      </c>
      <c r="V518">
        <f t="shared" ca="1" si="131"/>
        <v>10</v>
      </c>
      <c r="W518">
        <f t="shared" ca="1" si="132"/>
        <v>9</v>
      </c>
    </row>
    <row r="519" spans="1:23">
      <c r="A519" t="s">
        <v>1639</v>
      </c>
      <c r="B519" t="str">
        <f t="shared" ca="1" si="141"/>
        <v>謝金鈞</v>
      </c>
      <c r="C519" t="str">
        <f t="shared" ca="1" si="142"/>
        <v>ｼｴ ｼﾞﾝ ｼﾞｭｲﾝ</v>
      </c>
      <c r="D519" t="str">
        <f t="shared" ca="1" si="143"/>
        <v>Xie Jin Jun</v>
      </c>
      <c r="E519" t="str" cm="1">
        <f t="array" aca="1" ref="E519" ca="1">INDIRECT(ADDRESS(RANDBETWEEN(2,16),7,1,1,"valueBase"))</f>
        <v>男性</v>
      </c>
      <c r="F519" s="5">
        <f t="shared" ca="1" si="146"/>
        <v>33333</v>
      </c>
      <c r="G519" s="5">
        <f t="shared" ca="1" si="147"/>
        <v>41530</v>
      </c>
      <c r="H519" s="5">
        <f t="shared" ca="1" si="148"/>
        <v>42625</v>
      </c>
      <c r="I519" t="str">
        <f t="shared" ca="1" si="120"/>
        <v>090-9402-9905</v>
      </c>
      <c r="J519" t="str">
        <f t="shared" ca="1" si="144"/>
        <v>Xie_Jin_Jun_41530@outlook.jp.co</v>
      </c>
      <c r="K519" t="str">
        <f t="shared" ca="1" si="122"/>
        <v>普通</v>
      </c>
      <c r="L519" t="str">
        <f t="shared" ca="1" si="123"/>
        <v>-</v>
      </c>
      <c r="M519" t="str">
        <f t="shared" ca="1" si="145"/>
        <v>-</v>
      </c>
      <c r="N519" t="str">
        <f t="shared" ca="1" si="125"/>
        <v>-</v>
      </c>
      <c r="O519" t="str">
        <f t="shared" ca="1" si="126"/>
        <v>-</v>
      </c>
      <c r="R519">
        <f t="shared" ca="1" si="127"/>
        <v>25</v>
      </c>
      <c r="S519">
        <f t="shared" ca="1" si="128"/>
        <v>18</v>
      </c>
      <c r="T519">
        <f t="shared" ca="1" si="129"/>
        <v>1983</v>
      </c>
      <c r="U519">
        <f t="shared" ca="1" si="130"/>
        <v>1990</v>
      </c>
      <c r="V519">
        <f t="shared" ca="1" si="131"/>
        <v>11</v>
      </c>
      <c r="W519">
        <f t="shared" ca="1" si="132"/>
        <v>17</v>
      </c>
    </row>
    <row r="520" spans="1:23">
      <c r="A520" t="s">
        <v>1640</v>
      </c>
      <c r="B520" t="str">
        <f t="shared" ca="1" si="141"/>
        <v>劉虹欣</v>
      </c>
      <c r="C520" t="str">
        <f t="shared" ca="1" si="142"/>
        <v>ﾘｳ ﾎｰﾝ ｼﾝ</v>
      </c>
      <c r="D520" t="str">
        <f t="shared" ca="1" si="143"/>
        <v>Liu Hong Xin</v>
      </c>
      <c r="E520" t="str" cm="1">
        <f t="array" aca="1" ref="E520" ca="1">INDIRECT(ADDRESS(RANDBETWEEN(2,16),7,1,1,"valueBase"))</f>
        <v>女性</v>
      </c>
      <c r="F520" s="5">
        <f t="shared" ca="1" si="146"/>
        <v>31025</v>
      </c>
      <c r="G520" s="5">
        <f t="shared" ca="1" si="147"/>
        <v>44444</v>
      </c>
      <c r="H520" s="5">
        <f t="shared" ca="1" si="148"/>
        <v>44809</v>
      </c>
      <c r="I520" t="str">
        <f t="shared" ca="1" si="120"/>
        <v>090-6577-2677</v>
      </c>
      <c r="J520" t="str">
        <f t="shared" ca="1" si="144"/>
        <v>Liu_Hong Xin_44444@outlook.jp.co</v>
      </c>
      <c r="K520" t="str">
        <f t="shared" ca="1" si="122"/>
        <v>普通</v>
      </c>
      <c r="L520" t="str">
        <f t="shared" ca="1" si="123"/>
        <v>有り</v>
      </c>
      <c r="M520" t="str">
        <f t="shared" ca="1" si="145"/>
        <v>5%</v>
      </c>
      <c r="N520" t="str">
        <f t="shared" ca="1" si="125"/>
        <v>有り</v>
      </c>
      <c r="O520">
        <f t="shared" ca="1" si="126"/>
        <v>449</v>
      </c>
      <c r="R520">
        <f t="shared" ca="1" si="127"/>
        <v>5</v>
      </c>
      <c r="S520">
        <f t="shared" ca="1" si="128"/>
        <v>132</v>
      </c>
      <c r="T520">
        <f t="shared" ca="1" si="129"/>
        <v>1982</v>
      </c>
      <c r="U520">
        <f t="shared" ca="1" si="130"/>
        <v>1989</v>
      </c>
      <c r="V520">
        <f t="shared" ca="1" si="131"/>
        <v>11</v>
      </c>
      <c r="W520">
        <f t="shared" ca="1" si="132"/>
        <v>11</v>
      </c>
    </row>
    <row r="521" spans="1:23">
      <c r="A521" t="s">
        <v>1641</v>
      </c>
      <c r="B521" t="str">
        <f t="shared" ca="1" si="141"/>
        <v>黃軒荒</v>
      </c>
      <c r="C521" t="str">
        <f t="shared" ca="1" si="142"/>
        <v>ﾎﾜｰﾝ ｼｭｴﾝ ﾎﾜｰﾝ</v>
      </c>
      <c r="D521" t="str">
        <f t="shared" ca="1" si="143"/>
        <v>Huang Xuan Huang</v>
      </c>
      <c r="E521" t="str" cm="1">
        <f t="array" aca="1" ref="E521" ca="1">INDIRECT(ADDRESS(RANDBETWEEN(2,16),7,1,1,"valueBase"))</f>
        <v>男性</v>
      </c>
      <c r="F521" s="5">
        <f t="shared" ca="1" si="146"/>
        <v>35764</v>
      </c>
      <c r="G521" s="5">
        <f t="shared" ca="1" si="147"/>
        <v>45440</v>
      </c>
      <c r="H521" s="5">
        <f t="shared" ca="1" si="148"/>
        <v>46170</v>
      </c>
      <c r="I521" t="str">
        <f t="shared" ca="1" si="120"/>
        <v>080-3144-6401</v>
      </c>
      <c r="J521" t="str">
        <f t="shared" ca="1" si="144"/>
        <v>Huang_Xuan_Huang_45440@outlook.jp.co</v>
      </c>
      <c r="K521" t="str">
        <f t="shared" ca="1" si="122"/>
        <v>普通</v>
      </c>
      <c r="L521" t="str">
        <f t="shared" ca="1" si="123"/>
        <v>有り</v>
      </c>
      <c r="M521" t="str">
        <f t="shared" ca="1" si="145"/>
        <v>5%</v>
      </c>
      <c r="N521" t="str">
        <f t="shared" ca="1" si="125"/>
        <v>有り</v>
      </c>
      <c r="O521">
        <f t="shared" ca="1" si="126"/>
        <v>306</v>
      </c>
      <c r="R521">
        <f t="shared" ca="1" si="127"/>
        <v>9</v>
      </c>
      <c r="S521">
        <f t="shared" ca="1" si="128"/>
        <v>86</v>
      </c>
      <c r="T521">
        <f t="shared" ca="1" si="129"/>
        <v>2005</v>
      </c>
      <c r="U521">
        <f t="shared" ca="1" si="130"/>
        <v>2014</v>
      </c>
      <c r="V521">
        <f t="shared" ca="1" si="131"/>
        <v>12</v>
      </c>
      <c r="W521">
        <f t="shared" ca="1" si="132"/>
        <v>27</v>
      </c>
    </row>
    <row r="522" spans="1:23">
      <c r="A522" t="s">
        <v>1642</v>
      </c>
      <c r="B522" t="str">
        <f t="shared" ca="1" si="141"/>
        <v>林承良</v>
      </c>
      <c r="C522" t="str">
        <f t="shared" ca="1" si="142"/>
        <v>ﾘﾝ ﾁｭﾖﾝ ﾘﾔｰﾝ</v>
      </c>
      <c r="D522" t="str">
        <f t="shared" ca="1" si="143"/>
        <v>Lin Cheng Liang</v>
      </c>
      <c r="E522" t="str" cm="1">
        <f t="array" aca="1" ref="E522" ca="1">INDIRECT(ADDRESS(RANDBETWEEN(2,16),7,1,1,"valueBase"))</f>
        <v>女性</v>
      </c>
      <c r="F522" s="5">
        <f t="shared" ca="1" si="146"/>
        <v>35161</v>
      </c>
      <c r="G522" s="5">
        <f t="shared" ca="1" si="147"/>
        <v>44232</v>
      </c>
      <c r="H522" s="5">
        <f t="shared" ca="1" si="148"/>
        <v>45327</v>
      </c>
      <c r="I522" t="str">
        <f t="shared" ca="1" si="120"/>
        <v>080-2958-3565</v>
      </c>
      <c r="J522" t="str">
        <f t="shared" ca="1" si="144"/>
        <v>Lin_Cheng_Liang_44232@outlook.jp.co</v>
      </c>
      <c r="K522" t="str">
        <f t="shared" ca="1" si="122"/>
        <v>高級</v>
      </c>
      <c r="L522" t="str">
        <f t="shared" ca="1" si="123"/>
        <v>有り</v>
      </c>
      <c r="M522" t="str">
        <f t="shared" ca="1" si="145"/>
        <v>10%</v>
      </c>
      <c r="N522" t="str">
        <f t="shared" ca="1" si="125"/>
        <v>有り</v>
      </c>
      <c r="O522">
        <f t="shared" ca="1" si="126"/>
        <v>65</v>
      </c>
      <c r="R522">
        <f t="shared" ca="1" si="127"/>
        <v>17</v>
      </c>
      <c r="S522">
        <f t="shared" ca="1" si="128"/>
        <v>129</v>
      </c>
      <c r="T522">
        <f t="shared" ca="1" si="129"/>
        <v>2004</v>
      </c>
      <c r="U522">
        <f t="shared" ca="1" si="130"/>
        <v>2008</v>
      </c>
      <c r="V522">
        <f t="shared" ca="1" si="131"/>
        <v>3</v>
      </c>
      <c r="W522">
        <f t="shared" ca="1" si="132"/>
        <v>11</v>
      </c>
    </row>
    <row r="523" spans="1:23">
      <c r="A523" t="s">
        <v>1643</v>
      </c>
      <c r="B523" t="str">
        <f t="shared" ca="1" si="141"/>
        <v>李翠琳</v>
      </c>
      <c r="C523" t="str">
        <f t="shared" ca="1" si="142"/>
        <v>ﾘｰ ﾂｩｲ ﾘﾝ</v>
      </c>
      <c r="D523" t="str">
        <f t="shared" ca="1" si="143"/>
        <v>Li Cui Lin</v>
      </c>
      <c r="E523" t="str" cm="1">
        <f t="array" aca="1" ref="E523" ca="1">INDIRECT(ADDRESS(RANDBETWEEN(2,16),7,1,1,"valueBase"))</f>
        <v>女性</v>
      </c>
      <c r="F523" s="5">
        <f t="shared" ca="1" si="146"/>
        <v>33255</v>
      </c>
      <c r="G523" s="5">
        <f t="shared" ca="1" si="147"/>
        <v>43734</v>
      </c>
      <c r="H523" s="5">
        <f t="shared" ca="1" si="148"/>
        <v>44099</v>
      </c>
      <c r="I523" t="str">
        <f t="shared" ca="1" si="120"/>
        <v>080-8304-6814</v>
      </c>
      <c r="J523" t="str">
        <f t="shared" ca="1" si="144"/>
        <v>Li_Cui_Lin_43734@outlook.jp.co</v>
      </c>
      <c r="K523" t="str">
        <f t="shared" ca="1" si="122"/>
        <v>普通</v>
      </c>
      <c r="L523" t="str">
        <f t="shared" ca="1" si="123"/>
        <v>有り</v>
      </c>
      <c r="M523" t="str">
        <f t="shared" ca="1" si="145"/>
        <v>5%</v>
      </c>
      <c r="N523" t="str">
        <f t="shared" ca="1" si="125"/>
        <v>有り</v>
      </c>
      <c r="O523">
        <f t="shared" ca="1" si="126"/>
        <v>578</v>
      </c>
      <c r="R523">
        <f t="shared" ca="1" si="127"/>
        <v>2</v>
      </c>
      <c r="S523">
        <f t="shared" ca="1" si="128"/>
        <v>56</v>
      </c>
      <c r="T523">
        <f t="shared" ca="1" si="129"/>
        <v>1989</v>
      </c>
      <c r="U523">
        <f t="shared" ca="1" si="130"/>
        <v>1990</v>
      </c>
      <c r="V523">
        <f t="shared" ca="1" si="131"/>
        <v>7</v>
      </c>
      <c r="W523">
        <f t="shared" ca="1" si="132"/>
        <v>13</v>
      </c>
    </row>
    <row r="524" spans="1:23">
      <c r="A524" t="s">
        <v>1644</v>
      </c>
      <c r="B524" t="str">
        <f t="shared" ca="1" si="141"/>
        <v>梁彩金</v>
      </c>
      <c r="C524" t="str">
        <f t="shared" ca="1" si="142"/>
        <v>ﾘﾔｰﾝ ﾂｧｲ ｼﾞﾝ</v>
      </c>
      <c r="D524" t="str">
        <f t="shared" ca="1" si="143"/>
        <v>Liang Cai Jin</v>
      </c>
      <c r="E524" t="str" cm="1">
        <f t="array" aca="1" ref="E524" ca="1">INDIRECT(ADDRESS(RANDBETWEEN(2,16),7,1,1,"valueBase"))</f>
        <v>女性</v>
      </c>
      <c r="F524" s="5">
        <f t="shared" ca="1" si="146"/>
        <v>38192</v>
      </c>
      <c r="G524" s="5">
        <f t="shared" ca="1" si="147"/>
        <v>45078</v>
      </c>
      <c r="H524" s="5">
        <f t="shared" ca="1" si="148"/>
        <v>45808</v>
      </c>
      <c r="I524" t="str">
        <f t="shared" ca="1" si="120"/>
        <v>080-5107-3021</v>
      </c>
      <c r="J524" t="str">
        <f t="shared" ca="1" si="144"/>
        <v>Liang_Cai_Jin_45078@outlook.jp.co</v>
      </c>
      <c r="K524" t="str">
        <f t="shared" ca="1" si="122"/>
        <v>高級</v>
      </c>
      <c r="L524" t="str">
        <f t="shared" ca="1" si="123"/>
        <v>-</v>
      </c>
      <c r="M524" t="str">
        <f t="shared" ca="1" si="145"/>
        <v>-</v>
      </c>
      <c r="N524" t="str">
        <f t="shared" ca="1" si="125"/>
        <v>-</v>
      </c>
      <c r="O524" t="str">
        <f t="shared" ca="1" si="126"/>
        <v>-</v>
      </c>
      <c r="R524">
        <f t="shared" ca="1" si="127"/>
        <v>22</v>
      </c>
      <c r="S524">
        <f t="shared" ca="1" si="128"/>
        <v>214</v>
      </c>
      <c r="T524">
        <f t="shared" ca="1" si="129"/>
        <v>1988</v>
      </c>
      <c r="U524">
        <f t="shared" ca="1" si="130"/>
        <v>2000</v>
      </c>
      <c r="V524">
        <f t="shared" ca="1" si="131"/>
        <v>10</v>
      </c>
      <c r="W524">
        <f t="shared" ca="1" si="132"/>
        <v>22</v>
      </c>
    </row>
    <row r="525" spans="1:23">
      <c r="A525" t="s">
        <v>1645</v>
      </c>
      <c r="B525" t="str">
        <f t="shared" ca="1" si="141"/>
        <v>馮銀池</v>
      </c>
      <c r="C525" t="str">
        <f t="shared" ca="1" si="142"/>
        <v>ﾌｵﾝ ｲﾝ ﾁｰ</v>
      </c>
      <c r="D525" t="str">
        <f t="shared" ca="1" si="143"/>
        <v>Feng Yin Chi</v>
      </c>
      <c r="E525" t="str" cm="1">
        <f t="array" aca="1" ref="E525" ca="1">INDIRECT(ADDRESS(RANDBETWEEN(2,16),7,1,1,"valueBase"))</f>
        <v>男性</v>
      </c>
      <c r="F525" s="5">
        <f t="shared" ca="1" si="146"/>
        <v>38098</v>
      </c>
      <c r="G525" s="5">
        <f t="shared" ca="1" si="147"/>
        <v>45415</v>
      </c>
      <c r="H525" s="5">
        <f t="shared" ca="1" si="148"/>
        <v>45780</v>
      </c>
      <c r="I525" t="str">
        <f t="shared" ca="1" si="120"/>
        <v>080-0519-2018</v>
      </c>
      <c r="J525" t="str">
        <f t="shared" ca="1" si="144"/>
        <v>Feng_Yin_Chi_45415@outlook.jp.co</v>
      </c>
      <c r="K525" t="str">
        <f t="shared" ca="1" si="122"/>
        <v>高級</v>
      </c>
      <c r="L525" t="str">
        <f t="shared" ca="1" si="123"/>
        <v>-</v>
      </c>
      <c r="M525" t="str">
        <f t="shared" ca="1" si="145"/>
        <v>-</v>
      </c>
      <c r="N525" t="str">
        <f t="shared" ca="1" si="125"/>
        <v>-</v>
      </c>
      <c r="O525" t="str">
        <f t="shared" ca="1" si="126"/>
        <v>-</v>
      </c>
      <c r="R525">
        <f t="shared" ca="1" si="127"/>
        <v>28</v>
      </c>
      <c r="S525">
        <f t="shared" ca="1" si="128"/>
        <v>90</v>
      </c>
      <c r="T525">
        <f t="shared" ca="1" si="129"/>
        <v>1970</v>
      </c>
      <c r="U525">
        <f t="shared" ca="1" si="130"/>
        <v>1974</v>
      </c>
      <c r="V525">
        <f t="shared" ca="1" si="131"/>
        <v>2</v>
      </c>
      <c r="W525">
        <f t="shared" ca="1" si="132"/>
        <v>20</v>
      </c>
    </row>
    <row r="526" spans="1:23">
      <c r="A526" t="s">
        <v>1646</v>
      </c>
      <c r="B526" t="str">
        <f t="shared" ref="B526:B589" ca="1" si="149">_xlfn.CONCAT(INDIRECT(ADDRESS(R526,1,1,1,"valueBase")),INDIRECT(ADDRESS(S526,4,1,1,"valueBase")))</f>
        <v>韓折東</v>
      </c>
      <c r="C526" t="str">
        <f t="shared" ref="C526:C589" ca="1" si="150">_xlfn.CONCAT(INDIRECT(ADDRESS(R526,2,1,1,"valueBase")),INDIRECT(ADDRESS(S526,5,1,1,"valueBase")))</f>
        <v>ﾊﾝ ｼﾞｮｰｧ ﾄﾞｰﾝ</v>
      </c>
      <c r="D526" t="str">
        <f t="shared" ref="D526:D589" ca="1" si="151">_xlfn.CONCAT(INDIRECT(ADDRESS(R526,3,1,1,"valueBase")),INDIRECT(ADDRESS(S526,6,1,1,"valueBase")))</f>
        <v>Han Zhe Dong</v>
      </c>
      <c r="E526" t="str" cm="1">
        <f t="array" aca="1" ref="E526" ca="1">INDIRECT(ADDRESS(RANDBETWEEN(2,16),7,1,1,"valueBase"))</f>
        <v>女性</v>
      </c>
      <c r="F526" s="5">
        <f t="shared" ca="1" si="146"/>
        <v>30303</v>
      </c>
      <c r="G526" s="5">
        <f t="shared" ca="1" si="147"/>
        <v>40919</v>
      </c>
      <c r="H526" s="5">
        <f t="shared" ca="1" si="148"/>
        <v>41649</v>
      </c>
      <c r="I526" t="str">
        <f t="shared" ca="1" si="120"/>
        <v>090-6789-4068</v>
      </c>
      <c r="J526" t="str">
        <f t="shared" ref="J526:J589" ca="1" si="152">CONCATENATE(SUBSTITUTE(D526," ","_"),"_",SUBSTITUTE(G526,"/","_"),"@outlook.jp.co")</f>
        <v>Han_Zhe Dong_40919@outlook.jp.co</v>
      </c>
      <c r="K526" t="str">
        <f t="shared" ca="1" si="122"/>
        <v>高級</v>
      </c>
      <c r="L526" t="str">
        <f t="shared" ca="1" si="123"/>
        <v>有り</v>
      </c>
      <c r="M526" t="str">
        <f t="shared" ref="M526:M589" ca="1" si="153">IF(L526 = "有り",IF(K526 = "高級","10%","5%"),"-")</f>
        <v>10%</v>
      </c>
      <c r="N526" t="str">
        <f t="shared" ca="1" si="125"/>
        <v>有り</v>
      </c>
      <c r="O526">
        <f t="shared" ca="1" si="126"/>
        <v>65</v>
      </c>
      <c r="R526">
        <f t="shared" ca="1" si="127"/>
        <v>26</v>
      </c>
      <c r="S526">
        <f t="shared" ca="1" si="128"/>
        <v>42</v>
      </c>
      <c r="T526">
        <f t="shared" ca="1" si="129"/>
        <v>1993</v>
      </c>
      <c r="U526">
        <f t="shared" ca="1" si="130"/>
        <v>1994</v>
      </c>
      <c r="V526">
        <f t="shared" ca="1" si="131"/>
        <v>2</v>
      </c>
      <c r="W526">
        <f t="shared" ca="1" si="132"/>
        <v>26</v>
      </c>
    </row>
    <row r="527" spans="1:23">
      <c r="A527" t="s">
        <v>1647</v>
      </c>
      <c r="B527" t="str">
        <f t="shared" ca="1" si="149"/>
        <v>宋閑康</v>
      </c>
      <c r="C527" t="str">
        <f t="shared" ca="1" si="150"/>
        <v>ｿｰﾝ ｼｴﾝ ｶｰﾝ</v>
      </c>
      <c r="D527" t="str">
        <f t="shared" ca="1" si="151"/>
        <v>Song Xian Kang</v>
      </c>
      <c r="E527" t="str" cm="1">
        <f t="array" aca="1" ref="E527" ca="1">INDIRECT(ADDRESS(RANDBETWEEN(2,16),7,1,1,"valueBase"))</f>
        <v>-</v>
      </c>
      <c r="F527" s="5">
        <f t="shared" ca="1" si="146"/>
        <v>35607</v>
      </c>
      <c r="G527" s="5">
        <f t="shared" ca="1" si="147"/>
        <v>43918</v>
      </c>
      <c r="H527" s="5">
        <f t="shared" ca="1" si="148"/>
        <v>44648</v>
      </c>
      <c r="I527" t="str">
        <f t="shared" ca="1" si="120"/>
        <v>090-4686-2727</v>
      </c>
      <c r="J527" t="str">
        <f t="shared" ca="1" si="152"/>
        <v>Song_Xian_Kang_43918@outlook.jp.co</v>
      </c>
      <c r="K527" t="str">
        <f t="shared" ca="1" si="122"/>
        <v>普通</v>
      </c>
      <c r="L527" t="str">
        <f t="shared" ca="1" si="123"/>
        <v>有り</v>
      </c>
      <c r="M527" t="str">
        <f t="shared" ca="1" si="153"/>
        <v>5%</v>
      </c>
      <c r="N527" t="str">
        <f t="shared" ca="1" si="125"/>
        <v>有り</v>
      </c>
      <c r="O527">
        <f t="shared" ca="1" si="126"/>
        <v>722</v>
      </c>
      <c r="R527">
        <f t="shared" ca="1" si="127"/>
        <v>23</v>
      </c>
      <c r="S527">
        <f t="shared" ca="1" si="128"/>
        <v>141</v>
      </c>
      <c r="T527">
        <f t="shared" ca="1" si="129"/>
        <v>1973</v>
      </c>
      <c r="U527">
        <f t="shared" ca="1" si="130"/>
        <v>1985</v>
      </c>
      <c r="V527">
        <f t="shared" ca="1" si="131"/>
        <v>11</v>
      </c>
      <c r="W527">
        <f t="shared" ca="1" si="132"/>
        <v>21</v>
      </c>
    </row>
    <row r="528" spans="1:23">
      <c r="A528" t="s">
        <v>1648</v>
      </c>
      <c r="B528" t="str">
        <f t="shared" ca="1" si="149"/>
        <v>唐唯慶</v>
      </c>
      <c r="C528" t="str">
        <f t="shared" ca="1" si="150"/>
        <v>ﾀｰﾝ ｳｴｲ ﾁｰﾝ</v>
      </c>
      <c r="D528" t="str">
        <f t="shared" ca="1" si="151"/>
        <v>Tang Wei Qing</v>
      </c>
      <c r="E528" t="str" cm="1">
        <f t="array" aca="1" ref="E528" ca="1">INDIRECT(ADDRESS(RANDBETWEEN(2,16),7,1,1,"valueBase"))</f>
        <v>男性</v>
      </c>
      <c r="F528" s="5">
        <f t="shared" ca="1" si="146"/>
        <v>24446</v>
      </c>
      <c r="G528" s="5">
        <f t="shared" ca="1" si="147"/>
        <v>38433</v>
      </c>
      <c r="H528" s="5">
        <f t="shared" ca="1" si="148"/>
        <v>38798</v>
      </c>
      <c r="I528" t="str">
        <f t="shared" ca="1" si="120"/>
        <v>090-0725-3792</v>
      </c>
      <c r="J528" t="str">
        <f t="shared" ca="1" si="152"/>
        <v>Tang_Wei_Qing_38433@outlook.jp.co</v>
      </c>
      <c r="K528" t="str">
        <f t="shared" ca="1" si="122"/>
        <v>普通</v>
      </c>
      <c r="L528" t="str">
        <f t="shared" ca="1" si="123"/>
        <v>有り</v>
      </c>
      <c r="M528" t="str">
        <f t="shared" ca="1" si="153"/>
        <v>5%</v>
      </c>
      <c r="N528" t="str">
        <f t="shared" ca="1" si="125"/>
        <v>有り</v>
      </c>
      <c r="O528">
        <f t="shared" ca="1" si="126"/>
        <v>921</v>
      </c>
      <c r="R528">
        <f t="shared" ca="1" si="127"/>
        <v>27</v>
      </c>
      <c r="S528">
        <f t="shared" ca="1" si="128"/>
        <v>301</v>
      </c>
      <c r="T528">
        <f t="shared" ca="1" si="129"/>
        <v>1971</v>
      </c>
      <c r="U528">
        <f t="shared" ca="1" si="130"/>
        <v>1981</v>
      </c>
      <c r="V528">
        <f t="shared" ca="1" si="131"/>
        <v>5</v>
      </c>
      <c r="W528">
        <f t="shared" ca="1" si="132"/>
        <v>2</v>
      </c>
    </row>
    <row r="529" spans="1:23">
      <c r="A529" t="s">
        <v>1649</v>
      </c>
      <c r="B529" t="str">
        <f t="shared" ca="1" si="149"/>
        <v>周泰奇</v>
      </c>
      <c r="C529" t="str">
        <f t="shared" ca="1" si="150"/>
        <v>ｼﾞｮｳ ﾀｲ ﾁｲ</v>
      </c>
      <c r="D529" t="str">
        <f t="shared" ca="1" si="151"/>
        <v>Zhou Tai Qi</v>
      </c>
      <c r="E529" t="str" cm="1">
        <f t="array" aca="1" ref="E529" ca="1">INDIRECT(ADDRESS(RANDBETWEEN(2,16),7,1,1,"valueBase"))</f>
        <v>男性</v>
      </c>
      <c r="F529" s="5">
        <f t="shared" ca="1" si="146"/>
        <v>34732</v>
      </c>
      <c r="G529" s="5">
        <f t="shared" ca="1" si="147"/>
        <v>42824</v>
      </c>
      <c r="H529" s="5">
        <f t="shared" ca="1" si="148"/>
        <v>43189</v>
      </c>
      <c r="I529" t="str">
        <f t="shared" ca="1" si="120"/>
        <v>080-4225-2247</v>
      </c>
      <c r="J529" t="str">
        <f t="shared" ca="1" si="152"/>
        <v>Zhou_Tai Qi_42824@outlook.jp.co</v>
      </c>
      <c r="K529" t="str">
        <f t="shared" ca="1" si="122"/>
        <v>普通</v>
      </c>
      <c r="L529" t="str">
        <f t="shared" ca="1" si="123"/>
        <v>有り</v>
      </c>
      <c r="M529" t="str">
        <f t="shared" ca="1" si="153"/>
        <v>5%</v>
      </c>
      <c r="N529" t="str">
        <f t="shared" ca="1" si="125"/>
        <v>有り</v>
      </c>
      <c r="O529">
        <f t="shared" ca="1" si="126"/>
        <v>834</v>
      </c>
      <c r="R529">
        <f t="shared" ca="1" si="127"/>
        <v>10</v>
      </c>
      <c r="S529">
        <f t="shared" ca="1" si="128"/>
        <v>51</v>
      </c>
      <c r="T529">
        <f t="shared" ca="1" si="129"/>
        <v>2003</v>
      </c>
      <c r="U529">
        <f t="shared" ca="1" si="130"/>
        <v>2006</v>
      </c>
      <c r="V529">
        <f t="shared" ca="1" si="131"/>
        <v>7</v>
      </c>
      <c r="W529">
        <f t="shared" ca="1" si="132"/>
        <v>13</v>
      </c>
    </row>
    <row r="530" spans="1:23">
      <c r="A530" t="s">
        <v>1650</v>
      </c>
      <c r="B530" t="str">
        <f t="shared" ca="1" si="149"/>
        <v>馬電爾</v>
      </c>
      <c r="C530" t="str">
        <f t="shared" ca="1" si="150"/>
        <v>ﾏｰ ﾃﾞｨｴﾝ ｱﾙ</v>
      </c>
      <c r="D530" t="str">
        <f t="shared" ca="1" si="151"/>
        <v>Ma Dian Er</v>
      </c>
      <c r="E530" t="str" cm="1">
        <f t="array" aca="1" ref="E530" ca="1">INDIRECT(ADDRESS(RANDBETWEEN(2,16),7,1,1,"valueBase"))</f>
        <v>男性</v>
      </c>
      <c r="F530" s="5">
        <f t="shared" ca="1" si="146"/>
        <v>31679</v>
      </c>
      <c r="G530" s="5">
        <f t="shared" ca="1" si="147"/>
        <v>44915</v>
      </c>
      <c r="H530" s="5">
        <f t="shared" ca="1" si="148"/>
        <v>45645</v>
      </c>
      <c r="I530" t="str">
        <f t="shared" ca="1" si="120"/>
        <v>080-7578-9870</v>
      </c>
      <c r="J530" t="str">
        <f t="shared" ca="1" si="152"/>
        <v>Ma_Dian_Er_44915@outlook.jp.co</v>
      </c>
      <c r="K530" t="str">
        <f t="shared" ca="1" si="122"/>
        <v>普通</v>
      </c>
      <c r="L530" t="str">
        <f t="shared" ca="1" si="123"/>
        <v>有り</v>
      </c>
      <c r="M530" t="str">
        <f t="shared" ca="1" si="153"/>
        <v>5%</v>
      </c>
      <c r="N530" t="str">
        <f t="shared" ca="1" si="125"/>
        <v>-</v>
      </c>
      <c r="O530" t="str">
        <f t="shared" ca="1" si="126"/>
        <v>-</v>
      </c>
      <c r="R530">
        <f t="shared" ca="1" si="127"/>
        <v>20</v>
      </c>
      <c r="S530">
        <f t="shared" ca="1" si="128"/>
        <v>202</v>
      </c>
      <c r="T530">
        <f t="shared" ca="1" si="129"/>
        <v>1981</v>
      </c>
      <c r="U530">
        <f t="shared" ca="1" si="130"/>
        <v>1989</v>
      </c>
      <c r="V530">
        <f t="shared" ca="1" si="131"/>
        <v>7</v>
      </c>
      <c r="W530">
        <f t="shared" ca="1" si="132"/>
        <v>10</v>
      </c>
    </row>
    <row r="531" spans="1:23">
      <c r="A531" t="s">
        <v>1651</v>
      </c>
      <c r="B531" t="str">
        <f t="shared" ca="1" si="149"/>
        <v>唐忠博</v>
      </c>
      <c r="C531" t="str">
        <f t="shared" ca="1" si="150"/>
        <v>ﾀｰﾝ ｼﾞｮｰﾝ ﾎﾞｰ</v>
      </c>
      <c r="D531" t="str">
        <f t="shared" ca="1" si="151"/>
        <v>Tang Zhong Bo</v>
      </c>
      <c r="E531" t="str" cm="1">
        <f t="array" aca="1" ref="E531" ca="1">INDIRECT(ADDRESS(RANDBETWEEN(2,16),7,1,1,"valueBase"))</f>
        <v>男性</v>
      </c>
      <c r="F531" s="5">
        <f t="shared" ca="1" si="146"/>
        <v>29576</v>
      </c>
      <c r="G531" s="5">
        <f t="shared" ca="1" si="147"/>
        <v>39665</v>
      </c>
      <c r="H531" s="5">
        <f t="shared" ca="1" si="148"/>
        <v>40030</v>
      </c>
      <c r="I531" t="str">
        <f t="shared" ca="1" si="120"/>
        <v>080-3812-6884</v>
      </c>
      <c r="J531" t="str">
        <f t="shared" ca="1" si="152"/>
        <v>Tang_Zhong_Bo_39665@outlook.jp.co</v>
      </c>
      <c r="K531" t="str">
        <f t="shared" ca="1" si="122"/>
        <v>普通</v>
      </c>
      <c r="L531" t="str">
        <f t="shared" ca="1" si="123"/>
        <v>有り</v>
      </c>
      <c r="M531" t="str">
        <f t="shared" ca="1" si="153"/>
        <v>5%</v>
      </c>
      <c r="N531" t="str">
        <f t="shared" ca="1" si="125"/>
        <v>有り</v>
      </c>
      <c r="O531">
        <f t="shared" ca="1" si="126"/>
        <v>583</v>
      </c>
      <c r="R531">
        <f t="shared" ca="1" si="127"/>
        <v>27</v>
      </c>
      <c r="S531">
        <f t="shared" ca="1" si="128"/>
        <v>23</v>
      </c>
      <c r="T531">
        <f t="shared" ca="1" si="129"/>
        <v>1990</v>
      </c>
      <c r="U531">
        <f t="shared" ca="1" si="130"/>
        <v>1998</v>
      </c>
      <c r="V531">
        <f t="shared" ca="1" si="131"/>
        <v>5</v>
      </c>
      <c r="W531">
        <f t="shared" ca="1" si="132"/>
        <v>31</v>
      </c>
    </row>
    <row r="532" spans="1:23">
      <c r="A532" t="s">
        <v>1652</v>
      </c>
      <c r="B532" t="str">
        <f t="shared" ca="1" si="149"/>
        <v>宋毅格</v>
      </c>
      <c r="C532" t="str">
        <f t="shared" ca="1" si="150"/>
        <v>ｿｰﾝ ｲｰ ｺﾞｰｧ</v>
      </c>
      <c r="D532" t="str">
        <f t="shared" ca="1" si="151"/>
        <v>Song Yi Ge</v>
      </c>
      <c r="E532" t="str" cm="1">
        <f t="array" aca="1" ref="E532" ca="1">INDIRECT(ADDRESS(RANDBETWEEN(2,16),7,1,1,"valueBase"))</f>
        <v>男性</v>
      </c>
      <c r="F532" s="5">
        <f t="shared" ca="1" si="146"/>
        <v>31265</v>
      </c>
      <c r="G532" s="5">
        <f t="shared" ca="1" si="147"/>
        <v>39583</v>
      </c>
      <c r="H532" s="5">
        <f t="shared" ca="1" si="148"/>
        <v>40313</v>
      </c>
      <c r="I532" t="str">
        <f t="shared" ca="1" si="120"/>
        <v>090-9078-1717</v>
      </c>
      <c r="J532" t="str">
        <f t="shared" ca="1" si="152"/>
        <v>Song_Yi_Ge_39583@outlook.jp.co</v>
      </c>
      <c r="K532" t="str">
        <f t="shared" ca="1" si="122"/>
        <v>普通</v>
      </c>
      <c r="L532" t="str">
        <f t="shared" ca="1" si="123"/>
        <v>有り</v>
      </c>
      <c r="M532" t="str">
        <f t="shared" ca="1" si="153"/>
        <v>5%</v>
      </c>
      <c r="N532" t="str">
        <f t="shared" ca="1" si="125"/>
        <v>有り</v>
      </c>
      <c r="O532">
        <f t="shared" ca="1" si="126"/>
        <v>479</v>
      </c>
      <c r="R532">
        <f t="shared" ca="1" si="127"/>
        <v>23</v>
      </c>
      <c r="S532">
        <f t="shared" ca="1" si="128"/>
        <v>172</v>
      </c>
      <c r="T532">
        <f t="shared" ca="1" si="129"/>
        <v>1996</v>
      </c>
      <c r="U532">
        <f t="shared" ca="1" si="130"/>
        <v>1997</v>
      </c>
      <c r="V532">
        <f t="shared" ca="1" si="131"/>
        <v>9</v>
      </c>
      <c r="W532">
        <f t="shared" ca="1" si="132"/>
        <v>26</v>
      </c>
    </row>
    <row r="533" spans="1:23">
      <c r="A533" t="s">
        <v>1653</v>
      </c>
      <c r="B533" t="str">
        <f t="shared" ca="1" si="149"/>
        <v>郭若齊</v>
      </c>
      <c r="C533" t="str">
        <f t="shared" ca="1" si="150"/>
        <v>ｸﾞｵ ｩﾙｵ ﾁｲ</v>
      </c>
      <c r="D533" t="str">
        <f t="shared" ca="1" si="151"/>
        <v>Guo Ruo Qi</v>
      </c>
      <c r="E533" t="str" cm="1">
        <f t="array" aca="1" ref="E533" ca="1">INDIRECT(ADDRESS(RANDBETWEEN(2,16),7,1,1,"valueBase"))</f>
        <v>-</v>
      </c>
      <c r="F533" s="5">
        <f t="shared" ca="1" si="146"/>
        <v>25051</v>
      </c>
      <c r="G533" s="5">
        <f t="shared" ca="1" si="147"/>
        <v>44874</v>
      </c>
      <c r="H533" s="5">
        <f t="shared" ca="1" si="148"/>
        <v>45239</v>
      </c>
      <c r="I533" t="str">
        <f t="shared" ca="1" si="120"/>
        <v>090-5767-3364</v>
      </c>
      <c r="J533" t="str">
        <f t="shared" ca="1" si="152"/>
        <v>Guo_Ruo Qi_44874@outlook.jp.co</v>
      </c>
      <c r="K533" t="str">
        <f t="shared" ca="1" si="122"/>
        <v>高級</v>
      </c>
      <c r="L533" t="str">
        <f t="shared" ca="1" si="123"/>
        <v>有り</v>
      </c>
      <c r="M533" t="str">
        <f t="shared" ca="1" si="153"/>
        <v>10%</v>
      </c>
      <c r="N533" t="str">
        <f t="shared" ca="1" si="125"/>
        <v>有り</v>
      </c>
      <c r="O533">
        <f t="shared" ca="1" si="126"/>
        <v>124</v>
      </c>
      <c r="R533">
        <f t="shared" ca="1" si="127"/>
        <v>19</v>
      </c>
      <c r="S533">
        <f t="shared" ca="1" si="128"/>
        <v>69</v>
      </c>
      <c r="T533">
        <f t="shared" ca="1" si="129"/>
        <v>1979</v>
      </c>
      <c r="U533">
        <f t="shared" ca="1" si="130"/>
        <v>1990</v>
      </c>
      <c r="V533">
        <f t="shared" ca="1" si="131"/>
        <v>6</v>
      </c>
      <c r="W533">
        <f t="shared" ca="1" si="132"/>
        <v>1</v>
      </c>
    </row>
    <row r="534" spans="1:23">
      <c r="A534" t="s">
        <v>1654</v>
      </c>
      <c r="B534" t="str">
        <f t="shared" ca="1" si="149"/>
        <v>黃心禹</v>
      </c>
      <c r="C534" t="str">
        <f t="shared" ca="1" si="150"/>
        <v>ﾎﾜｰﾝ ｼﾝ ﾕｲ</v>
      </c>
      <c r="D534" t="str">
        <f t="shared" ca="1" si="151"/>
        <v>Huang Xin Yu</v>
      </c>
      <c r="E534" t="str" cm="1">
        <f t="array" aca="1" ref="E534" ca="1">INDIRECT(ADDRESS(RANDBETWEEN(2,16),7,1,1,"valueBase"))</f>
        <v>女性</v>
      </c>
      <c r="F534" s="5">
        <f t="shared" ca="1" si="146"/>
        <v>28821</v>
      </c>
      <c r="G534" s="5">
        <f t="shared" ca="1" si="147"/>
        <v>43572</v>
      </c>
      <c r="H534" s="5">
        <f t="shared" ca="1" si="148"/>
        <v>44667</v>
      </c>
      <c r="I534" t="str">
        <f t="shared" ca="1" si="120"/>
        <v>090-4076-4043</v>
      </c>
      <c r="J534" t="str">
        <f t="shared" ca="1" si="152"/>
        <v>Huang_Xin_Yu_43572@outlook.jp.co</v>
      </c>
      <c r="K534" t="str">
        <f t="shared" ca="1" si="122"/>
        <v>普通</v>
      </c>
      <c r="L534" t="str">
        <f t="shared" ca="1" si="123"/>
        <v>有り</v>
      </c>
      <c r="M534" t="str">
        <f t="shared" ca="1" si="153"/>
        <v>5%</v>
      </c>
      <c r="N534" t="str">
        <f t="shared" ca="1" si="125"/>
        <v>有り</v>
      </c>
      <c r="O534">
        <f t="shared" ca="1" si="126"/>
        <v>133</v>
      </c>
      <c r="R534">
        <f t="shared" ca="1" si="127"/>
        <v>9</v>
      </c>
      <c r="S534">
        <f t="shared" ca="1" si="128"/>
        <v>196</v>
      </c>
      <c r="T534">
        <f t="shared" ca="1" si="129"/>
        <v>1979</v>
      </c>
      <c r="U534">
        <f t="shared" ca="1" si="130"/>
        <v>1989</v>
      </c>
      <c r="V534">
        <f t="shared" ca="1" si="131"/>
        <v>7</v>
      </c>
      <c r="W534">
        <f t="shared" ca="1" si="132"/>
        <v>22</v>
      </c>
    </row>
    <row r="535" spans="1:23">
      <c r="A535" t="s">
        <v>1655</v>
      </c>
      <c r="B535" t="str">
        <f t="shared" ca="1" si="149"/>
        <v>林羽鳳</v>
      </c>
      <c r="C535" t="str">
        <f t="shared" ca="1" si="150"/>
        <v>ﾘﾝ ﾕｲ ﾌｵﾝ</v>
      </c>
      <c r="D535" t="str">
        <f t="shared" ca="1" si="151"/>
        <v>Lin Yu Feng</v>
      </c>
      <c r="E535" t="str" cm="1">
        <f t="array" aca="1" ref="E535" ca="1">INDIRECT(ADDRESS(RANDBETWEEN(2,16),7,1,1,"valueBase"))</f>
        <v>男性</v>
      </c>
      <c r="F535" s="5">
        <f t="shared" ca="1" si="146"/>
        <v>29899</v>
      </c>
      <c r="G535" s="5">
        <f t="shared" ca="1" si="147"/>
        <v>39055</v>
      </c>
      <c r="H535" s="5">
        <f t="shared" ca="1" si="148"/>
        <v>39420</v>
      </c>
      <c r="I535" t="str">
        <f t="shared" ca="1" si="120"/>
        <v>090-9786-5021</v>
      </c>
      <c r="J535" t="str">
        <f t="shared" ca="1" si="152"/>
        <v>Lin_Yu_Feng_39055@outlook.jp.co</v>
      </c>
      <c r="K535" t="str">
        <f t="shared" ca="1" si="122"/>
        <v>普通</v>
      </c>
      <c r="L535" t="str">
        <f t="shared" ca="1" si="123"/>
        <v>有り</v>
      </c>
      <c r="M535" t="str">
        <f t="shared" ca="1" si="153"/>
        <v>5%</v>
      </c>
      <c r="N535" t="str">
        <f t="shared" ca="1" si="125"/>
        <v>有り</v>
      </c>
      <c r="O535">
        <f t="shared" ca="1" si="126"/>
        <v>88</v>
      </c>
      <c r="R535">
        <f t="shared" ca="1" si="127"/>
        <v>17</v>
      </c>
      <c r="S535">
        <f t="shared" ca="1" si="128"/>
        <v>165</v>
      </c>
      <c r="T535">
        <f t="shared" ca="1" si="129"/>
        <v>1980</v>
      </c>
      <c r="U535">
        <f t="shared" ca="1" si="130"/>
        <v>1988</v>
      </c>
      <c r="V535">
        <f t="shared" ca="1" si="131"/>
        <v>1</v>
      </c>
      <c r="W535">
        <f t="shared" ca="1" si="132"/>
        <v>22</v>
      </c>
    </row>
    <row r="536" spans="1:23">
      <c r="A536" t="s">
        <v>1656</v>
      </c>
      <c r="B536" t="str">
        <f t="shared" ca="1" si="149"/>
        <v>黃勤財</v>
      </c>
      <c r="C536" t="str">
        <f t="shared" ca="1" si="150"/>
        <v>ﾎﾜｰﾝ ﾁﾝ ﾂｧｲ</v>
      </c>
      <c r="D536" t="str">
        <f t="shared" ca="1" si="151"/>
        <v>Huang Qin Cai</v>
      </c>
      <c r="E536" t="str" cm="1">
        <f t="array" aca="1" ref="E536" ca="1">INDIRECT(ADDRESS(RANDBETWEEN(2,16),7,1,1,"valueBase"))</f>
        <v>女性</v>
      </c>
      <c r="F536" s="5">
        <f t="shared" ca="1" si="146"/>
        <v>32042</v>
      </c>
      <c r="G536" s="5">
        <f t="shared" ca="1" si="147"/>
        <v>39889</v>
      </c>
      <c r="H536" s="5">
        <f t="shared" ca="1" si="148"/>
        <v>40619</v>
      </c>
      <c r="I536" t="str">
        <f t="shared" ca="1" si="120"/>
        <v>090-4018-1499</v>
      </c>
      <c r="J536" t="str">
        <f t="shared" ca="1" si="152"/>
        <v>Huang_Qin_Cai_39889@outlook.jp.co</v>
      </c>
      <c r="K536" t="str">
        <f t="shared" ca="1" si="122"/>
        <v>普通</v>
      </c>
      <c r="L536" t="str">
        <f t="shared" ca="1" si="123"/>
        <v>有り</v>
      </c>
      <c r="M536" t="str">
        <f t="shared" ca="1" si="153"/>
        <v>5%</v>
      </c>
      <c r="N536" t="str">
        <f t="shared" ca="1" si="125"/>
        <v>有り</v>
      </c>
      <c r="O536">
        <f t="shared" ca="1" si="126"/>
        <v>8</v>
      </c>
      <c r="R536">
        <f t="shared" ca="1" si="127"/>
        <v>9</v>
      </c>
      <c r="S536">
        <f t="shared" ca="1" si="128"/>
        <v>184</v>
      </c>
      <c r="T536">
        <f t="shared" ca="1" si="129"/>
        <v>1989</v>
      </c>
      <c r="U536">
        <f t="shared" ca="1" si="130"/>
        <v>1991</v>
      </c>
      <c r="V536">
        <f t="shared" ca="1" si="131"/>
        <v>3</v>
      </c>
      <c r="W536">
        <f t="shared" ca="1" si="132"/>
        <v>15</v>
      </c>
    </row>
    <row r="537" spans="1:23">
      <c r="A537" t="s">
        <v>1657</v>
      </c>
      <c r="B537" t="str">
        <f t="shared" ca="1" si="149"/>
        <v>孫影真</v>
      </c>
      <c r="C537" t="str">
        <f t="shared" ca="1" si="150"/>
        <v>ｽｩﾝ ｲｰﾝ ｼﾞｪﾝ</v>
      </c>
      <c r="D537" t="str">
        <f t="shared" ca="1" si="151"/>
        <v>Sun Ying Zhen</v>
      </c>
      <c r="E537" t="str" cm="1">
        <f t="array" aca="1" ref="E537" ca="1">INDIRECT(ADDRESS(RANDBETWEEN(2,16),7,1,1,"valueBase"))</f>
        <v>女性</v>
      </c>
      <c r="F537" s="5">
        <f t="shared" ca="1" si="146"/>
        <v>25678</v>
      </c>
      <c r="G537" s="5">
        <f t="shared" ca="1" si="147"/>
        <v>41266</v>
      </c>
      <c r="H537" s="5">
        <f t="shared" ca="1" si="148"/>
        <v>42361</v>
      </c>
      <c r="I537" t="str">
        <f t="shared" ca="1" si="120"/>
        <v>080-7124-1934</v>
      </c>
      <c r="J537" t="str">
        <f t="shared" ca="1" si="152"/>
        <v>Sun_Ying_Zhen_41266@outlook.jp.co</v>
      </c>
      <c r="K537" t="str">
        <f t="shared" ca="1" si="122"/>
        <v>普通</v>
      </c>
      <c r="L537" t="str">
        <f t="shared" ca="1" si="123"/>
        <v>-</v>
      </c>
      <c r="M537" t="str">
        <f t="shared" ca="1" si="153"/>
        <v>-</v>
      </c>
      <c r="N537" t="str">
        <f t="shared" ca="1" si="125"/>
        <v>-</v>
      </c>
      <c r="O537" t="str">
        <f t="shared" ca="1" si="126"/>
        <v>-</v>
      </c>
      <c r="R537">
        <f t="shared" ca="1" si="127"/>
        <v>13</v>
      </c>
      <c r="S537">
        <f t="shared" ca="1" si="128"/>
        <v>140</v>
      </c>
      <c r="T537">
        <f t="shared" ca="1" si="129"/>
        <v>1972</v>
      </c>
      <c r="U537">
        <f t="shared" ca="1" si="130"/>
        <v>1980</v>
      </c>
      <c r="V537">
        <f t="shared" ca="1" si="131"/>
        <v>11</v>
      </c>
      <c r="W537">
        <f t="shared" ca="1" si="132"/>
        <v>12</v>
      </c>
    </row>
    <row r="538" spans="1:23">
      <c r="A538" t="s">
        <v>1658</v>
      </c>
      <c r="B538" t="str">
        <f t="shared" ca="1" si="149"/>
        <v>朱雲欣</v>
      </c>
      <c r="C538" t="str">
        <f t="shared" ca="1" si="150"/>
        <v>ｼﾞｭｳ ﾕｲﾝ ｼﾝ</v>
      </c>
      <c r="D538" t="str">
        <f t="shared" ca="1" si="151"/>
        <v>Zhu Yun Xin</v>
      </c>
      <c r="E538" t="str" cm="1">
        <f t="array" aca="1" ref="E538" ca="1">INDIRECT(ADDRESS(RANDBETWEEN(2,16),7,1,1,"valueBase"))</f>
        <v>女性</v>
      </c>
      <c r="F538" s="5">
        <f t="shared" ca="1" si="146"/>
        <v>32450</v>
      </c>
      <c r="G538" s="5">
        <f t="shared" ca="1" si="147"/>
        <v>40524</v>
      </c>
      <c r="H538" s="5">
        <f t="shared" ca="1" si="148"/>
        <v>41254</v>
      </c>
      <c r="I538" t="str">
        <f t="shared" ca="1" si="120"/>
        <v>080-8080-8310</v>
      </c>
      <c r="J538" t="str">
        <f t="shared" ca="1" si="152"/>
        <v>Zhu_Yun_Xin_40524@outlook.jp.co</v>
      </c>
      <c r="K538" t="str">
        <f t="shared" ca="1" si="122"/>
        <v>高級</v>
      </c>
      <c r="L538" t="str">
        <f t="shared" ca="1" si="123"/>
        <v>有り</v>
      </c>
      <c r="M538" t="str">
        <f t="shared" ca="1" si="153"/>
        <v>10%</v>
      </c>
      <c r="N538" t="str">
        <f t="shared" ca="1" si="125"/>
        <v>有り</v>
      </c>
      <c r="O538">
        <f t="shared" ca="1" si="126"/>
        <v>119</v>
      </c>
      <c r="R538">
        <f t="shared" ca="1" si="127"/>
        <v>15</v>
      </c>
      <c r="S538">
        <f t="shared" ca="1" si="128"/>
        <v>80</v>
      </c>
      <c r="T538">
        <f t="shared" ca="1" si="129"/>
        <v>1985</v>
      </c>
      <c r="U538">
        <f t="shared" ca="1" si="130"/>
        <v>1994</v>
      </c>
      <c r="V538">
        <f t="shared" ca="1" si="131"/>
        <v>1</v>
      </c>
      <c r="W538">
        <f t="shared" ca="1" si="132"/>
        <v>22</v>
      </c>
    </row>
    <row r="539" spans="1:23">
      <c r="A539" t="s">
        <v>1659</v>
      </c>
      <c r="B539" t="str">
        <f t="shared" ca="1" si="149"/>
        <v>郭創和</v>
      </c>
      <c r="C539" t="str">
        <f t="shared" ca="1" si="150"/>
        <v>ｸﾞｵ ﾁｭﾜｰﾝ ﾎｰｧ</v>
      </c>
      <c r="D539" t="str">
        <f t="shared" ca="1" si="151"/>
        <v>Guo Chuang He</v>
      </c>
      <c r="E539" t="str" cm="1">
        <f t="array" aca="1" ref="E539" ca="1">INDIRECT(ADDRESS(RANDBETWEEN(2,16),7,1,1,"valueBase"))</f>
        <v>男性</v>
      </c>
      <c r="F539" s="5">
        <f t="shared" ca="1" si="146"/>
        <v>25061</v>
      </c>
      <c r="G539" s="5">
        <f t="shared" ca="1" si="147"/>
        <v>35026</v>
      </c>
      <c r="H539" s="5">
        <f t="shared" ca="1" si="148"/>
        <v>35391</v>
      </c>
      <c r="I539" t="str">
        <f t="shared" ca="1" si="120"/>
        <v>080-2798-9835</v>
      </c>
      <c r="J539" t="str">
        <f t="shared" ca="1" si="152"/>
        <v>Guo_Chuang He_35026@outlook.jp.co</v>
      </c>
      <c r="K539" t="str">
        <f t="shared" ca="1" si="122"/>
        <v>普通</v>
      </c>
      <c r="L539" t="str">
        <f t="shared" ca="1" si="123"/>
        <v>有り</v>
      </c>
      <c r="M539" t="str">
        <f t="shared" ca="1" si="153"/>
        <v>5%</v>
      </c>
      <c r="N539" t="str">
        <f t="shared" ca="1" si="125"/>
        <v>-</v>
      </c>
      <c r="O539" t="str">
        <f t="shared" ca="1" si="126"/>
        <v>-</v>
      </c>
      <c r="R539">
        <f t="shared" ca="1" si="127"/>
        <v>19</v>
      </c>
      <c r="S539">
        <f t="shared" ca="1" si="128"/>
        <v>125</v>
      </c>
      <c r="T539">
        <f t="shared" ca="1" si="129"/>
        <v>1980</v>
      </c>
      <c r="U539">
        <f t="shared" ca="1" si="130"/>
        <v>1983</v>
      </c>
      <c r="V539">
        <f t="shared" ca="1" si="131"/>
        <v>3</v>
      </c>
      <c r="W539">
        <f t="shared" ca="1" si="132"/>
        <v>24</v>
      </c>
    </row>
    <row r="540" spans="1:23">
      <c r="A540" t="s">
        <v>1660</v>
      </c>
      <c r="B540" t="str">
        <f t="shared" ca="1" si="149"/>
        <v>謝詠堯</v>
      </c>
      <c r="C540" t="str">
        <f t="shared" ca="1" si="150"/>
        <v>ｼｴ ﾖｰﾝ ﾔｵ</v>
      </c>
      <c r="D540" t="str">
        <f t="shared" ca="1" si="151"/>
        <v>Xie Yong Yao</v>
      </c>
      <c r="E540" t="str" cm="1">
        <f t="array" aca="1" ref="E540" ca="1">INDIRECT(ADDRESS(RANDBETWEEN(2,16),7,1,1,"valueBase"))</f>
        <v>-</v>
      </c>
      <c r="F540" s="5">
        <f t="shared" ca="1" si="146"/>
        <v>31337</v>
      </c>
      <c r="G540" s="5">
        <f t="shared" ca="1" si="147"/>
        <v>40273</v>
      </c>
      <c r="H540" s="5">
        <f t="shared" ca="1" si="148"/>
        <v>41003</v>
      </c>
      <c r="I540" t="str">
        <f t="shared" ca="1" si="120"/>
        <v>080-2083-9160</v>
      </c>
      <c r="J540" t="str">
        <f t="shared" ca="1" si="152"/>
        <v>Xie_Yong_Yao_40273@outlook.jp.co</v>
      </c>
      <c r="K540" t="str">
        <f t="shared" ca="1" si="122"/>
        <v>普通</v>
      </c>
      <c r="L540" t="str">
        <f t="shared" ca="1" si="123"/>
        <v>有り</v>
      </c>
      <c r="M540" t="str">
        <f t="shared" ca="1" si="153"/>
        <v>5%</v>
      </c>
      <c r="N540" t="str">
        <f t="shared" ca="1" si="125"/>
        <v>-</v>
      </c>
      <c r="O540" t="str">
        <f t="shared" ca="1" si="126"/>
        <v>-</v>
      </c>
      <c r="R540">
        <f t="shared" ca="1" si="127"/>
        <v>25</v>
      </c>
      <c r="S540">
        <f t="shared" ca="1" si="128"/>
        <v>273</v>
      </c>
      <c r="T540">
        <f t="shared" ca="1" si="129"/>
        <v>1996</v>
      </c>
      <c r="U540">
        <f t="shared" ca="1" si="130"/>
        <v>2006</v>
      </c>
      <c r="V540">
        <f t="shared" ca="1" si="131"/>
        <v>2</v>
      </c>
      <c r="W540">
        <f t="shared" ca="1" si="132"/>
        <v>27</v>
      </c>
    </row>
    <row r="541" spans="1:23">
      <c r="A541" t="s">
        <v>1661</v>
      </c>
      <c r="B541" t="str">
        <f t="shared" ca="1" si="149"/>
        <v>張逸芹</v>
      </c>
      <c r="C541" t="str">
        <f t="shared" ca="1" si="150"/>
        <v>ｼﾞｬｰﾝ ｲｰ ﾁﾝ</v>
      </c>
      <c r="D541" t="str">
        <f t="shared" ca="1" si="151"/>
        <v>Zhang Yi Qin</v>
      </c>
      <c r="E541" t="str" cm="1">
        <f t="array" aca="1" ref="E541" ca="1">INDIRECT(ADDRESS(RANDBETWEEN(2,16),7,1,1,"valueBase"))</f>
        <v>女性</v>
      </c>
      <c r="F541" s="5">
        <f t="shared" ca="1" si="146"/>
        <v>26079</v>
      </c>
      <c r="G541" s="5">
        <f t="shared" ca="1" si="147"/>
        <v>39364</v>
      </c>
      <c r="H541" s="5">
        <f t="shared" ca="1" si="148"/>
        <v>40459</v>
      </c>
      <c r="I541" t="str">
        <f t="shared" ca="1" si="120"/>
        <v>090-1549-2359</v>
      </c>
      <c r="J541" t="str">
        <f t="shared" ca="1" si="152"/>
        <v>Zhang_Yi_Qin_39364@outlook.jp.co</v>
      </c>
      <c r="K541" t="str">
        <f t="shared" ca="1" si="122"/>
        <v>普通</v>
      </c>
      <c r="L541" t="str">
        <f t="shared" ca="1" si="123"/>
        <v>有り</v>
      </c>
      <c r="M541" t="str">
        <f t="shared" ca="1" si="153"/>
        <v>5%</v>
      </c>
      <c r="N541" t="str">
        <f t="shared" ca="1" si="125"/>
        <v>有り</v>
      </c>
      <c r="O541">
        <f t="shared" ca="1" si="126"/>
        <v>484</v>
      </c>
      <c r="R541">
        <f t="shared" ca="1" si="127"/>
        <v>4</v>
      </c>
      <c r="S541">
        <f t="shared" ca="1" si="128"/>
        <v>4</v>
      </c>
      <c r="T541">
        <f t="shared" ca="1" si="129"/>
        <v>2010</v>
      </c>
      <c r="U541">
        <f t="shared" ca="1" si="130"/>
        <v>2015</v>
      </c>
      <c r="V541">
        <f t="shared" ca="1" si="131"/>
        <v>4</v>
      </c>
      <c r="W541">
        <f t="shared" ca="1" si="132"/>
        <v>11</v>
      </c>
    </row>
    <row r="542" spans="1:23">
      <c r="A542" t="s">
        <v>1662</v>
      </c>
      <c r="B542" t="str">
        <f t="shared" ca="1" si="149"/>
        <v>于葉菡</v>
      </c>
      <c r="C542" t="str">
        <f t="shared" ca="1" si="150"/>
        <v>ﾕｲ ｲｴ ﾊﾝ</v>
      </c>
      <c r="D542" t="str">
        <f t="shared" ca="1" si="151"/>
        <v>Yu Ye Han</v>
      </c>
      <c r="E542" t="str" cm="1">
        <f t="array" aca="1" ref="E542" ca="1">INDIRECT(ADDRESS(RANDBETWEEN(2,16),7,1,1,"valueBase"))</f>
        <v>男性</v>
      </c>
      <c r="F542" s="5">
        <f t="shared" ca="1" si="146"/>
        <v>33406</v>
      </c>
      <c r="G542" s="5">
        <f t="shared" ca="1" si="147"/>
        <v>40211</v>
      </c>
      <c r="H542" s="5">
        <f t="shared" ca="1" si="148"/>
        <v>40576</v>
      </c>
      <c r="I542" t="str">
        <f t="shared" ca="1" si="120"/>
        <v>090-0638-5779</v>
      </c>
      <c r="J542" t="str">
        <f t="shared" ca="1" si="152"/>
        <v>Yu_Ye_Han_40211@outlook.jp.co</v>
      </c>
      <c r="K542" t="str">
        <f t="shared" ca="1" si="122"/>
        <v>普通</v>
      </c>
      <c r="L542" t="str">
        <f t="shared" ca="1" si="123"/>
        <v>-</v>
      </c>
      <c r="M542" t="str">
        <f t="shared" ca="1" si="153"/>
        <v>-</v>
      </c>
      <c r="N542" t="str">
        <f t="shared" ca="1" si="125"/>
        <v>-</v>
      </c>
      <c r="O542" t="str">
        <f t="shared" ca="1" si="126"/>
        <v>-</v>
      </c>
      <c r="R542">
        <f t="shared" ca="1" si="127"/>
        <v>29</v>
      </c>
      <c r="S542">
        <f t="shared" ca="1" si="128"/>
        <v>38</v>
      </c>
      <c r="T542">
        <f t="shared" ca="1" si="129"/>
        <v>1997</v>
      </c>
      <c r="U542">
        <f t="shared" ca="1" si="130"/>
        <v>2001</v>
      </c>
      <c r="V542">
        <f t="shared" ca="1" si="131"/>
        <v>6</v>
      </c>
      <c r="W542">
        <f t="shared" ca="1" si="132"/>
        <v>26</v>
      </c>
    </row>
    <row r="543" spans="1:23">
      <c r="A543" t="s">
        <v>1663</v>
      </c>
      <c r="B543" t="str">
        <f t="shared" ca="1" si="149"/>
        <v>謝逸芹</v>
      </c>
      <c r="C543" t="str">
        <f t="shared" ca="1" si="150"/>
        <v>ｼｴ ｲｰ ﾁﾝ</v>
      </c>
      <c r="D543" t="str">
        <f t="shared" ca="1" si="151"/>
        <v>Xie Yi Qin</v>
      </c>
      <c r="E543" t="str" cm="1">
        <f t="array" aca="1" ref="E543" ca="1">INDIRECT(ADDRESS(RANDBETWEEN(2,16),7,1,1,"valueBase"))</f>
        <v>男性</v>
      </c>
      <c r="F543" s="5">
        <f t="shared" ca="1" si="146"/>
        <v>22476</v>
      </c>
      <c r="G543" s="5">
        <f t="shared" ca="1" si="147"/>
        <v>36415</v>
      </c>
      <c r="H543" s="5">
        <f t="shared" ca="1" si="148"/>
        <v>36780</v>
      </c>
      <c r="I543" t="str">
        <f t="shared" ca="1" si="120"/>
        <v>080-2767-6397</v>
      </c>
      <c r="J543" t="str">
        <f t="shared" ca="1" si="152"/>
        <v>Xie_Yi_Qin_36415@outlook.jp.co</v>
      </c>
      <c r="K543" t="str">
        <f t="shared" ca="1" si="122"/>
        <v>高級</v>
      </c>
      <c r="L543" t="str">
        <f t="shared" ca="1" si="123"/>
        <v>有り</v>
      </c>
      <c r="M543" t="str">
        <f t="shared" ca="1" si="153"/>
        <v>10%</v>
      </c>
      <c r="N543" t="str">
        <f t="shared" ca="1" si="125"/>
        <v>-</v>
      </c>
      <c r="O543" t="str">
        <f t="shared" ca="1" si="126"/>
        <v>-</v>
      </c>
      <c r="R543">
        <f t="shared" ca="1" si="127"/>
        <v>25</v>
      </c>
      <c r="S543">
        <f t="shared" ca="1" si="128"/>
        <v>4</v>
      </c>
      <c r="T543">
        <f t="shared" ca="1" si="129"/>
        <v>1984</v>
      </c>
      <c r="U543">
        <f t="shared" ca="1" si="130"/>
        <v>1986</v>
      </c>
      <c r="V543">
        <f t="shared" ca="1" si="131"/>
        <v>8</v>
      </c>
      <c r="W543">
        <f t="shared" ca="1" si="132"/>
        <v>12</v>
      </c>
    </row>
    <row r="544" spans="1:23">
      <c r="A544" t="s">
        <v>1664</v>
      </c>
      <c r="B544" t="str">
        <f t="shared" ca="1" si="149"/>
        <v>吳領東</v>
      </c>
      <c r="C544" t="str">
        <f t="shared" ca="1" si="150"/>
        <v>ｳｰ ﾘｰﾝ ﾄﾞｰﾝ</v>
      </c>
      <c r="D544" t="str">
        <f t="shared" ca="1" si="151"/>
        <v>Wu Ling Dong</v>
      </c>
      <c r="E544" t="str" cm="1">
        <f t="array" aca="1" ref="E544" ca="1">INDIRECT(ADDRESS(RANDBETWEEN(2,16),7,1,1,"valueBase"))</f>
        <v>女性</v>
      </c>
      <c r="F544" s="5">
        <f t="shared" ca="1" si="146"/>
        <v>38842</v>
      </c>
      <c r="G544" s="5">
        <f t="shared" ca="1" si="147"/>
        <v>45425</v>
      </c>
      <c r="H544" s="5">
        <f t="shared" ca="1" si="148"/>
        <v>46520</v>
      </c>
      <c r="I544" t="str">
        <f t="shared" ca="1" si="120"/>
        <v>080-3778-8029</v>
      </c>
      <c r="J544" t="str">
        <f t="shared" ca="1" si="152"/>
        <v>Wu_Ling_Dong_45425@outlook.jp.co</v>
      </c>
      <c r="K544" t="str">
        <f t="shared" ca="1" si="122"/>
        <v>高級</v>
      </c>
      <c r="L544" t="str">
        <f t="shared" ca="1" si="123"/>
        <v>-</v>
      </c>
      <c r="M544" t="str">
        <f t="shared" ca="1" si="153"/>
        <v>-</v>
      </c>
      <c r="N544" t="str">
        <f t="shared" ca="1" si="125"/>
        <v>有り</v>
      </c>
      <c r="O544">
        <f t="shared" ca="1" si="126"/>
        <v>99</v>
      </c>
      <c r="R544">
        <f t="shared" ca="1" si="127"/>
        <v>11</v>
      </c>
      <c r="S544">
        <f t="shared" ca="1" si="128"/>
        <v>94</v>
      </c>
      <c r="T544">
        <f t="shared" ca="1" si="129"/>
        <v>1978</v>
      </c>
      <c r="U544">
        <f t="shared" ca="1" si="130"/>
        <v>1989</v>
      </c>
      <c r="V544">
        <f t="shared" ca="1" si="131"/>
        <v>9</v>
      </c>
      <c r="W544">
        <f t="shared" ca="1" si="132"/>
        <v>15</v>
      </c>
    </row>
    <row r="545" spans="1:23">
      <c r="A545" t="s">
        <v>1665</v>
      </c>
      <c r="B545" t="str">
        <f t="shared" ca="1" si="149"/>
        <v>黃物修</v>
      </c>
      <c r="C545" t="str">
        <f t="shared" ca="1" si="150"/>
        <v>ﾎﾜｰﾝ ｳｰ ｼｳ</v>
      </c>
      <c r="D545" t="str">
        <f t="shared" ca="1" si="151"/>
        <v>Huang Wu Xiu</v>
      </c>
      <c r="E545" t="str" cm="1">
        <f t="array" aca="1" ref="E545" ca="1">INDIRECT(ADDRESS(RANDBETWEEN(2,16),7,1,1,"valueBase"))</f>
        <v>女性</v>
      </c>
      <c r="F545" s="5">
        <f t="shared" ca="1" si="146"/>
        <v>37707</v>
      </c>
      <c r="G545" s="5">
        <f t="shared" ca="1" si="147"/>
        <v>45266</v>
      </c>
      <c r="H545" s="5">
        <f t="shared" ca="1" si="148"/>
        <v>45631</v>
      </c>
      <c r="I545" t="str">
        <f t="shared" ca="1" si="120"/>
        <v>090-6507-1184</v>
      </c>
      <c r="J545" t="str">
        <f t="shared" ca="1" si="152"/>
        <v>Huang_Wu_Xiu_45266@outlook.jp.co</v>
      </c>
      <c r="K545" t="str">
        <f t="shared" ca="1" si="122"/>
        <v>普通</v>
      </c>
      <c r="L545" t="str">
        <f t="shared" ca="1" si="123"/>
        <v>有り</v>
      </c>
      <c r="M545" t="str">
        <f t="shared" ca="1" si="153"/>
        <v>5%</v>
      </c>
      <c r="N545" t="str">
        <f t="shared" ca="1" si="125"/>
        <v>有り</v>
      </c>
      <c r="O545">
        <f t="shared" ca="1" si="126"/>
        <v>790</v>
      </c>
      <c r="R545">
        <f t="shared" ca="1" si="127"/>
        <v>9</v>
      </c>
      <c r="S545">
        <f t="shared" ca="1" si="128"/>
        <v>188</v>
      </c>
      <c r="T545">
        <f t="shared" ca="1" si="129"/>
        <v>1997</v>
      </c>
      <c r="U545">
        <f t="shared" ca="1" si="130"/>
        <v>2005</v>
      </c>
      <c r="V545">
        <f t="shared" ca="1" si="131"/>
        <v>8</v>
      </c>
      <c r="W545">
        <f t="shared" ca="1" si="132"/>
        <v>4</v>
      </c>
    </row>
    <row r="546" spans="1:23">
      <c r="A546" t="s">
        <v>1666</v>
      </c>
      <c r="B546" t="str">
        <f t="shared" ca="1" si="149"/>
        <v>孫含瑋</v>
      </c>
      <c r="C546" t="str">
        <f t="shared" ca="1" si="150"/>
        <v>ｽｩﾝ ﾊﾝ ｳｴｲ</v>
      </c>
      <c r="D546" t="str">
        <f t="shared" ca="1" si="151"/>
        <v>Sun Han Wei</v>
      </c>
      <c r="E546" t="str" cm="1">
        <f t="array" aca="1" ref="E546" ca="1">INDIRECT(ADDRESS(RANDBETWEEN(2,16),7,1,1,"valueBase"))</f>
        <v>男性</v>
      </c>
      <c r="F546" s="5">
        <f t="shared" ca="1" si="146"/>
        <v>31956</v>
      </c>
      <c r="G546" s="5">
        <f t="shared" ca="1" si="147"/>
        <v>40425</v>
      </c>
      <c r="H546" s="5">
        <f t="shared" ca="1" si="148"/>
        <v>41520</v>
      </c>
      <c r="I546" t="str">
        <f t="shared" ca="1" si="120"/>
        <v>080-2833-5429</v>
      </c>
      <c r="J546" t="str">
        <f t="shared" ca="1" si="152"/>
        <v>Sun_Han_Wei_40425@outlook.jp.co</v>
      </c>
      <c r="K546" t="str">
        <f t="shared" ca="1" si="122"/>
        <v>高級</v>
      </c>
      <c r="L546" t="str">
        <f t="shared" ca="1" si="123"/>
        <v>有り</v>
      </c>
      <c r="M546" t="str">
        <f t="shared" ca="1" si="153"/>
        <v>10%</v>
      </c>
      <c r="N546" t="str">
        <f t="shared" ca="1" si="125"/>
        <v>-</v>
      </c>
      <c r="O546" t="str">
        <f t="shared" ca="1" si="126"/>
        <v>-</v>
      </c>
      <c r="R546">
        <f t="shared" ca="1" si="127"/>
        <v>13</v>
      </c>
      <c r="S546">
        <f t="shared" ca="1" si="128"/>
        <v>43</v>
      </c>
      <c r="T546">
        <f t="shared" ca="1" si="129"/>
        <v>1975</v>
      </c>
      <c r="U546">
        <f t="shared" ca="1" si="130"/>
        <v>1982</v>
      </c>
      <c r="V546">
        <f t="shared" ca="1" si="131"/>
        <v>5</v>
      </c>
      <c r="W546">
        <f t="shared" ca="1" si="132"/>
        <v>28</v>
      </c>
    </row>
    <row r="547" spans="1:23">
      <c r="A547" t="s">
        <v>1667</v>
      </c>
      <c r="B547" t="str">
        <f t="shared" ca="1" si="149"/>
        <v>朱心璟</v>
      </c>
      <c r="C547" t="str">
        <f t="shared" ca="1" si="150"/>
        <v>ｼﾞｭｳ ｼﾝ ｼﾞｰﾝ</v>
      </c>
      <c r="D547" t="str">
        <f t="shared" ca="1" si="151"/>
        <v>Zhu Xin Jing</v>
      </c>
      <c r="E547" t="str" cm="1">
        <f t="array" aca="1" ref="E547" ca="1">INDIRECT(ADDRESS(RANDBETWEEN(2,16),7,1,1,"valueBase"))</f>
        <v>男性</v>
      </c>
      <c r="F547" s="5">
        <f t="shared" ca="1" si="146"/>
        <v>32109</v>
      </c>
      <c r="G547" s="5">
        <f t="shared" ca="1" si="147"/>
        <v>39803</v>
      </c>
      <c r="H547" s="5">
        <f t="shared" ca="1" si="148"/>
        <v>40898</v>
      </c>
      <c r="I547" t="str">
        <f t="shared" ca="1" si="120"/>
        <v>080-6753-1355</v>
      </c>
      <c r="J547" t="str">
        <f t="shared" ca="1" si="152"/>
        <v>Zhu_Xin_Jing_39803@outlook.jp.co</v>
      </c>
      <c r="K547" t="str">
        <f t="shared" ca="1" si="122"/>
        <v>高級</v>
      </c>
      <c r="L547" t="str">
        <f t="shared" ca="1" si="123"/>
        <v>有り</v>
      </c>
      <c r="M547" t="str">
        <f t="shared" ca="1" si="153"/>
        <v>10%</v>
      </c>
      <c r="N547" t="str">
        <f t="shared" ca="1" si="125"/>
        <v>有り</v>
      </c>
      <c r="O547">
        <f t="shared" ca="1" si="126"/>
        <v>463</v>
      </c>
      <c r="R547">
        <f t="shared" ca="1" si="127"/>
        <v>15</v>
      </c>
      <c r="S547">
        <f t="shared" ca="1" si="128"/>
        <v>61</v>
      </c>
      <c r="T547">
        <f t="shared" ca="1" si="129"/>
        <v>1988</v>
      </c>
      <c r="U547">
        <f t="shared" ca="1" si="130"/>
        <v>1994</v>
      </c>
      <c r="V547">
        <f t="shared" ca="1" si="131"/>
        <v>9</v>
      </c>
      <c r="W547">
        <f t="shared" ca="1" si="132"/>
        <v>12</v>
      </c>
    </row>
    <row r="548" spans="1:23">
      <c r="A548" t="s">
        <v>1668</v>
      </c>
      <c r="B548" t="str">
        <f t="shared" ca="1" si="149"/>
        <v>楊元壯</v>
      </c>
      <c r="C548" t="str">
        <f t="shared" ca="1" si="150"/>
        <v>ﾔｰﾝ ﾕｴﾝ ｼﾞｭﾜｰﾝ</v>
      </c>
      <c r="D548" t="str">
        <f t="shared" ca="1" si="151"/>
        <v>Yang Yuan Zhuang</v>
      </c>
      <c r="E548" t="str" cm="1">
        <f t="array" aca="1" ref="E548" ca="1">INDIRECT(ADDRESS(RANDBETWEEN(2,16),7,1,1,"valueBase"))</f>
        <v>男性</v>
      </c>
      <c r="F548" s="5">
        <f t="shared" ca="1" si="146"/>
        <v>36688</v>
      </c>
      <c r="G548" s="5">
        <f t="shared" ca="1" si="147"/>
        <v>45168</v>
      </c>
      <c r="H548" s="5">
        <f t="shared" ca="1" si="148"/>
        <v>45898</v>
      </c>
      <c r="I548" t="str">
        <f t="shared" ca="1" si="120"/>
        <v>090-5819-8789</v>
      </c>
      <c r="J548" t="str">
        <f t="shared" ca="1" si="152"/>
        <v>Yang_Yuan_Zhuang_45168@outlook.jp.co</v>
      </c>
      <c r="K548" t="str">
        <f t="shared" ca="1" si="122"/>
        <v>普通</v>
      </c>
      <c r="L548" t="str">
        <f t="shared" ca="1" si="123"/>
        <v>-</v>
      </c>
      <c r="M548" t="str">
        <f t="shared" ca="1" si="153"/>
        <v>-</v>
      </c>
      <c r="N548" t="str">
        <f t="shared" ca="1" si="125"/>
        <v>有り</v>
      </c>
      <c r="O548">
        <f t="shared" ca="1" si="126"/>
        <v>765</v>
      </c>
      <c r="R548">
        <f t="shared" ca="1" si="127"/>
        <v>7</v>
      </c>
      <c r="S548">
        <f t="shared" ca="1" si="128"/>
        <v>170</v>
      </c>
      <c r="T548">
        <f t="shared" ca="1" si="129"/>
        <v>1998</v>
      </c>
      <c r="U548">
        <f t="shared" ca="1" si="130"/>
        <v>2004</v>
      </c>
      <c r="V548">
        <f t="shared" ca="1" si="131"/>
        <v>1</v>
      </c>
      <c r="W548">
        <f t="shared" ca="1" si="132"/>
        <v>8</v>
      </c>
    </row>
    <row r="549" spans="1:23">
      <c r="A549" t="s">
        <v>1669</v>
      </c>
      <c r="B549" t="str">
        <f t="shared" ca="1" si="149"/>
        <v>胡藍尚</v>
      </c>
      <c r="C549" t="str">
        <f t="shared" ca="1" si="150"/>
        <v>ﾎｩ ﾗﾝ ｼｬｰﾝ</v>
      </c>
      <c r="D549" t="str">
        <f t="shared" ca="1" si="151"/>
        <v>Hu Lan Shang</v>
      </c>
      <c r="E549" t="str" cm="1">
        <f t="array" aca="1" ref="E549" ca="1">INDIRECT(ADDRESS(RANDBETWEEN(2,16),7,1,1,"valueBase"))</f>
        <v>女性</v>
      </c>
      <c r="F549" s="5">
        <f t="shared" ca="1" si="146"/>
        <v>37223</v>
      </c>
      <c r="G549" s="5">
        <f t="shared" ca="1" si="147"/>
        <v>44019</v>
      </c>
      <c r="H549" s="5">
        <f t="shared" ca="1" si="148"/>
        <v>45114</v>
      </c>
      <c r="I549" t="str">
        <f t="shared" ca="1" si="120"/>
        <v>080-0309-7118</v>
      </c>
      <c r="J549" t="str">
        <f t="shared" ca="1" si="152"/>
        <v>Hu_Lan_Shang_44019@outlook.jp.co</v>
      </c>
      <c r="K549" t="str">
        <f t="shared" ca="1" si="122"/>
        <v>普通</v>
      </c>
      <c r="L549" t="str">
        <f t="shared" ca="1" si="123"/>
        <v>有り</v>
      </c>
      <c r="M549" t="str">
        <f t="shared" ca="1" si="153"/>
        <v>5%</v>
      </c>
      <c r="N549" t="str">
        <f t="shared" ca="1" si="125"/>
        <v>有り</v>
      </c>
      <c r="O549">
        <f t="shared" ca="1" si="126"/>
        <v>643</v>
      </c>
      <c r="R549">
        <f t="shared" ca="1" si="127"/>
        <v>14</v>
      </c>
      <c r="S549">
        <f t="shared" ca="1" si="128"/>
        <v>295</v>
      </c>
      <c r="T549">
        <f t="shared" ca="1" si="129"/>
        <v>1987</v>
      </c>
      <c r="U549">
        <f t="shared" ca="1" si="130"/>
        <v>1994</v>
      </c>
      <c r="V549">
        <f t="shared" ca="1" si="131"/>
        <v>1</v>
      </c>
      <c r="W549">
        <f t="shared" ca="1" si="132"/>
        <v>10</v>
      </c>
    </row>
    <row r="550" spans="1:23">
      <c r="A550" t="s">
        <v>1670</v>
      </c>
      <c r="B550" t="str">
        <f t="shared" ca="1" si="149"/>
        <v>周協銘</v>
      </c>
      <c r="C550" t="str">
        <f t="shared" ca="1" si="150"/>
        <v>ｼﾞｮｳ ｼｴ ﾐｰﾝ</v>
      </c>
      <c r="D550" t="str">
        <f t="shared" ca="1" si="151"/>
        <v>Zhou Xie Ming</v>
      </c>
      <c r="E550" t="str" cm="1">
        <f t="array" aca="1" ref="E550" ca="1">INDIRECT(ADDRESS(RANDBETWEEN(2,16),7,1,1,"valueBase"))</f>
        <v>男性</v>
      </c>
      <c r="F550" s="5">
        <f t="shared" ca="1" si="146"/>
        <v>26418</v>
      </c>
      <c r="G550" s="5">
        <f t="shared" ca="1" si="147"/>
        <v>35688</v>
      </c>
      <c r="H550" s="5">
        <f t="shared" ca="1" si="148"/>
        <v>36053</v>
      </c>
      <c r="I550" t="str">
        <f t="shared" ca="1" si="120"/>
        <v>090-7551-0496</v>
      </c>
      <c r="J550" t="str">
        <f t="shared" ca="1" si="152"/>
        <v>Zhou_Xie_Ming_35688@outlook.jp.co</v>
      </c>
      <c r="K550" t="str">
        <f t="shared" ca="1" si="122"/>
        <v>高級</v>
      </c>
      <c r="L550" t="str">
        <f t="shared" ca="1" si="123"/>
        <v>有り</v>
      </c>
      <c r="M550" t="str">
        <f t="shared" ca="1" si="153"/>
        <v>10%</v>
      </c>
      <c r="N550" t="str">
        <f t="shared" ca="1" si="125"/>
        <v>有り</v>
      </c>
      <c r="O550">
        <f t="shared" ca="1" si="126"/>
        <v>287</v>
      </c>
      <c r="R550">
        <f t="shared" ca="1" si="127"/>
        <v>10</v>
      </c>
      <c r="S550">
        <f t="shared" ca="1" si="128"/>
        <v>225</v>
      </c>
      <c r="T550">
        <f t="shared" ca="1" si="129"/>
        <v>1976</v>
      </c>
      <c r="U550">
        <f t="shared" ca="1" si="130"/>
        <v>1987</v>
      </c>
      <c r="V550">
        <f t="shared" ca="1" si="131"/>
        <v>6</v>
      </c>
      <c r="W550">
        <f t="shared" ca="1" si="132"/>
        <v>12</v>
      </c>
    </row>
    <row r="551" spans="1:23">
      <c r="A551" t="s">
        <v>1671</v>
      </c>
      <c r="B551" t="str">
        <f t="shared" ca="1" si="149"/>
        <v>鄭馳微</v>
      </c>
      <c r="C551" t="str">
        <f t="shared" ca="1" si="150"/>
        <v>ｼﾞｭﾖﾝ ﾁｰ ｳｴｲ</v>
      </c>
      <c r="D551" t="str">
        <f t="shared" ca="1" si="151"/>
        <v>Zheng Chi Wei</v>
      </c>
      <c r="E551" t="str" cm="1">
        <f t="array" aca="1" ref="E551" ca="1">INDIRECT(ADDRESS(RANDBETWEEN(2,16),7,1,1,"valueBase"))</f>
        <v>女性</v>
      </c>
      <c r="F551" s="5">
        <f t="shared" ca="1" si="146"/>
        <v>38856</v>
      </c>
      <c r="G551" s="5">
        <f t="shared" ca="1" si="147"/>
        <v>45441</v>
      </c>
      <c r="H551" s="5">
        <f t="shared" ca="1" si="148"/>
        <v>46171</v>
      </c>
      <c r="I551" t="str">
        <f t="shared" ca="1" si="120"/>
        <v>090-6710-5454</v>
      </c>
      <c r="J551" t="str">
        <f t="shared" ca="1" si="152"/>
        <v>Zheng_Chi_Wei_45441@outlook.jp.co</v>
      </c>
      <c r="K551" t="str">
        <f t="shared" ca="1" si="122"/>
        <v>高級</v>
      </c>
      <c r="L551" t="str">
        <f t="shared" ca="1" si="123"/>
        <v>有り</v>
      </c>
      <c r="M551" t="str">
        <f t="shared" ca="1" si="153"/>
        <v>10%</v>
      </c>
      <c r="N551" t="str">
        <f t="shared" ca="1" si="125"/>
        <v>有り</v>
      </c>
      <c r="O551">
        <f t="shared" ca="1" si="126"/>
        <v>207</v>
      </c>
      <c r="R551">
        <f t="shared" ca="1" si="127"/>
        <v>24</v>
      </c>
      <c r="S551">
        <f t="shared" ca="1" si="128"/>
        <v>161</v>
      </c>
      <c r="T551">
        <f t="shared" ca="1" si="129"/>
        <v>1998</v>
      </c>
      <c r="U551">
        <f t="shared" ca="1" si="130"/>
        <v>2005</v>
      </c>
      <c r="V551">
        <f t="shared" ca="1" si="131"/>
        <v>1</v>
      </c>
      <c r="W551">
        <f t="shared" ca="1" si="132"/>
        <v>27</v>
      </c>
    </row>
    <row r="552" spans="1:23">
      <c r="A552" t="s">
        <v>1672</v>
      </c>
      <c r="B552" t="str">
        <f t="shared" ca="1" si="149"/>
        <v>高巍竹</v>
      </c>
      <c r="C552" t="str">
        <f t="shared" ca="1" si="150"/>
        <v>ｶﾞｵ ｳｴｲ ｼﾞｭｳ</v>
      </c>
      <c r="D552" t="str">
        <f t="shared" ca="1" si="151"/>
        <v>Gao Wei Zhu</v>
      </c>
      <c r="E552" t="str" cm="1">
        <f t="array" aca="1" ref="E552" ca="1">INDIRECT(ADDRESS(RANDBETWEEN(2,16),7,1,1,"valueBase"))</f>
        <v>女性</v>
      </c>
      <c r="F552" s="5">
        <f t="shared" ca="1" si="146"/>
        <v>25530</v>
      </c>
      <c r="G552" s="5">
        <f t="shared" ca="1" si="147"/>
        <v>32436</v>
      </c>
      <c r="H552" s="5">
        <f t="shared" ca="1" si="148"/>
        <v>32801</v>
      </c>
      <c r="I552" t="str">
        <f t="shared" ca="1" si="120"/>
        <v>090-2230-3041</v>
      </c>
      <c r="J552" t="str">
        <f t="shared" ca="1" si="152"/>
        <v>Gao_Wei_Zhu_32436@outlook.jp.co</v>
      </c>
      <c r="K552" t="str">
        <f t="shared" ca="1" si="122"/>
        <v>普通</v>
      </c>
      <c r="L552" t="str">
        <f t="shared" ca="1" si="123"/>
        <v>有り</v>
      </c>
      <c r="M552" t="str">
        <f t="shared" ca="1" si="153"/>
        <v>5%</v>
      </c>
      <c r="N552" t="str">
        <f t="shared" ca="1" si="125"/>
        <v>-</v>
      </c>
      <c r="O552" t="str">
        <f t="shared" ca="1" si="126"/>
        <v>-</v>
      </c>
      <c r="R552">
        <f t="shared" ca="1" si="127"/>
        <v>16</v>
      </c>
      <c r="S552">
        <f t="shared" ca="1" si="128"/>
        <v>238</v>
      </c>
      <c r="T552">
        <f t="shared" ca="1" si="129"/>
        <v>2008</v>
      </c>
      <c r="U552">
        <f t="shared" ca="1" si="130"/>
        <v>2010</v>
      </c>
      <c r="V552">
        <f t="shared" ca="1" si="131"/>
        <v>4</v>
      </c>
      <c r="W552">
        <f t="shared" ca="1" si="132"/>
        <v>15</v>
      </c>
    </row>
    <row r="553" spans="1:23">
      <c r="A553" t="s">
        <v>1673</v>
      </c>
      <c r="B553" t="str">
        <f t="shared" ca="1" si="149"/>
        <v>王元壯</v>
      </c>
      <c r="C553" t="str">
        <f t="shared" ca="1" si="150"/>
        <v>ﾜｰﾝ ﾕｴﾝ ｼﾞｭﾜｰﾝ</v>
      </c>
      <c r="D553" t="str">
        <f t="shared" ca="1" si="151"/>
        <v>Wang Yuan Zhuang</v>
      </c>
      <c r="E553" t="str" cm="1">
        <f t="array" aca="1" ref="E553" ca="1">INDIRECT(ADDRESS(RANDBETWEEN(2,16),7,1,1,"valueBase"))</f>
        <v>男性</v>
      </c>
      <c r="F553" s="5">
        <f t="shared" ca="1" si="146"/>
        <v>37428</v>
      </c>
      <c r="G553" s="5">
        <f t="shared" ca="1" si="147"/>
        <v>44799</v>
      </c>
      <c r="H553" s="5">
        <f t="shared" ca="1" si="148"/>
        <v>45894</v>
      </c>
      <c r="I553" t="str">
        <f t="shared" ca="1" si="120"/>
        <v>080-3828-9769</v>
      </c>
      <c r="J553" t="str">
        <f t="shared" ca="1" si="152"/>
        <v>Wang_Yuan_Zhuang_44799@outlook.jp.co</v>
      </c>
      <c r="K553" t="str">
        <f t="shared" ca="1" si="122"/>
        <v>普通</v>
      </c>
      <c r="L553" t="str">
        <f t="shared" ca="1" si="123"/>
        <v>有り</v>
      </c>
      <c r="M553" t="str">
        <f t="shared" ca="1" si="153"/>
        <v>5%</v>
      </c>
      <c r="N553" t="str">
        <f t="shared" ca="1" si="125"/>
        <v>有り</v>
      </c>
      <c r="O553">
        <f t="shared" ca="1" si="126"/>
        <v>11</v>
      </c>
      <c r="R553">
        <f t="shared" ca="1" si="127"/>
        <v>3</v>
      </c>
      <c r="S553">
        <f t="shared" ca="1" si="128"/>
        <v>170</v>
      </c>
      <c r="T553">
        <f t="shared" ca="1" si="129"/>
        <v>2010</v>
      </c>
      <c r="U553">
        <f t="shared" ca="1" si="130"/>
        <v>2019</v>
      </c>
      <c r="V553">
        <f t="shared" ca="1" si="131"/>
        <v>5</v>
      </c>
      <c r="W553">
        <f t="shared" ca="1" si="132"/>
        <v>23</v>
      </c>
    </row>
    <row r="554" spans="1:23">
      <c r="A554" t="s">
        <v>1674</v>
      </c>
      <c r="B554" t="str">
        <f t="shared" ca="1" si="149"/>
        <v>周天達</v>
      </c>
      <c r="C554" t="str">
        <f t="shared" ca="1" si="150"/>
        <v>ｼﾞｮｳ ﾃｨｴﾝ ﾀﾞｰ</v>
      </c>
      <c r="D554" t="str">
        <f t="shared" ca="1" si="151"/>
        <v>Zhou Tian Da</v>
      </c>
      <c r="E554" t="str" cm="1">
        <f t="array" aca="1" ref="E554" ca="1">INDIRECT(ADDRESS(RANDBETWEEN(2,16),7,1,1,"valueBase"))</f>
        <v>男性</v>
      </c>
      <c r="F554" s="5">
        <f t="shared" ca="1" si="146"/>
        <v>25911</v>
      </c>
      <c r="G554" s="5">
        <f t="shared" ca="1" si="147"/>
        <v>41401</v>
      </c>
      <c r="H554" s="5">
        <f t="shared" ca="1" si="148"/>
        <v>42131</v>
      </c>
      <c r="I554" t="str">
        <f t="shared" ca="1" si="120"/>
        <v>090-5264-8895</v>
      </c>
      <c r="J554" t="str">
        <f t="shared" ca="1" si="152"/>
        <v>Zhou_Tian_Da_41401@outlook.jp.co</v>
      </c>
      <c r="K554" t="str">
        <f t="shared" ca="1" si="122"/>
        <v>普通</v>
      </c>
      <c r="L554" t="str">
        <f t="shared" ca="1" si="123"/>
        <v>有り</v>
      </c>
      <c r="M554" t="str">
        <f t="shared" ca="1" si="153"/>
        <v>5%</v>
      </c>
      <c r="N554" t="str">
        <f t="shared" ca="1" si="125"/>
        <v>有り</v>
      </c>
      <c r="O554">
        <f t="shared" ca="1" si="126"/>
        <v>133</v>
      </c>
      <c r="R554">
        <f t="shared" ca="1" si="127"/>
        <v>10</v>
      </c>
      <c r="S554">
        <f t="shared" ca="1" si="128"/>
        <v>176</v>
      </c>
      <c r="T554">
        <f t="shared" ca="1" si="129"/>
        <v>1998</v>
      </c>
      <c r="U554">
        <f t="shared" ca="1" si="130"/>
        <v>1999</v>
      </c>
      <c r="V554">
        <f t="shared" ca="1" si="131"/>
        <v>11</v>
      </c>
      <c r="W554">
        <f t="shared" ca="1" si="132"/>
        <v>7</v>
      </c>
    </row>
    <row r="555" spans="1:23">
      <c r="A555" t="s">
        <v>1675</v>
      </c>
      <c r="B555" t="str">
        <f t="shared" ca="1" si="149"/>
        <v>何起泉</v>
      </c>
      <c r="C555" t="str">
        <f t="shared" ca="1" si="150"/>
        <v>ﾎｰｧ ﾁｲ ﾁｭｴﾝ</v>
      </c>
      <c r="D555" t="str">
        <f t="shared" ca="1" si="151"/>
        <v>He Qi Quan</v>
      </c>
      <c r="E555" t="str" cm="1">
        <f t="array" aca="1" ref="E555" ca="1">INDIRECT(ADDRESS(RANDBETWEEN(2,16),7,1,1,"valueBase"))</f>
        <v>男性</v>
      </c>
      <c r="F555" s="5">
        <f t="shared" ca="1" si="146"/>
        <v>34618</v>
      </c>
      <c r="G555" s="5">
        <f t="shared" ca="1" si="147"/>
        <v>43349</v>
      </c>
      <c r="H555" s="5">
        <f t="shared" ca="1" si="148"/>
        <v>44079</v>
      </c>
      <c r="I555" t="str">
        <f t="shared" ca="1" si="120"/>
        <v>090-7948-1818</v>
      </c>
      <c r="J555" t="str">
        <f t="shared" ca="1" si="152"/>
        <v>He_Qi_Quan_43349@outlook.jp.co</v>
      </c>
      <c r="K555" t="str">
        <f t="shared" ca="1" si="122"/>
        <v>高級</v>
      </c>
      <c r="L555" t="str">
        <f t="shared" ca="1" si="123"/>
        <v>有り</v>
      </c>
      <c r="M555" t="str">
        <f t="shared" ca="1" si="153"/>
        <v>10%</v>
      </c>
      <c r="N555" t="str">
        <f t="shared" ca="1" si="125"/>
        <v>有り</v>
      </c>
      <c r="O555">
        <f t="shared" ca="1" si="126"/>
        <v>291</v>
      </c>
      <c r="R555">
        <f t="shared" ca="1" si="127"/>
        <v>18</v>
      </c>
      <c r="S555">
        <f t="shared" ca="1" si="128"/>
        <v>217</v>
      </c>
      <c r="T555">
        <f t="shared" ca="1" si="129"/>
        <v>1985</v>
      </c>
      <c r="U555">
        <f t="shared" ca="1" si="130"/>
        <v>1987</v>
      </c>
      <c r="V555">
        <f t="shared" ca="1" si="131"/>
        <v>8</v>
      </c>
      <c r="W555">
        <f t="shared" ca="1" si="132"/>
        <v>19</v>
      </c>
    </row>
    <row r="556" spans="1:23">
      <c r="A556" t="s">
        <v>1676</v>
      </c>
      <c r="B556" t="str">
        <f t="shared" ca="1" si="149"/>
        <v>孫宇頃</v>
      </c>
      <c r="C556" t="str">
        <f t="shared" ca="1" si="150"/>
        <v>ｽｩﾝ ﾕｲ ﾁｰﾝ</v>
      </c>
      <c r="D556" t="str">
        <f t="shared" ca="1" si="151"/>
        <v>Sun Yu Qing</v>
      </c>
      <c r="E556" t="str" cm="1">
        <f t="array" aca="1" ref="E556" ca="1">INDIRECT(ADDRESS(RANDBETWEEN(2,16),7,1,1,"valueBase"))</f>
        <v>女性</v>
      </c>
      <c r="F556" s="5">
        <f t="shared" ca="1" si="146"/>
        <v>22228</v>
      </c>
      <c r="G556" s="5">
        <f t="shared" ca="1" si="147"/>
        <v>35910</v>
      </c>
      <c r="H556" s="5">
        <f t="shared" ca="1" si="148"/>
        <v>36640</v>
      </c>
      <c r="I556" t="str">
        <f t="shared" ca="1" si="120"/>
        <v>080-2363-0930</v>
      </c>
      <c r="J556" t="str">
        <f t="shared" ca="1" si="152"/>
        <v>Sun_Yu_Qing_35910@outlook.jp.co</v>
      </c>
      <c r="K556" t="str">
        <f t="shared" ca="1" si="122"/>
        <v>普通</v>
      </c>
      <c r="L556" t="str">
        <f t="shared" ca="1" si="123"/>
        <v>有り</v>
      </c>
      <c r="M556" t="str">
        <f t="shared" ca="1" si="153"/>
        <v>5%</v>
      </c>
      <c r="N556" t="str">
        <f t="shared" ca="1" si="125"/>
        <v>有り</v>
      </c>
      <c r="O556">
        <f t="shared" ca="1" si="126"/>
        <v>199</v>
      </c>
      <c r="R556">
        <f t="shared" ca="1" si="127"/>
        <v>13</v>
      </c>
      <c r="S556">
        <f t="shared" ca="1" si="128"/>
        <v>107</v>
      </c>
      <c r="T556">
        <f t="shared" ca="1" si="129"/>
        <v>1997</v>
      </c>
      <c r="U556">
        <f t="shared" ca="1" si="130"/>
        <v>2009</v>
      </c>
      <c r="V556">
        <f t="shared" ca="1" si="131"/>
        <v>9</v>
      </c>
      <c r="W556">
        <f t="shared" ca="1" si="132"/>
        <v>3</v>
      </c>
    </row>
    <row r="557" spans="1:23">
      <c r="A557" t="s">
        <v>1677</v>
      </c>
      <c r="B557" t="str">
        <f t="shared" ca="1" si="149"/>
        <v>謝貴孝</v>
      </c>
      <c r="C557" t="str">
        <f t="shared" ca="1" si="150"/>
        <v>ｼｴ ｸﾞｲ ｼﾔｵ</v>
      </c>
      <c r="D557" t="str">
        <f t="shared" ca="1" si="151"/>
        <v>Xie Gui Xiao</v>
      </c>
      <c r="E557" t="str" cm="1">
        <f t="array" aca="1" ref="E557" ca="1">INDIRECT(ADDRESS(RANDBETWEEN(2,16),7,1,1,"valueBase"))</f>
        <v>-</v>
      </c>
      <c r="F557" s="5">
        <f t="shared" ca="1" si="146"/>
        <v>26911</v>
      </c>
      <c r="G557" s="5">
        <f t="shared" ca="1" si="147"/>
        <v>41186</v>
      </c>
      <c r="H557" s="5">
        <f t="shared" ca="1" si="148"/>
        <v>42281</v>
      </c>
      <c r="I557" t="str">
        <f t="shared" ca="1" si="120"/>
        <v>080-7073-1340</v>
      </c>
      <c r="J557" t="str">
        <f t="shared" ca="1" si="152"/>
        <v>Xie_Gui_Xiao_41186@outlook.jp.co</v>
      </c>
      <c r="K557" t="str">
        <f t="shared" ca="1" si="122"/>
        <v>高級</v>
      </c>
      <c r="L557" t="str">
        <f t="shared" ca="1" si="123"/>
        <v>-</v>
      </c>
      <c r="M557" t="str">
        <f t="shared" ca="1" si="153"/>
        <v>-</v>
      </c>
      <c r="N557" t="str">
        <f t="shared" ca="1" si="125"/>
        <v>-</v>
      </c>
      <c r="O557" t="str">
        <f t="shared" ca="1" si="126"/>
        <v>-</v>
      </c>
      <c r="R557">
        <f t="shared" ca="1" si="127"/>
        <v>25</v>
      </c>
      <c r="S557">
        <f t="shared" ca="1" si="128"/>
        <v>244</v>
      </c>
      <c r="T557">
        <f t="shared" ca="1" si="129"/>
        <v>1996</v>
      </c>
      <c r="U557">
        <f t="shared" ca="1" si="130"/>
        <v>1999</v>
      </c>
      <c r="V557">
        <f t="shared" ca="1" si="131"/>
        <v>11</v>
      </c>
      <c r="W557">
        <f t="shared" ca="1" si="132"/>
        <v>2</v>
      </c>
    </row>
    <row r="558" spans="1:23">
      <c r="A558" t="s">
        <v>1678</v>
      </c>
      <c r="B558" t="str">
        <f t="shared" ca="1" si="149"/>
        <v>謝皓浚</v>
      </c>
      <c r="C558" t="str">
        <f t="shared" ca="1" si="150"/>
        <v>ｼｴ ﾊｵ ｼﾞｭｲﾝ</v>
      </c>
      <c r="D558" t="str">
        <f t="shared" ca="1" si="151"/>
        <v>Xie Hao Jun</v>
      </c>
      <c r="E558" t="str" cm="1">
        <f t="array" aca="1" ref="E558" ca="1">INDIRECT(ADDRESS(RANDBETWEEN(2,16),7,1,1,"valueBase"))</f>
        <v>男性</v>
      </c>
      <c r="F558" s="5">
        <f t="shared" ca="1" si="146"/>
        <v>33215</v>
      </c>
      <c r="G558" s="5">
        <f t="shared" ca="1" si="147"/>
        <v>41905</v>
      </c>
      <c r="H558" s="5">
        <f t="shared" ca="1" si="148"/>
        <v>42270</v>
      </c>
      <c r="I558" t="str">
        <f t="shared" ca="1" si="120"/>
        <v>080-4710-1860</v>
      </c>
      <c r="J558" t="str">
        <f t="shared" ca="1" si="152"/>
        <v>Xie_Hao Jun_41905@outlook.jp.co</v>
      </c>
      <c r="K558" t="str">
        <f t="shared" ca="1" si="122"/>
        <v>高級</v>
      </c>
      <c r="L558" t="str">
        <f t="shared" ca="1" si="123"/>
        <v>有り</v>
      </c>
      <c r="M558" t="str">
        <f t="shared" ca="1" si="153"/>
        <v>10%</v>
      </c>
      <c r="N558" t="str">
        <f t="shared" ca="1" si="125"/>
        <v>有り</v>
      </c>
      <c r="O558">
        <f t="shared" ca="1" si="126"/>
        <v>824</v>
      </c>
      <c r="R558">
        <f t="shared" ca="1" si="127"/>
        <v>25</v>
      </c>
      <c r="S558">
        <f t="shared" ca="1" si="128"/>
        <v>320</v>
      </c>
      <c r="T558">
        <f t="shared" ca="1" si="129"/>
        <v>2009</v>
      </c>
      <c r="U558">
        <f t="shared" ca="1" si="130"/>
        <v>2020</v>
      </c>
      <c r="V558">
        <f t="shared" ca="1" si="131"/>
        <v>6</v>
      </c>
      <c r="W558">
        <f t="shared" ca="1" si="132"/>
        <v>9</v>
      </c>
    </row>
    <row r="559" spans="1:23">
      <c r="A559" t="s">
        <v>1679</v>
      </c>
      <c r="B559" t="str">
        <f t="shared" ca="1" si="149"/>
        <v>李冰夢</v>
      </c>
      <c r="C559" t="str">
        <f t="shared" ca="1" si="150"/>
        <v>ﾘｰ ﾋﾞｰﾝ ﾑｵﾝ</v>
      </c>
      <c r="D559" t="str">
        <f t="shared" ca="1" si="151"/>
        <v>Li Bing Meng</v>
      </c>
      <c r="E559" t="str" cm="1">
        <f t="array" aca="1" ref="E559" ca="1">INDIRECT(ADDRESS(RANDBETWEEN(2,16),7,1,1,"valueBase"))</f>
        <v>男性</v>
      </c>
      <c r="F559" s="5">
        <f t="shared" ca="1" si="146"/>
        <v>22497</v>
      </c>
      <c r="G559" s="5">
        <f t="shared" ca="1" si="147"/>
        <v>31430</v>
      </c>
      <c r="H559" s="5">
        <f t="shared" ca="1" si="148"/>
        <v>32525</v>
      </c>
      <c r="I559" t="str">
        <f t="shared" ca="1" si="120"/>
        <v>090-0645-7654</v>
      </c>
      <c r="J559" t="str">
        <f t="shared" ca="1" si="152"/>
        <v>Li_Bing_Meng_31430@outlook.jp.co</v>
      </c>
      <c r="K559" t="str">
        <f t="shared" ca="1" si="122"/>
        <v>高級</v>
      </c>
      <c r="L559" t="str">
        <f t="shared" ca="1" si="123"/>
        <v>-</v>
      </c>
      <c r="M559" t="str">
        <f t="shared" ca="1" si="153"/>
        <v>-</v>
      </c>
      <c r="N559" t="str">
        <f t="shared" ca="1" si="125"/>
        <v>有り</v>
      </c>
      <c r="O559">
        <f t="shared" ca="1" si="126"/>
        <v>567</v>
      </c>
      <c r="R559">
        <f t="shared" ca="1" si="127"/>
        <v>2</v>
      </c>
      <c r="S559">
        <f t="shared" ca="1" si="128"/>
        <v>136</v>
      </c>
      <c r="T559">
        <f t="shared" ca="1" si="129"/>
        <v>2009</v>
      </c>
      <c r="U559">
        <f t="shared" ca="1" si="130"/>
        <v>2013</v>
      </c>
      <c r="V559">
        <f t="shared" ca="1" si="131"/>
        <v>8</v>
      </c>
      <c r="W559">
        <f t="shared" ca="1" si="132"/>
        <v>14</v>
      </c>
    </row>
    <row r="560" spans="1:23">
      <c r="A560" t="s">
        <v>1680</v>
      </c>
      <c r="B560" t="str">
        <f t="shared" ca="1" si="149"/>
        <v>羅台衷</v>
      </c>
      <c r="C560" t="str">
        <f t="shared" ca="1" si="150"/>
        <v>ﾙｵ ﾀｲ ｼﾞｮｰﾝ</v>
      </c>
      <c r="D560" t="str">
        <f t="shared" ca="1" si="151"/>
        <v>Luo Tai Zhong</v>
      </c>
      <c r="E560" t="str" cm="1">
        <f t="array" aca="1" ref="E560" ca="1">INDIRECT(ADDRESS(RANDBETWEEN(2,16),7,1,1,"valueBase"))</f>
        <v>女性</v>
      </c>
      <c r="F560" s="5">
        <f t="shared" ca="1" si="146"/>
        <v>27615</v>
      </c>
      <c r="G560" s="5">
        <f t="shared" ca="1" si="147"/>
        <v>40081</v>
      </c>
      <c r="H560" s="5">
        <f t="shared" ca="1" si="148"/>
        <v>41176</v>
      </c>
      <c r="I560" t="str">
        <f t="shared" ca="1" si="120"/>
        <v>080-7229-9084</v>
      </c>
      <c r="J560" t="str">
        <f t="shared" ca="1" si="152"/>
        <v>Luo_Tai_Zhong_40081@outlook.jp.co</v>
      </c>
      <c r="K560" t="str">
        <f t="shared" ca="1" si="122"/>
        <v>高級</v>
      </c>
      <c r="L560" t="str">
        <f t="shared" ca="1" si="123"/>
        <v>有り</v>
      </c>
      <c r="M560" t="str">
        <f t="shared" ca="1" si="153"/>
        <v>10%</v>
      </c>
      <c r="N560" t="str">
        <f t="shared" ca="1" si="125"/>
        <v>-</v>
      </c>
      <c r="O560" t="str">
        <f t="shared" ca="1" si="126"/>
        <v>-</v>
      </c>
      <c r="R560">
        <f t="shared" ca="1" si="127"/>
        <v>21</v>
      </c>
      <c r="S560">
        <f t="shared" ca="1" si="128"/>
        <v>246</v>
      </c>
      <c r="T560">
        <f t="shared" ca="1" si="129"/>
        <v>1977</v>
      </c>
      <c r="U560">
        <f t="shared" ca="1" si="130"/>
        <v>1986</v>
      </c>
      <c r="V560">
        <f t="shared" ca="1" si="131"/>
        <v>2</v>
      </c>
      <c r="W560">
        <f t="shared" ca="1" si="132"/>
        <v>28</v>
      </c>
    </row>
    <row r="561" spans="1:23">
      <c r="A561" t="s">
        <v>1681</v>
      </c>
      <c r="B561" t="str">
        <f t="shared" ca="1" si="149"/>
        <v>鄭泓唯</v>
      </c>
      <c r="C561" t="str">
        <f t="shared" ca="1" si="150"/>
        <v>ｼﾞｭﾖﾝ ﾎｰﾝ ｳｴｲ</v>
      </c>
      <c r="D561" t="str">
        <f t="shared" ca="1" si="151"/>
        <v>Zheng Hong Wei</v>
      </c>
      <c r="E561" t="str" cm="1">
        <f t="array" aca="1" ref="E561" ca="1">INDIRECT(ADDRESS(RANDBETWEEN(2,16),7,1,1,"valueBase"))</f>
        <v>-</v>
      </c>
      <c r="F561" s="5">
        <f t="shared" ca="1" si="146"/>
        <v>34637</v>
      </c>
      <c r="G561" s="5">
        <f t="shared" ca="1" si="147"/>
        <v>43308</v>
      </c>
      <c r="H561" s="5">
        <f t="shared" ca="1" si="148"/>
        <v>44403</v>
      </c>
      <c r="I561" t="str">
        <f t="shared" ca="1" si="120"/>
        <v>090-2749-1117</v>
      </c>
      <c r="J561" t="str">
        <f t="shared" ca="1" si="152"/>
        <v>Zheng_Hong_Wei_43308@outlook.jp.co</v>
      </c>
      <c r="K561" t="str">
        <f t="shared" ca="1" si="122"/>
        <v>高級</v>
      </c>
      <c r="L561" t="str">
        <f t="shared" ca="1" si="123"/>
        <v>有り</v>
      </c>
      <c r="M561" t="str">
        <f t="shared" ca="1" si="153"/>
        <v>10%</v>
      </c>
      <c r="N561" t="str">
        <f t="shared" ca="1" si="125"/>
        <v>有り</v>
      </c>
      <c r="O561">
        <f t="shared" ca="1" si="126"/>
        <v>533</v>
      </c>
      <c r="R561">
        <f t="shared" ca="1" si="127"/>
        <v>24</v>
      </c>
      <c r="S561">
        <f t="shared" ca="1" si="128"/>
        <v>242</v>
      </c>
      <c r="T561">
        <f t="shared" ca="1" si="129"/>
        <v>1980</v>
      </c>
      <c r="U561">
        <f t="shared" ca="1" si="130"/>
        <v>1991</v>
      </c>
      <c r="V561">
        <f t="shared" ca="1" si="131"/>
        <v>11</v>
      </c>
      <c r="W561">
        <f t="shared" ca="1" si="132"/>
        <v>7</v>
      </c>
    </row>
    <row r="562" spans="1:23">
      <c r="A562" t="s">
        <v>1682</v>
      </c>
      <c r="B562" t="str">
        <f t="shared" ca="1" si="149"/>
        <v>韓惠冰</v>
      </c>
      <c r="C562" t="str">
        <f t="shared" ca="1" si="150"/>
        <v>ﾊﾝ ﾎｩｲ ﾋﾞｰﾝ</v>
      </c>
      <c r="D562" t="str">
        <f t="shared" ca="1" si="151"/>
        <v>Han Hui Bing</v>
      </c>
      <c r="E562" t="str" cm="1">
        <f t="array" aca="1" ref="E562" ca="1">INDIRECT(ADDRESS(RANDBETWEEN(2,16),7,1,1,"valueBase"))</f>
        <v>女性</v>
      </c>
      <c r="F562" s="5">
        <f t="shared" ca="1" si="146"/>
        <v>38774</v>
      </c>
      <c r="G562" s="5">
        <f t="shared" ca="1" si="147"/>
        <v>45413</v>
      </c>
      <c r="H562" s="5">
        <f t="shared" ca="1" si="148"/>
        <v>46143</v>
      </c>
      <c r="I562" t="str">
        <f t="shared" ca="1" si="120"/>
        <v>090-8242-9889</v>
      </c>
      <c r="J562" t="str">
        <f t="shared" ca="1" si="152"/>
        <v>Han_Hui_Bing_45413@outlook.jp.co</v>
      </c>
      <c r="K562" t="str">
        <f t="shared" ca="1" si="122"/>
        <v>普通</v>
      </c>
      <c r="L562" t="str">
        <f t="shared" ca="1" si="123"/>
        <v>有り</v>
      </c>
      <c r="M562" t="str">
        <f t="shared" ca="1" si="153"/>
        <v>5%</v>
      </c>
      <c r="N562" t="str">
        <f t="shared" ca="1" si="125"/>
        <v>有り</v>
      </c>
      <c r="O562">
        <f t="shared" ca="1" si="126"/>
        <v>251</v>
      </c>
      <c r="R562">
        <f t="shared" ca="1" si="127"/>
        <v>26</v>
      </c>
      <c r="S562">
        <f t="shared" ca="1" si="128"/>
        <v>55</v>
      </c>
      <c r="T562">
        <f t="shared" ca="1" si="129"/>
        <v>1976</v>
      </c>
      <c r="U562">
        <f t="shared" ca="1" si="130"/>
        <v>1988</v>
      </c>
      <c r="V562">
        <f t="shared" ca="1" si="131"/>
        <v>10</v>
      </c>
      <c r="W562">
        <f t="shared" ca="1" si="132"/>
        <v>9</v>
      </c>
    </row>
    <row r="563" spans="1:23">
      <c r="A563" t="s">
        <v>1683</v>
      </c>
      <c r="B563" t="str">
        <f t="shared" ca="1" si="149"/>
        <v>鄭發克</v>
      </c>
      <c r="C563" t="str">
        <f t="shared" ca="1" si="150"/>
        <v>ｼﾞｭﾖﾝ ﾌｧｰ ｺｰｧ</v>
      </c>
      <c r="D563" t="str">
        <f t="shared" ca="1" si="151"/>
        <v>Zheng Fa Ke</v>
      </c>
      <c r="E563" t="str" cm="1">
        <f t="array" aca="1" ref="E563" ca="1">INDIRECT(ADDRESS(RANDBETWEEN(2,16),7,1,1,"valueBase"))</f>
        <v>女性</v>
      </c>
      <c r="F563" s="5">
        <f t="shared" ca="1" si="146"/>
        <v>22186</v>
      </c>
      <c r="G563" s="5">
        <f t="shared" ca="1" si="147"/>
        <v>35118</v>
      </c>
      <c r="H563" s="5">
        <f t="shared" ca="1" si="148"/>
        <v>35848</v>
      </c>
      <c r="I563" t="str">
        <f t="shared" ca="1" si="120"/>
        <v>090-5086-7121</v>
      </c>
      <c r="J563" t="str">
        <f t="shared" ca="1" si="152"/>
        <v>Zheng_Fa_Ke_35118@outlook.jp.co</v>
      </c>
      <c r="K563" t="str">
        <f t="shared" ca="1" si="122"/>
        <v>普通</v>
      </c>
      <c r="L563" t="str">
        <f t="shared" ca="1" si="123"/>
        <v>-</v>
      </c>
      <c r="M563" t="str">
        <f t="shared" ca="1" si="153"/>
        <v>-</v>
      </c>
      <c r="N563" t="str">
        <f t="shared" ca="1" si="125"/>
        <v>有り</v>
      </c>
      <c r="O563">
        <f t="shared" ca="1" si="126"/>
        <v>284</v>
      </c>
      <c r="R563">
        <f t="shared" ca="1" si="127"/>
        <v>24</v>
      </c>
      <c r="S563">
        <f t="shared" ca="1" si="128"/>
        <v>254</v>
      </c>
      <c r="T563">
        <f t="shared" ca="1" si="129"/>
        <v>1998</v>
      </c>
      <c r="U563">
        <f t="shared" ca="1" si="130"/>
        <v>2007</v>
      </c>
      <c r="V563">
        <f t="shared" ca="1" si="131"/>
        <v>9</v>
      </c>
      <c r="W563">
        <f t="shared" ca="1" si="132"/>
        <v>4</v>
      </c>
    </row>
    <row r="564" spans="1:23">
      <c r="A564" t="s">
        <v>1684</v>
      </c>
      <c r="B564" t="str">
        <f t="shared" ca="1" si="149"/>
        <v>吳欽西</v>
      </c>
      <c r="C564" t="str">
        <f t="shared" ca="1" si="150"/>
        <v>ｳｰ ﾁﾝ ｼｲ</v>
      </c>
      <c r="D564" t="str">
        <f t="shared" ca="1" si="151"/>
        <v>Wu Qin Xi</v>
      </c>
      <c r="E564" t="str" cm="1">
        <f t="array" aca="1" ref="E564" ca="1">INDIRECT(ADDRESS(RANDBETWEEN(2,16),7,1,1,"valueBase"))</f>
        <v>女性</v>
      </c>
      <c r="F564" s="5">
        <f t="shared" ca="1" si="146"/>
        <v>33970</v>
      </c>
      <c r="G564" s="5">
        <f t="shared" ca="1" si="147"/>
        <v>43717</v>
      </c>
      <c r="H564" s="5">
        <f t="shared" ca="1" si="148"/>
        <v>44812</v>
      </c>
      <c r="I564" t="str">
        <f t="shared" ca="1" si="120"/>
        <v>090-4137-1472</v>
      </c>
      <c r="J564" t="str">
        <f t="shared" ca="1" si="152"/>
        <v>Wu_Qin_Xi_43717@outlook.jp.co</v>
      </c>
      <c r="K564" t="str">
        <f t="shared" ca="1" si="122"/>
        <v>高級</v>
      </c>
      <c r="L564" t="str">
        <f t="shared" ca="1" si="123"/>
        <v>有り</v>
      </c>
      <c r="M564" t="str">
        <f t="shared" ca="1" si="153"/>
        <v>10%</v>
      </c>
      <c r="N564" t="str">
        <f t="shared" ca="1" si="125"/>
        <v>有り</v>
      </c>
      <c r="O564">
        <f t="shared" ca="1" si="126"/>
        <v>998</v>
      </c>
      <c r="R564">
        <f t="shared" ca="1" si="127"/>
        <v>11</v>
      </c>
      <c r="S564">
        <f t="shared" ca="1" si="128"/>
        <v>227</v>
      </c>
      <c r="T564">
        <f t="shared" ca="1" si="129"/>
        <v>1991</v>
      </c>
      <c r="U564">
        <f t="shared" ca="1" si="130"/>
        <v>2003</v>
      </c>
      <c r="V564">
        <f t="shared" ca="1" si="131"/>
        <v>10</v>
      </c>
      <c r="W564">
        <f t="shared" ca="1" si="132"/>
        <v>21</v>
      </c>
    </row>
    <row r="565" spans="1:23">
      <c r="A565" t="s">
        <v>1685</v>
      </c>
      <c r="B565" t="str">
        <f t="shared" ca="1" si="149"/>
        <v>楊經能</v>
      </c>
      <c r="C565" t="str">
        <f t="shared" ca="1" si="150"/>
        <v>ﾔｰﾝ ｼﾞｰﾝ ﾇｵﾝ</v>
      </c>
      <c r="D565" t="str">
        <f t="shared" ca="1" si="151"/>
        <v>Yang Jing Neng</v>
      </c>
      <c r="E565" t="str" cm="1">
        <f t="array" aca="1" ref="E565" ca="1">INDIRECT(ADDRESS(RANDBETWEEN(2,16),7,1,1,"valueBase"))</f>
        <v>女性</v>
      </c>
      <c r="F565" s="5">
        <f t="shared" ca="1" si="146"/>
        <v>27993</v>
      </c>
      <c r="G565" s="5">
        <f t="shared" ca="1" si="147"/>
        <v>42647</v>
      </c>
      <c r="H565" s="5">
        <f t="shared" ca="1" si="148"/>
        <v>43012</v>
      </c>
      <c r="I565" t="str">
        <f t="shared" ca="1" si="120"/>
        <v>090-3006-3594</v>
      </c>
      <c r="J565" t="str">
        <f t="shared" ca="1" si="152"/>
        <v>Yang_Jing_Neng_42647@outlook.jp.co</v>
      </c>
      <c r="K565" t="str">
        <f t="shared" ca="1" si="122"/>
        <v>普通</v>
      </c>
      <c r="L565" t="str">
        <f t="shared" ca="1" si="123"/>
        <v>有り</v>
      </c>
      <c r="M565" t="str">
        <f t="shared" ca="1" si="153"/>
        <v>5%</v>
      </c>
      <c r="N565" t="str">
        <f t="shared" ca="1" si="125"/>
        <v>有り</v>
      </c>
      <c r="O565">
        <f t="shared" ca="1" si="126"/>
        <v>55</v>
      </c>
      <c r="R565">
        <f t="shared" ca="1" si="127"/>
        <v>7</v>
      </c>
      <c r="S565">
        <f t="shared" ca="1" si="128"/>
        <v>127</v>
      </c>
      <c r="T565">
        <f t="shared" ca="1" si="129"/>
        <v>1995</v>
      </c>
      <c r="U565">
        <f t="shared" ca="1" si="130"/>
        <v>2007</v>
      </c>
      <c r="V565">
        <f t="shared" ca="1" si="131"/>
        <v>4</v>
      </c>
      <c r="W565">
        <f t="shared" ca="1" si="132"/>
        <v>12</v>
      </c>
    </row>
    <row r="566" spans="1:23">
      <c r="A566" t="s">
        <v>1686</v>
      </c>
      <c r="B566" t="str">
        <f t="shared" ca="1" si="149"/>
        <v>謝皓聽</v>
      </c>
      <c r="C566" t="str">
        <f t="shared" ca="1" si="150"/>
        <v>ｼｴ ﾊｵ ﾃｨｰﾝ</v>
      </c>
      <c r="D566" t="str">
        <f t="shared" ca="1" si="151"/>
        <v>Xie Hao Ting</v>
      </c>
      <c r="E566" t="str" cm="1">
        <f t="array" aca="1" ref="E566" ca="1">INDIRECT(ADDRESS(RANDBETWEEN(2,16),7,1,1,"valueBase"))</f>
        <v>男性</v>
      </c>
      <c r="F566" s="5">
        <f t="shared" ca="1" si="146"/>
        <v>30141</v>
      </c>
      <c r="G566" s="5">
        <f t="shared" ca="1" si="147"/>
        <v>40664</v>
      </c>
      <c r="H566" s="5">
        <f t="shared" ca="1" si="148"/>
        <v>41759</v>
      </c>
      <c r="I566" t="str">
        <f t="shared" ca="1" si="120"/>
        <v>080-0688-7478</v>
      </c>
      <c r="J566" t="str">
        <f t="shared" ca="1" si="152"/>
        <v>Xie_Hao_Ting_40664@outlook.jp.co</v>
      </c>
      <c r="K566" t="str">
        <f t="shared" ca="1" si="122"/>
        <v>高級</v>
      </c>
      <c r="L566" t="str">
        <f t="shared" ca="1" si="123"/>
        <v>-</v>
      </c>
      <c r="M566" t="str">
        <f t="shared" ca="1" si="153"/>
        <v>-</v>
      </c>
      <c r="N566" t="str">
        <f t="shared" ca="1" si="125"/>
        <v>有り</v>
      </c>
      <c r="O566">
        <f t="shared" ca="1" si="126"/>
        <v>383</v>
      </c>
      <c r="R566">
        <f t="shared" ca="1" si="127"/>
        <v>25</v>
      </c>
      <c r="S566">
        <f t="shared" ca="1" si="128"/>
        <v>32</v>
      </c>
      <c r="T566">
        <f t="shared" ca="1" si="129"/>
        <v>2007</v>
      </c>
      <c r="U566">
        <f t="shared" ca="1" si="130"/>
        <v>2019</v>
      </c>
      <c r="V566">
        <f t="shared" ca="1" si="131"/>
        <v>2</v>
      </c>
      <c r="W566">
        <f t="shared" ca="1" si="132"/>
        <v>21</v>
      </c>
    </row>
    <row r="567" spans="1:23">
      <c r="A567" t="s">
        <v>1687</v>
      </c>
      <c r="B567" t="str">
        <f t="shared" ca="1" si="149"/>
        <v>吳均經</v>
      </c>
      <c r="C567" t="str">
        <f t="shared" ca="1" si="150"/>
        <v>ｳｰ ｼﾞｭｲﾝ ｼﾞｰﾝ</v>
      </c>
      <c r="D567" t="str">
        <f t="shared" ca="1" si="151"/>
        <v>Wu Jun Jing</v>
      </c>
      <c r="E567" t="str" cm="1">
        <f t="array" aca="1" ref="E567" ca="1">INDIRECT(ADDRESS(RANDBETWEEN(2,16),7,1,1,"valueBase"))</f>
        <v>女性</v>
      </c>
      <c r="F567" s="5">
        <f t="shared" ca="1" si="146"/>
        <v>26889</v>
      </c>
      <c r="G567" s="5">
        <f t="shared" ca="1" si="147"/>
        <v>35670</v>
      </c>
      <c r="H567" s="5">
        <f t="shared" ca="1" si="148"/>
        <v>36765</v>
      </c>
      <c r="I567" t="str">
        <f t="shared" ca="1" si="120"/>
        <v>080-4243-2730</v>
      </c>
      <c r="J567" t="str">
        <f t="shared" ca="1" si="152"/>
        <v>Wu_Jun_Jing_35670@outlook.jp.co</v>
      </c>
      <c r="K567" t="str">
        <f t="shared" ca="1" si="122"/>
        <v>普通</v>
      </c>
      <c r="L567" t="str">
        <f t="shared" ca="1" si="123"/>
        <v>有り</v>
      </c>
      <c r="M567" t="str">
        <f t="shared" ca="1" si="153"/>
        <v>5%</v>
      </c>
      <c r="N567" t="str">
        <f t="shared" ca="1" si="125"/>
        <v>有り</v>
      </c>
      <c r="O567">
        <f t="shared" ca="1" si="126"/>
        <v>139</v>
      </c>
      <c r="R567">
        <f t="shared" ca="1" si="127"/>
        <v>11</v>
      </c>
      <c r="S567">
        <f t="shared" ca="1" si="128"/>
        <v>68</v>
      </c>
      <c r="T567">
        <f t="shared" ca="1" si="129"/>
        <v>1993</v>
      </c>
      <c r="U567">
        <f t="shared" ca="1" si="130"/>
        <v>1996</v>
      </c>
      <c r="V567">
        <f t="shared" ca="1" si="131"/>
        <v>2</v>
      </c>
      <c r="W567">
        <f t="shared" ca="1" si="132"/>
        <v>14</v>
      </c>
    </row>
    <row r="568" spans="1:23">
      <c r="A568" t="s">
        <v>1688</v>
      </c>
      <c r="B568" t="str">
        <f t="shared" ca="1" si="149"/>
        <v>宋網聰</v>
      </c>
      <c r="C568" t="str">
        <f t="shared" ca="1" si="150"/>
        <v>ｿｰﾝ ﾜｰﾝ ｯｵｰﾝ</v>
      </c>
      <c r="D568" t="str">
        <f t="shared" ca="1" si="151"/>
        <v>Song Wang Cong</v>
      </c>
      <c r="E568" t="str" cm="1">
        <f t="array" aca="1" ref="E568" ca="1">INDIRECT(ADDRESS(RANDBETWEEN(2,16),7,1,1,"valueBase"))</f>
        <v>女性</v>
      </c>
      <c r="F568" s="5">
        <f t="shared" ca="1" si="146"/>
        <v>37281</v>
      </c>
      <c r="G568" s="5">
        <f t="shared" ca="1" si="147"/>
        <v>44004</v>
      </c>
      <c r="H568" s="5">
        <f t="shared" ca="1" si="148"/>
        <v>44369</v>
      </c>
      <c r="I568" t="str">
        <f t="shared" ca="1" si="120"/>
        <v>080-5986-7063</v>
      </c>
      <c r="J568" t="str">
        <f t="shared" ca="1" si="152"/>
        <v>Song_Wang_Cong_44004@outlook.jp.co</v>
      </c>
      <c r="K568" t="str">
        <f t="shared" ca="1" si="122"/>
        <v>高級</v>
      </c>
      <c r="L568" t="str">
        <f t="shared" ca="1" si="123"/>
        <v>有り</v>
      </c>
      <c r="M568" t="str">
        <f t="shared" ca="1" si="153"/>
        <v>10%</v>
      </c>
      <c r="N568" t="str">
        <f t="shared" ca="1" si="125"/>
        <v>-</v>
      </c>
      <c r="O568" t="str">
        <f t="shared" ca="1" si="126"/>
        <v>-</v>
      </c>
      <c r="R568">
        <f t="shared" ca="1" si="127"/>
        <v>23</v>
      </c>
      <c r="S568">
        <f t="shared" ca="1" si="128"/>
        <v>137</v>
      </c>
      <c r="T568">
        <f t="shared" ca="1" si="129"/>
        <v>1995</v>
      </c>
      <c r="U568">
        <f t="shared" ca="1" si="130"/>
        <v>2006</v>
      </c>
      <c r="V568">
        <f t="shared" ca="1" si="131"/>
        <v>11</v>
      </c>
      <c r="W568">
        <f t="shared" ca="1" si="132"/>
        <v>12</v>
      </c>
    </row>
    <row r="569" spans="1:23">
      <c r="A569" t="s">
        <v>1689</v>
      </c>
      <c r="B569" t="str">
        <f t="shared" ca="1" si="149"/>
        <v>馬金訊</v>
      </c>
      <c r="C569" t="str">
        <f t="shared" ca="1" si="150"/>
        <v>ﾏｰ ｼﾞﾝ ｼｭｲﾝ</v>
      </c>
      <c r="D569" t="str">
        <f t="shared" ca="1" si="151"/>
        <v>Ma Jin Xun</v>
      </c>
      <c r="E569" t="str" cm="1">
        <f t="array" aca="1" ref="E569" ca="1">INDIRECT(ADDRESS(RANDBETWEEN(2,16),7,1,1,"valueBase"))</f>
        <v>女性</v>
      </c>
      <c r="F569" s="5">
        <f t="shared" ca="1" si="146"/>
        <v>30981</v>
      </c>
      <c r="G569" s="5">
        <f t="shared" ca="1" si="147"/>
        <v>39439</v>
      </c>
      <c r="H569" s="5">
        <f t="shared" ca="1" si="148"/>
        <v>40169</v>
      </c>
      <c r="I569" t="str">
        <f t="shared" ca="1" si="120"/>
        <v>090-5425-0948</v>
      </c>
      <c r="J569" t="str">
        <f t="shared" ca="1" si="152"/>
        <v>Ma_Jin_Xun_39439@outlook.jp.co</v>
      </c>
      <c r="K569" t="str">
        <f t="shared" ca="1" si="122"/>
        <v>普通</v>
      </c>
      <c r="L569" t="str">
        <f t="shared" ca="1" si="123"/>
        <v>有り</v>
      </c>
      <c r="M569" t="str">
        <f t="shared" ca="1" si="153"/>
        <v>5%</v>
      </c>
      <c r="N569" t="str">
        <f t="shared" ca="1" si="125"/>
        <v>有り</v>
      </c>
      <c r="O569">
        <f t="shared" ca="1" si="126"/>
        <v>747</v>
      </c>
      <c r="R569">
        <f t="shared" ca="1" si="127"/>
        <v>20</v>
      </c>
      <c r="S569">
        <f t="shared" ca="1" si="128"/>
        <v>167</v>
      </c>
      <c r="T569">
        <f t="shared" ca="1" si="129"/>
        <v>1975</v>
      </c>
      <c r="U569">
        <f t="shared" ca="1" si="130"/>
        <v>1976</v>
      </c>
      <c r="V569">
        <f t="shared" ca="1" si="131"/>
        <v>10</v>
      </c>
      <c r="W569">
        <f t="shared" ca="1" si="132"/>
        <v>23</v>
      </c>
    </row>
    <row r="570" spans="1:23">
      <c r="A570" t="s">
        <v>1690</v>
      </c>
      <c r="B570" t="str">
        <f t="shared" ca="1" si="149"/>
        <v>胡琪晶</v>
      </c>
      <c r="C570" t="str">
        <f t="shared" ca="1" si="150"/>
        <v>ﾎｩ ﾁｲ ｼﾞｰﾝ</v>
      </c>
      <c r="D570" t="str">
        <f t="shared" ca="1" si="151"/>
        <v>Hu Qi Jing</v>
      </c>
      <c r="E570" t="str" cm="1">
        <f t="array" aca="1" ref="E570" ca="1">INDIRECT(ADDRESS(RANDBETWEEN(2,16),7,1,1,"valueBase"))</f>
        <v>男性</v>
      </c>
      <c r="F570" s="5">
        <f t="shared" ca="1" si="146"/>
        <v>23537</v>
      </c>
      <c r="G570" s="5">
        <f t="shared" ca="1" si="147"/>
        <v>35181</v>
      </c>
      <c r="H570" s="5">
        <f t="shared" ca="1" si="148"/>
        <v>36276</v>
      </c>
      <c r="I570" t="str">
        <f t="shared" ca="1" si="120"/>
        <v>090-8660-3069</v>
      </c>
      <c r="J570" t="str">
        <f t="shared" ca="1" si="152"/>
        <v>Hu_Qi_Jing_35181@outlook.jp.co</v>
      </c>
      <c r="K570" t="str">
        <f t="shared" ca="1" si="122"/>
        <v>高級</v>
      </c>
      <c r="L570" t="str">
        <f t="shared" ca="1" si="123"/>
        <v>有り</v>
      </c>
      <c r="M570" t="str">
        <f t="shared" ca="1" si="153"/>
        <v>10%</v>
      </c>
      <c r="N570" t="str">
        <f t="shared" ca="1" si="125"/>
        <v>有り</v>
      </c>
      <c r="O570">
        <f t="shared" ca="1" si="126"/>
        <v>965</v>
      </c>
      <c r="R570">
        <f t="shared" ca="1" si="127"/>
        <v>14</v>
      </c>
      <c r="S570">
        <f t="shared" ca="1" si="128"/>
        <v>186</v>
      </c>
      <c r="T570">
        <f t="shared" ca="1" si="129"/>
        <v>1998</v>
      </c>
      <c r="U570">
        <f t="shared" ca="1" si="130"/>
        <v>1999</v>
      </c>
      <c r="V570">
        <f t="shared" ca="1" si="131"/>
        <v>9</v>
      </c>
      <c r="W570">
        <f t="shared" ca="1" si="132"/>
        <v>2</v>
      </c>
    </row>
    <row r="571" spans="1:23">
      <c r="A571" t="s">
        <v>1691</v>
      </c>
      <c r="B571" t="str">
        <f t="shared" ca="1" si="149"/>
        <v>李木納</v>
      </c>
      <c r="C571" t="str">
        <f t="shared" ca="1" si="150"/>
        <v>ﾘｰ ﾑｩ ﾅｰ</v>
      </c>
      <c r="D571" t="str">
        <f t="shared" ca="1" si="151"/>
        <v>Li Mu Na</v>
      </c>
      <c r="E571" t="str" cm="1">
        <f t="array" aca="1" ref="E571" ca="1">INDIRECT(ADDRESS(RANDBETWEEN(2,16),7,1,1,"valueBase"))</f>
        <v>女性</v>
      </c>
      <c r="F571" s="5">
        <f t="shared" ca="1" si="146"/>
        <v>24907</v>
      </c>
      <c r="G571" s="5">
        <f t="shared" ca="1" si="147"/>
        <v>31583</v>
      </c>
      <c r="H571" s="5">
        <f t="shared" ca="1" si="148"/>
        <v>31948</v>
      </c>
      <c r="I571" t="str">
        <f t="shared" ca="1" si="120"/>
        <v>090-1723-1860</v>
      </c>
      <c r="J571" t="str">
        <f t="shared" ca="1" si="152"/>
        <v>Li_Mu_Na_31583@outlook.jp.co</v>
      </c>
      <c r="K571" t="str">
        <f t="shared" ca="1" si="122"/>
        <v>普通</v>
      </c>
      <c r="L571" t="str">
        <f t="shared" ca="1" si="123"/>
        <v>有り</v>
      </c>
      <c r="M571" t="str">
        <f t="shared" ca="1" si="153"/>
        <v>5%</v>
      </c>
      <c r="N571" t="str">
        <f t="shared" ca="1" si="125"/>
        <v>-</v>
      </c>
      <c r="O571" t="str">
        <f t="shared" ca="1" si="126"/>
        <v>-</v>
      </c>
      <c r="R571">
        <f t="shared" ca="1" si="127"/>
        <v>2</v>
      </c>
      <c r="S571">
        <f t="shared" ca="1" si="128"/>
        <v>200</v>
      </c>
      <c r="T571">
        <f t="shared" ca="1" si="129"/>
        <v>1981</v>
      </c>
      <c r="U571">
        <f t="shared" ca="1" si="130"/>
        <v>1983</v>
      </c>
      <c r="V571">
        <f t="shared" ca="1" si="131"/>
        <v>10</v>
      </c>
      <c r="W571">
        <f t="shared" ca="1" si="132"/>
        <v>7</v>
      </c>
    </row>
    <row r="572" spans="1:23">
      <c r="A572" t="s">
        <v>1692</v>
      </c>
      <c r="B572" t="str">
        <f t="shared" ca="1" si="149"/>
        <v>郭娜亞</v>
      </c>
      <c r="C572" t="str">
        <f t="shared" ca="1" si="150"/>
        <v>ｸﾞｵ ﾅｰ ﾔｰ</v>
      </c>
      <c r="D572" t="str">
        <f t="shared" ca="1" si="151"/>
        <v>Guo Na Ya</v>
      </c>
      <c r="E572" t="str" cm="1">
        <f t="array" aca="1" ref="E572" ca="1">INDIRECT(ADDRESS(RANDBETWEEN(2,16),7,1,1,"valueBase"))</f>
        <v>女性</v>
      </c>
      <c r="F572" s="5">
        <f t="shared" ca="1" si="146"/>
        <v>33069</v>
      </c>
      <c r="G572" s="5">
        <f t="shared" ca="1" si="147"/>
        <v>43817</v>
      </c>
      <c r="H572" s="5">
        <f t="shared" ca="1" si="148"/>
        <v>44547</v>
      </c>
      <c r="I572" t="str">
        <f t="shared" ca="1" si="120"/>
        <v>090-6351-1915</v>
      </c>
      <c r="J572" t="str">
        <f t="shared" ca="1" si="152"/>
        <v>Guo_Na Ya_43817@outlook.jp.co</v>
      </c>
      <c r="K572" t="str">
        <f t="shared" ca="1" si="122"/>
        <v>高級</v>
      </c>
      <c r="L572" t="str">
        <f t="shared" ca="1" si="123"/>
        <v>-</v>
      </c>
      <c r="M572" t="str">
        <f t="shared" ca="1" si="153"/>
        <v>-</v>
      </c>
      <c r="N572" t="str">
        <f t="shared" ca="1" si="125"/>
        <v>有り</v>
      </c>
      <c r="O572">
        <f t="shared" ca="1" si="126"/>
        <v>759</v>
      </c>
      <c r="R572">
        <f t="shared" ca="1" si="127"/>
        <v>19</v>
      </c>
      <c r="S572">
        <f t="shared" ca="1" si="128"/>
        <v>83</v>
      </c>
      <c r="T572">
        <f t="shared" ca="1" si="129"/>
        <v>1996</v>
      </c>
      <c r="U572">
        <f t="shared" ca="1" si="130"/>
        <v>2003</v>
      </c>
      <c r="V572">
        <f t="shared" ca="1" si="131"/>
        <v>6</v>
      </c>
      <c r="W572">
        <f t="shared" ca="1" si="132"/>
        <v>16</v>
      </c>
    </row>
    <row r="573" spans="1:23">
      <c r="A573" t="s">
        <v>1693</v>
      </c>
      <c r="B573" t="str">
        <f t="shared" ca="1" si="149"/>
        <v>胡博松</v>
      </c>
      <c r="C573" t="str">
        <f t="shared" ca="1" si="150"/>
        <v>ﾎｩ ﾎﾞｰ ｿｰﾝ</v>
      </c>
      <c r="D573" t="str">
        <f t="shared" ca="1" si="151"/>
        <v>Hu Bo Song</v>
      </c>
      <c r="E573" t="str" cm="1">
        <f t="array" aca="1" ref="E573" ca="1">INDIRECT(ADDRESS(RANDBETWEEN(2,16),7,1,1,"valueBase"))</f>
        <v>男性</v>
      </c>
      <c r="F573" s="5">
        <f t="shared" ca="1" si="146"/>
        <v>32417</v>
      </c>
      <c r="G573" s="5">
        <f t="shared" ca="1" si="147"/>
        <v>41733</v>
      </c>
      <c r="H573" s="5">
        <f t="shared" ca="1" si="148"/>
        <v>42828</v>
      </c>
      <c r="I573" t="str">
        <f t="shared" ca="1" si="120"/>
        <v>090-8229-6568</v>
      </c>
      <c r="J573" t="str">
        <f t="shared" ca="1" si="152"/>
        <v>Hu_Bo_Song_41733@outlook.jp.co</v>
      </c>
      <c r="K573" t="str">
        <f t="shared" ca="1" si="122"/>
        <v>高級</v>
      </c>
      <c r="L573" t="str">
        <f t="shared" ca="1" si="123"/>
        <v>有り</v>
      </c>
      <c r="M573" t="str">
        <f t="shared" ca="1" si="153"/>
        <v>10%</v>
      </c>
      <c r="N573" t="str">
        <f t="shared" ca="1" si="125"/>
        <v>有り</v>
      </c>
      <c r="O573">
        <f t="shared" ca="1" si="126"/>
        <v>85</v>
      </c>
      <c r="R573">
        <f t="shared" ca="1" si="127"/>
        <v>14</v>
      </c>
      <c r="S573">
        <f t="shared" ca="1" si="128"/>
        <v>44</v>
      </c>
      <c r="T573">
        <f t="shared" ca="1" si="129"/>
        <v>1984</v>
      </c>
      <c r="U573">
        <f t="shared" ca="1" si="130"/>
        <v>1994</v>
      </c>
      <c r="V573">
        <f t="shared" ca="1" si="131"/>
        <v>1</v>
      </c>
      <c r="W573">
        <f t="shared" ca="1" si="132"/>
        <v>20</v>
      </c>
    </row>
    <row r="574" spans="1:23">
      <c r="A574" t="s">
        <v>1694</v>
      </c>
      <c r="B574" t="str">
        <f t="shared" ca="1" si="149"/>
        <v>羅忠博</v>
      </c>
      <c r="C574" t="str">
        <f t="shared" ca="1" si="150"/>
        <v>ﾙｵ ｼﾞｮｰﾝ ﾎﾞｰ</v>
      </c>
      <c r="D574" t="str">
        <f t="shared" ca="1" si="151"/>
        <v>Luo Zhong Bo</v>
      </c>
      <c r="E574" t="str" cm="1">
        <f t="array" aca="1" ref="E574" ca="1">INDIRECT(ADDRESS(RANDBETWEEN(2,16),7,1,1,"valueBase"))</f>
        <v>-</v>
      </c>
      <c r="F574" s="5">
        <f t="shared" ca="1" si="146"/>
        <v>23584</v>
      </c>
      <c r="G574" s="5">
        <f t="shared" ca="1" si="147"/>
        <v>33174</v>
      </c>
      <c r="H574" s="5">
        <f t="shared" ca="1" si="148"/>
        <v>34269</v>
      </c>
      <c r="I574" t="str">
        <f t="shared" ca="1" si="120"/>
        <v>090-7408-9606</v>
      </c>
      <c r="J574" t="str">
        <f t="shared" ca="1" si="152"/>
        <v>Luo_Zhong_Bo_33174@outlook.jp.co</v>
      </c>
      <c r="K574" t="str">
        <f t="shared" ca="1" si="122"/>
        <v>普通</v>
      </c>
      <c r="L574" t="str">
        <f t="shared" ca="1" si="123"/>
        <v>有り</v>
      </c>
      <c r="M574" t="str">
        <f t="shared" ca="1" si="153"/>
        <v>5%</v>
      </c>
      <c r="N574" t="str">
        <f t="shared" ca="1" si="125"/>
        <v>-</v>
      </c>
      <c r="O574" t="str">
        <f t="shared" ca="1" si="126"/>
        <v>-</v>
      </c>
      <c r="R574">
        <f t="shared" ca="1" si="127"/>
        <v>21</v>
      </c>
      <c r="S574">
        <f t="shared" ca="1" si="128"/>
        <v>23</v>
      </c>
      <c r="T574">
        <f t="shared" ca="1" si="129"/>
        <v>1976</v>
      </c>
      <c r="U574">
        <f t="shared" ca="1" si="130"/>
        <v>1985</v>
      </c>
      <c r="V574">
        <f t="shared" ca="1" si="131"/>
        <v>2</v>
      </c>
      <c r="W574">
        <f t="shared" ca="1" si="132"/>
        <v>7</v>
      </c>
    </row>
    <row r="575" spans="1:23">
      <c r="A575" t="s">
        <v>1695</v>
      </c>
      <c r="B575" t="str">
        <f t="shared" ca="1" si="149"/>
        <v>楊壯臻</v>
      </c>
      <c r="C575" t="str">
        <f t="shared" ca="1" si="150"/>
        <v>ﾔｰﾝ ｼﾞｭﾜｰﾝ ｼﾞｪﾝ</v>
      </c>
      <c r="D575" t="str">
        <f t="shared" ca="1" si="151"/>
        <v>Yang Zhuang Zhen</v>
      </c>
      <c r="E575" t="str" cm="1">
        <f t="array" aca="1" ref="E575" ca="1">INDIRECT(ADDRESS(RANDBETWEEN(2,16),7,1,1,"valueBase"))</f>
        <v>女性</v>
      </c>
      <c r="F575" s="5">
        <f t="shared" ca="1" si="146"/>
        <v>32418</v>
      </c>
      <c r="G575" s="5">
        <f t="shared" ca="1" si="147"/>
        <v>43875</v>
      </c>
      <c r="H575" s="5">
        <f t="shared" ca="1" si="148"/>
        <v>44605</v>
      </c>
      <c r="I575" t="str">
        <f t="shared" ca="1" si="120"/>
        <v>080-4943-3800</v>
      </c>
      <c r="J575" t="str">
        <f t="shared" ca="1" si="152"/>
        <v>Yang_Zhuang_Zhen_43875@outlook.jp.co</v>
      </c>
      <c r="K575" t="str">
        <f t="shared" ca="1" si="122"/>
        <v>普通</v>
      </c>
      <c r="L575" t="str">
        <f t="shared" ca="1" si="123"/>
        <v>有り</v>
      </c>
      <c r="M575" t="str">
        <f t="shared" ca="1" si="153"/>
        <v>5%</v>
      </c>
      <c r="N575" t="str">
        <f t="shared" ca="1" si="125"/>
        <v>有り</v>
      </c>
      <c r="O575">
        <f t="shared" ca="1" si="126"/>
        <v>572</v>
      </c>
      <c r="R575">
        <f t="shared" ca="1" si="127"/>
        <v>7</v>
      </c>
      <c r="S575">
        <f t="shared" ca="1" si="128"/>
        <v>145</v>
      </c>
      <c r="T575">
        <f t="shared" ca="1" si="129"/>
        <v>1994</v>
      </c>
      <c r="U575">
        <f t="shared" ca="1" si="130"/>
        <v>2004</v>
      </c>
      <c r="V575">
        <f t="shared" ca="1" si="131"/>
        <v>5</v>
      </c>
      <c r="W575">
        <f t="shared" ca="1" si="132"/>
        <v>31</v>
      </c>
    </row>
    <row r="576" spans="1:23">
      <c r="A576" t="s">
        <v>1696</v>
      </c>
      <c r="B576" t="str">
        <f t="shared" ca="1" si="149"/>
        <v>謝曙素</v>
      </c>
      <c r="C576" t="str">
        <f t="shared" ca="1" si="150"/>
        <v>ｼｴ ｼｭｳ ｽｩ</v>
      </c>
      <c r="D576" t="str">
        <f t="shared" ca="1" si="151"/>
        <v>Xie Shu Su</v>
      </c>
      <c r="E576" t="str" cm="1">
        <f t="array" aca="1" ref="E576" ca="1">INDIRECT(ADDRESS(RANDBETWEEN(2,16),7,1,1,"valueBase"))</f>
        <v>男性</v>
      </c>
      <c r="F576" s="5">
        <f t="shared" ca="1" si="146"/>
        <v>28720</v>
      </c>
      <c r="G576" s="5">
        <f t="shared" ca="1" si="147"/>
        <v>45016</v>
      </c>
      <c r="H576" s="5">
        <f t="shared" ca="1" si="148"/>
        <v>45381</v>
      </c>
      <c r="I576" t="str">
        <f t="shared" ca="1" si="120"/>
        <v>080-8353-0663</v>
      </c>
      <c r="J576" t="str">
        <f t="shared" ca="1" si="152"/>
        <v>Xie_Shu_Su_45016@outlook.jp.co</v>
      </c>
      <c r="K576" t="str">
        <f t="shared" ca="1" si="122"/>
        <v>普通</v>
      </c>
      <c r="L576" t="str">
        <f t="shared" ca="1" si="123"/>
        <v>有り</v>
      </c>
      <c r="M576" t="str">
        <f t="shared" ca="1" si="153"/>
        <v>5%</v>
      </c>
      <c r="N576" t="str">
        <f t="shared" ca="1" si="125"/>
        <v>有り</v>
      </c>
      <c r="O576">
        <f t="shared" ca="1" si="126"/>
        <v>325</v>
      </c>
      <c r="R576">
        <f t="shared" ca="1" si="127"/>
        <v>25</v>
      </c>
      <c r="S576">
        <f t="shared" ca="1" si="128"/>
        <v>101</v>
      </c>
      <c r="T576">
        <f t="shared" ca="1" si="129"/>
        <v>1991</v>
      </c>
      <c r="U576">
        <f t="shared" ca="1" si="130"/>
        <v>1992</v>
      </c>
      <c r="V576">
        <f t="shared" ca="1" si="131"/>
        <v>2</v>
      </c>
      <c r="W576">
        <f t="shared" ca="1" si="132"/>
        <v>16</v>
      </c>
    </row>
    <row r="577" spans="1:23">
      <c r="A577" t="s">
        <v>1697</v>
      </c>
      <c r="B577" t="str">
        <f t="shared" ca="1" si="149"/>
        <v>于泰聚</v>
      </c>
      <c r="C577" t="str">
        <f t="shared" ca="1" si="150"/>
        <v>ﾕｲ ﾀｲ ｼﾞｭｲ</v>
      </c>
      <c r="D577" t="str">
        <f t="shared" ca="1" si="151"/>
        <v>Yu Tai Ju</v>
      </c>
      <c r="E577" t="str" cm="1">
        <f t="array" aca="1" ref="E577" ca="1">INDIRECT(ADDRESS(RANDBETWEEN(2,16),7,1,1,"valueBase"))</f>
        <v>女性</v>
      </c>
      <c r="F577" s="5">
        <f t="shared" ca="1" si="146"/>
        <v>28559</v>
      </c>
      <c r="G577" s="5">
        <f t="shared" ca="1" si="147"/>
        <v>40015</v>
      </c>
      <c r="H577" s="5">
        <f t="shared" ca="1" si="148"/>
        <v>40745</v>
      </c>
      <c r="I577" t="str">
        <f t="shared" ca="1" si="120"/>
        <v>090-2906-4101</v>
      </c>
      <c r="J577" t="str">
        <f t="shared" ca="1" si="152"/>
        <v>Yu_Tai_Ju_40015@outlook.jp.co</v>
      </c>
      <c r="K577" t="str">
        <f t="shared" ca="1" si="122"/>
        <v>高級</v>
      </c>
      <c r="L577" t="str">
        <f t="shared" ca="1" si="123"/>
        <v>有り</v>
      </c>
      <c r="M577" t="str">
        <f t="shared" ca="1" si="153"/>
        <v>10%</v>
      </c>
      <c r="N577" t="str">
        <f t="shared" ca="1" si="125"/>
        <v>有り</v>
      </c>
      <c r="O577">
        <f t="shared" ca="1" si="126"/>
        <v>613</v>
      </c>
      <c r="R577">
        <f t="shared" ca="1" si="127"/>
        <v>29</v>
      </c>
      <c r="S577">
        <f t="shared" ca="1" si="128"/>
        <v>235</v>
      </c>
      <c r="T577">
        <f t="shared" ca="1" si="129"/>
        <v>2004</v>
      </c>
      <c r="U577">
        <f t="shared" ca="1" si="130"/>
        <v>2008</v>
      </c>
      <c r="V577">
        <f t="shared" ca="1" si="131"/>
        <v>7</v>
      </c>
      <c r="W577">
        <f t="shared" ca="1" si="132"/>
        <v>26</v>
      </c>
    </row>
    <row r="578" spans="1:23">
      <c r="A578" t="s">
        <v>1698</v>
      </c>
      <c r="B578" t="str">
        <f t="shared" ca="1" si="149"/>
        <v>羅超萬</v>
      </c>
      <c r="C578" t="str">
        <f t="shared" ca="1" si="150"/>
        <v>ﾙｵ ﾁｬｵ ﾜﾝ</v>
      </c>
      <c r="D578" t="str">
        <f t="shared" ca="1" si="151"/>
        <v>Luo Chao Wan</v>
      </c>
      <c r="E578" t="str" cm="1">
        <f t="array" aca="1" ref="E578" ca="1">INDIRECT(ADDRESS(RANDBETWEEN(2,16),7,1,1,"valueBase"))</f>
        <v>女性</v>
      </c>
      <c r="F578" s="5">
        <f t="shared" ca="1" si="146"/>
        <v>32997</v>
      </c>
      <c r="G578" s="5">
        <f t="shared" ca="1" si="147"/>
        <v>41321</v>
      </c>
      <c r="H578" s="5">
        <f t="shared" ca="1" si="148"/>
        <v>42416</v>
      </c>
      <c r="I578" t="str">
        <f t="shared" ca="1" si="120"/>
        <v>090-7494-5697</v>
      </c>
      <c r="J578" t="str">
        <f t="shared" ca="1" si="152"/>
        <v>Luo_Chao_Wan_41321@outlook.jp.co</v>
      </c>
      <c r="K578" t="str">
        <f t="shared" ca="1" si="122"/>
        <v>普通</v>
      </c>
      <c r="L578" t="str">
        <f t="shared" ca="1" si="123"/>
        <v>有り</v>
      </c>
      <c r="M578" t="str">
        <f t="shared" ca="1" si="153"/>
        <v>5%</v>
      </c>
      <c r="N578" t="str">
        <f t="shared" ca="1" si="125"/>
        <v>有り</v>
      </c>
      <c r="O578">
        <f t="shared" ca="1" si="126"/>
        <v>491</v>
      </c>
      <c r="R578">
        <f t="shared" ca="1" si="127"/>
        <v>21</v>
      </c>
      <c r="S578">
        <f t="shared" ca="1" si="128"/>
        <v>226</v>
      </c>
      <c r="T578">
        <f t="shared" ca="1" si="129"/>
        <v>1993</v>
      </c>
      <c r="U578">
        <f t="shared" ca="1" si="130"/>
        <v>1999</v>
      </c>
      <c r="V578">
        <f t="shared" ca="1" si="131"/>
        <v>4</v>
      </c>
      <c r="W578">
        <f t="shared" ca="1" si="132"/>
        <v>21</v>
      </c>
    </row>
    <row r="579" spans="1:23">
      <c r="A579" t="s">
        <v>1699</v>
      </c>
      <c r="B579" t="str">
        <f t="shared" ca="1" si="149"/>
        <v>胡芬勁</v>
      </c>
      <c r="C579" t="str">
        <f t="shared" ca="1" si="150"/>
        <v>ﾎｩ ﾌｪﾝ ｼﾞﾝ</v>
      </c>
      <c r="D579" t="str">
        <f t="shared" ca="1" si="151"/>
        <v>Hu Fen Jin</v>
      </c>
      <c r="E579" t="str" cm="1">
        <f t="array" aca="1" ref="E579" ca="1">INDIRECT(ADDRESS(RANDBETWEEN(2,16),7,1,1,"valueBase"))</f>
        <v>男性</v>
      </c>
      <c r="F579" s="5">
        <f t="shared" ref="F579:F640" ca="1" si="154">RANDBETWEEN(21916,NOW() - 6574)</f>
        <v>29010</v>
      </c>
      <c r="G579" s="5">
        <f t="shared" ref="G579:G640" ca="1" si="155">RANDBETWEEN(F579 + 6574,NOW())</f>
        <v>39686</v>
      </c>
      <c r="H579" s="5">
        <f t="shared" ref="H579:H640" ca="1" si="156">G579 + RANDBETWEEN(1,3) * 365</f>
        <v>40051</v>
      </c>
      <c r="I579" t="str">
        <f t="shared" ca="1" si="120"/>
        <v>080-7903-7903</v>
      </c>
      <c r="J579" t="str">
        <f t="shared" ca="1" si="152"/>
        <v>Hu_Fen Jin_39686@outlook.jp.co</v>
      </c>
      <c r="K579" t="str">
        <f t="shared" ca="1" si="122"/>
        <v>高級</v>
      </c>
      <c r="L579" t="str">
        <f t="shared" ca="1" si="123"/>
        <v>有り</v>
      </c>
      <c r="M579" t="str">
        <f t="shared" ca="1" si="153"/>
        <v>10%</v>
      </c>
      <c r="N579" t="str">
        <f t="shared" ca="1" si="125"/>
        <v>-</v>
      </c>
      <c r="O579" t="str">
        <f t="shared" ca="1" si="126"/>
        <v>-</v>
      </c>
      <c r="R579">
        <f t="shared" ca="1" si="127"/>
        <v>14</v>
      </c>
      <c r="S579">
        <f t="shared" ca="1" si="128"/>
        <v>10</v>
      </c>
      <c r="T579">
        <f t="shared" ca="1" si="129"/>
        <v>1988</v>
      </c>
      <c r="U579">
        <f t="shared" ca="1" si="130"/>
        <v>1996</v>
      </c>
      <c r="V579">
        <f t="shared" ca="1" si="131"/>
        <v>12</v>
      </c>
      <c r="W579">
        <f t="shared" ca="1" si="132"/>
        <v>18</v>
      </c>
    </row>
    <row r="580" spans="1:23">
      <c r="A580" t="s">
        <v>1700</v>
      </c>
      <c r="B580" t="str">
        <f t="shared" ca="1" si="149"/>
        <v>宋寧金</v>
      </c>
      <c r="C580" t="str">
        <f t="shared" ca="1" si="150"/>
        <v>ｿｰﾝ ﾆｰﾝ ｼﾞﾝ</v>
      </c>
      <c r="D580" t="str">
        <f t="shared" ca="1" si="151"/>
        <v>Song Ning Jin</v>
      </c>
      <c r="E580" t="str" cm="1">
        <f t="array" aca="1" ref="E580" ca="1">INDIRECT(ADDRESS(RANDBETWEEN(2,16),7,1,1,"valueBase"))</f>
        <v>男性</v>
      </c>
      <c r="F580" s="5">
        <f t="shared" ca="1" si="154"/>
        <v>27520</v>
      </c>
      <c r="G580" s="5">
        <f t="shared" ca="1" si="155"/>
        <v>39564</v>
      </c>
      <c r="H580" s="5">
        <f t="shared" ca="1" si="156"/>
        <v>40659</v>
      </c>
      <c r="I580" t="str">
        <f t="shared" ca="1" si="120"/>
        <v>080-7949-1408</v>
      </c>
      <c r="J580" t="str">
        <f t="shared" ca="1" si="152"/>
        <v>Song_Ning_Jin_39564@outlook.jp.co</v>
      </c>
      <c r="K580" t="str">
        <f t="shared" ca="1" si="122"/>
        <v>高級</v>
      </c>
      <c r="L580" t="str">
        <f t="shared" ca="1" si="123"/>
        <v>有り</v>
      </c>
      <c r="M580" t="str">
        <f t="shared" ca="1" si="153"/>
        <v>10%</v>
      </c>
      <c r="N580" t="str">
        <f t="shared" ca="1" si="125"/>
        <v>有り</v>
      </c>
      <c r="O580">
        <f t="shared" ca="1" si="126"/>
        <v>785</v>
      </c>
      <c r="R580">
        <f t="shared" ca="1" si="127"/>
        <v>23</v>
      </c>
      <c r="S580">
        <f t="shared" ca="1" si="128"/>
        <v>306</v>
      </c>
      <c r="T580">
        <f t="shared" ca="1" si="129"/>
        <v>1977</v>
      </c>
      <c r="U580">
        <f t="shared" ca="1" si="130"/>
        <v>1989</v>
      </c>
      <c r="V580">
        <f t="shared" ca="1" si="131"/>
        <v>8</v>
      </c>
      <c r="W580">
        <f t="shared" ca="1" si="132"/>
        <v>11</v>
      </c>
    </row>
    <row r="581" spans="1:23">
      <c r="A581" t="s">
        <v>1701</v>
      </c>
      <c r="B581" t="str">
        <f t="shared" ca="1" si="149"/>
        <v>楊慕頻</v>
      </c>
      <c r="C581" t="str">
        <f t="shared" ca="1" si="150"/>
        <v>ﾔｰﾝ ﾑｩ ﾋﾟﾝ</v>
      </c>
      <c r="D581" t="str">
        <f t="shared" ca="1" si="151"/>
        <v>Yang Mu Pin</v>
      </c>
      <c r="E581" t="str" cm="1">
        <f t="array" aca="1" ref="E581" ca="1">INDIRECT(ADDRESS(RANDBETWEEN(2,16),7,1,1,"valueBase"))</f>
        <v>女性</v>
      </c>
      <c r="F581" s="5">
        <f t="shared" ca="1" si="154"/>
        <v>28285</v>
      </c>
      <c r="G581" s="5">
        <f t="shared" ca="1" si="155"/>
        <v>43647</v>
      </c>
      <c r="H581" s="5">
        <f t="shared" ca="1" si="156"/>
        <v>44012</v>
      </c>
      <c r="I581" t="str">
        <f t="shared" ca="1" si="120"/>
        <v>080-8076-9331</v>
      </c>
      <c r="J581" t="str">
        <f t="shared" ca="1" si="152"/>
        <v>Yang_Mu_Pin_43647@outlook.jp.co</v>
      </c>
      <c r="K581" t="str">
        <f t="shared" ca="1" si="122"/>
        <v>普通</v>
      </c>
      <c r="L581" t="str">
        <f t="shared" ca="1" si="123"/>
        <v>有り</v>
      </c>
      <c r="M581" t="str">
        <f t="shared" ca="1" si="153"/>
        <v>5%</v>
      </c>
      <c r="N581" t="str">
        <f t="shared" ca="1" si="125"/>
        <v>有り</v>
      </c>
      <c r="O581">
        <f t="shared" ca="1" si="126"/>
        <v>938</v>
      </c>
      <c r="R581">
        <f t="shared" ca="1" si="127"/>
        <v>7</v>
      </c>
      <c r="S581">
        <f t="shared" ca="1" si="128"/>
        <v>162</v>
      </c>
      <c r="T581">
        <f t="shared" ca="1" si="129"/>
        <v>2000</v>
      </c>
      <c r="U581">
        <f t="shared" ca="1" si="130"/>
        <v>2008</v>
      </c>
      <c r="V581">
        <f t="shared" ca="1" si="131"/>
        <v>11</v>
      </c>
      <c r="W581">
        <f t="shared" ca="1" si="132"/>
        <v>14</v>
      </c>
    </row>
    <row r="582" spans="1:23">
      <c r="A582" t="s">
        <v>1702</v>
      </c>
      <c r="B582" t="str">
        <f t="shared" ca="1" si="149"/>
        <v>羅臻倫</v>
      </c>
      <c r="C582" t="str">
        <f t="shared" ca="1" si="150"/>
        <v>ﾙｵ ｼﾞｪﾝ ﾙﾝ</v>
      </c>
      <c r="D582" t="str">
        <f t="shared" ca="1" si="151"/>
        <v>Luo Zhen Lun</v>
      </c>
      <c r="E582" t="str" cm="1">
        <f t="array" aca="1" ref="E582" ca="1">INDIRECT(ADDRESS(RANDBETWEEN(2,16),7,1,1,"valueBase"))</f>
        <v>女性</v>
      </c>
      <c r="F582" s="5">
        <f t="shared" ca="1" si="154"/>
        <v>26953</v>
      </c>
      <c r="G582" s="5">
        <f t="shared" ca="1" si="155"/>
        <v>42552</v>
      </c>
      <c r="H582" s="5">
        <f t="shared" ca="1" si="156"/>
        <v>42917</v>
      </c>
      <c r="I582" t="str">
        <f t="shared" ca="1" si="120"/>
        <v>090-0307-4062</v>
      </c>
      <c r="J582" t="str">
        <f t="shared" ca="1" si="152"/>
        <v>Luo_Zhen_Lun_42552@outlook.jp.co</v>
      </c>
      <c r="K582" t="str">
        <f t="shared" ca="1" si="122"/>
        <v>高級</v>
      </c>
      <c r="L582" t="str">
        <f t="shared" ca="1" si="123"/>
        <v>有り</v>
      </c>
      <c r="M582" t="str">
        <f t="shared" ca="1" si="153"/>
        <v>10%</v>
      </c>
      <c r="N582" t="str">
        <f t="shared" ca="1" si="125"/>
        <v>-</v>
      </c>
      <c r="O582" t="str">
        <f t="shared" ca="1" si="126"/>
        <v>-</v>
      </c>
      <c r="R582">
        <f t="shared" ca="1" si="127"/>
        <v>21</v>
      </c>
      <c r="S582">
        <f t="shared" ca="1" si="128"/>
        <v>193</v>
      </c>
      <c r="T582">
        <f t="shared" ca="1" si="129"/>
        <v>1997</v>
      </c>
      <c r="U582">
        <f t="shared" ca="1" si="130"/>
        <v>2007</v>
      </c>
      <c r="V582">
        <f t="shared" ca="1" si="131"/>
        <v>4</v>
      </c>
      <c r="W582">
        <f t="shared" ca="1" si="132"/>
        <v>30</v>
      </c>
    </row>
    <row r="583" spans="1:23">
      <c r="A583" t="s">
        <v>1703</v>
      </c>
      <c r="B583" t="str">
        <f t="shared" ca="1" si="149"/>
        <v>朱雅雪</v>
      </c>
      <c r="C583" t="str">
        <f t="shared" ca="1" si="150"/>
        <v>ｼﾞｭｳ ﾔｰ ｼｭｴ</v>
      </c>
      <c r="D583" t="str">
        <f t="shared" ca="1" si="151"/>
        <v>Zhu Ya Xue</v>
      </c>
      <c r="E583" t="str" cm="1">
        <f t="array" aca="1" ref="E583" ca="1">INDIRECT(ADDRESS(RANDBETWEEN(2,16),7,1,1,"valueBase"))</f>
        <v>男性</v>
      </c>
      <c r="F583" s="5">
        <f t="shared" ca="1" si="154"/>
        <v>22370</v>
      </c>
      <c r="G583" s="5">
        <f t="shared" ca="1" si="155"/>
        <v>34535</v>
      </c>
      <c r="H583" s="5">
        <f t="shared" ca="1" si="156"/>
        <v>35265</v>
      </c>
      <c r="I583" t="str">
        <f t="shared" ca="1" si="120"/>
        <v>090-7349-5493</v>
      </c>
      <c r="J583" t="str">
        <f t="shared" ca="1" si="152"/>
        <v>Zhu_Ya_Xue_34535@outlook.jp.co</v>
      </c>
      <c r="K583" t="str">
        <f t="shared" ca="1" si="122"/>
        <v>普通</v>
      </c>
      <c r="L583" t="str">
        <f t="shared" ca="1" si="123"/>
        <v>有り</v>
      </c>
      <c r="M583" t="str">
        <f t="shared" ca="1" si="153"/>
        <v>5%</v>
      </c>
      <c r="N583" t="str">
        <f t="shared" ca="1" si="125"/>
        <v>有り</v>
      </c>
      <c r="O583">
        <f t="shared" ca="1" si="126"/>
        <v>522</v>
      </c>
      <c r="R583">
        <f t="shared" ca="1" si="127"/>
        <v>15</v>
      </c>
      <c r="S583">
        <f t="shared" ca="1" si="128"/>
        <v>182</v>
      </c>
      <c r="T583">
        <f t="shared" ca="1" si="129"/>
        <v>1988</v>
      </c>
      <c r="U583">
        <f t="shared" ca="1" si="130"/>
        <v>1999</v>
      </c>
      <c r="V583">
        <f t="shared" ca="1" si="131"/>
        <v>11</v>
      </c>
      <c r="W583">
        <f t="shared" ca="1" si="132"/>
        <v>20</v>
      </c>
    </row>
    <row r="584" spans="1:23">
      <c r="A584" t="s">
        <v>1704</v>
      </c>
      <c r="B584" t="str">
        <f t="shared" ca="1" si="149"/>
        <v>徐欽龍</v>
      </c>
      <c r="C584" t="str">
        <f t="shared" ca="1" si="150"/>
        <v>ｼｭｲ ﾁﾝ ﾛｰﾝ</v>
      </c>
      <c r="D584" t="str">
        <f t="shared" ca="1" si="151"/>
        <v>Xu Qin Long</v>
      </c>
      <c r="E584" t="str" cm="1">
        <f t="array" aca="1" ref="E584" ca="1">INDIRECT(ADDRESS(RANDBETWEEN(2,16),7,1,1,"valueBase"))</f>
        <v>女性</v>
      </c>
      <c r="F584" s="5">
        <f t="shared" ca="1" si="154"/>
        <v>35051</v>
      </c>
      <c r="G584" s="5">
        <f t="shared" ca="1" si="155"/>
        <v>43592</v>
      </c>
      <c r="H584" s="5">
        <f t="shared" ca="1" si="156"/>
        <v>43957</v>
      </c>
      <c r="I584" t="str">
        <f t="shared" ca="1" si="120"/>
        <v>080-5834-1578</v>
      </c>
      <c r="J584" t="str">
        <f t="shared" ca="1" si="152"/>
        <v>Xu_Qin_Long_43592@outlook.jp.co</v>
      </c>
      <c r="K584" t="str">
        <f t="shared" ca="1" si="122"/>
        <v>高級</v>
      </c>
      <c r="L584" t="str">
        <f t="shared" ca="1" si="123"/>
        <v>有り</v>
      </c>
      <c r="M584" t="str">
        <f t="shared" ca="1" si="153"/>
        <v>10%</v>
      </c>
      <c r="N584" t="str">
        <f t="shared" ca="1" si="125"/>
        <v>有り</v>
      </c>
      <c r="O584">
        <f t="shared" ca="1" si="126"/>
        <v>701</v>
      </c>
      <c r="R584">
        <f t="shared" ca="1" si="127"/>
        <v>12</v>
      </c>
      <c r="S584">
        <f t="shared" ca="1" si="128"/>
        <v>63</v>
      </c>
      <c r="T584">
        <f t="shared" ca="1" si="129"/>
        <v>1975</v>
      </c>
      <c r="U584">
        <f t="shared" ca="1" si="130"/>
        <v>1979</v>
      </c>
      <c r="V584">
        <f t="shared" ca="1" si="131"/>
        <v>12</v>
      </c>
      <c r="W584">
        <f t="shared" ca="1" si="132"/>
        <v>16</v>
      </c>
    </row>
    <row r="585" spans="1:23">
      <c r="A585" t="s">
        <v>1705</v>
      </c>
      <c r="B585" t="str">
        <f t="shared" ca="1" si="149"/>
        <v>陳藍尚</v>
      </c>
      <c r="C585" t="str">
        <f t="shared" ca="1" si="150"/>
        <v>ﾁｪﾝ ﾗﾝ ｼｬｰﾝ</v>
      </c>
      <c r="D585" t="str">
        <f t="shared" ca="1" si="151"/>
        <v>Chen Lan Shang</v>
      </c>
      <c r="E585" t="str" cm="1">
        <f t="array" aca="1" ref="E585" ca="1">INDIRECT(ADDRESS(RANDBETWEEN(2,16),7,1,1,"valueBase"))</f>
        <v>男性</v>
      </c>
      <c r="F585" s="5">
        <f t="shared" ca="1" si="154"/>
        <v>26646</v>
      </c>
      <c r="G585" s="5">
        <f t="shared" ca="1" si="155"/>
        <v>42873</v>
      </c>
      <c r="H585" s="5">
        <f t="shared" ca="1" si="156"/>
        <v>43238</v>
      </c>
      <c r="I585" t="str">
        <f t="shared" ca="1" si="120"/>
        <v>090-2037-2387</v>
      </c>
      <c r="J585" t="str">
        <f t="shared" ca="1" si="152"/>
        <v>Chen_Lan_Shang_42873@outlook.jp.co</v>
      </c>
      <c r="K585" t="str">
        <f t="shared" ca="1" si="122"/>
        <v>普通</v>
      </c>
      <c r="L585" t="str">
        <f t="shared" ca="1" si="123"/>
        <v>有り</v>
      </c>
      <c r="M585" t="str">
        <f t="shared" ca="1" si="153"/>
        <v>5%</v>
      </c>
      <c r="N585" t="str">
        <f t="shared" ca="1" si="125"/>
        <v>有り</v>
      </c>
      <c r="O585">
        <f t="shared" ca="1" si="126"/>
        <v>992</v>
      </c>
      <c r="R585">
        <f t="shared" ca="1" si="127"/>
        <v>6</v>
      </c>
      <c r="S585">
        <f t="shared" ca="1" si="128"/>
        <v>295</v>
      </c>
      <c r="T585">
        <f t="shared" ca="1" si="129"/>
        <v>1970</v>
      </c>
      <c r="U585">
        <f t="shared" ca="1" si="130"/>
        <v>1971</v>
      </c>
      <c r="V585">
        <f t="shared" ca="1" si="131"/>
        <v>7</v>
      </c>
      <c r="W585">
        <f t="shared" ca="1" si="132"/>
        <v>9</v>
      </c>
    </row>
    <row r="586" spans="1:23">
      <c r="A586" t="s">
        <v>1706</v>
      </c>
      <c r="B586" t="str">
        <f t="shared" ca="1" si="149"/>
        <v>劉創淺</v>
      </c>
      <c r="C586" t="str">
        <f t="shared" ca="1" si="150"/>
        <v>ﾘｳ ﾁｭﾜｰﾝ ﾁｴﾝ</v>
      </c>
      <c r="D586" t="str">
        <f t="shared" ca="1" si="151"/>
        <v>Liu Chuang Qian</v>
      </c>
      <c r="E586" t="str" cm="1">
        <f t="array" aca="1" ref="E586" ca="1">INDIRECT(ADDRESS(RANDBETWEEN(2,16),7,1,1,"valueBase"))</f>
        <v>男性</v>
      </c>
      <c r="F586" s="5">
        <f t="shared" ca="1" si="154"/>
        <v>31556</v>
      </c>
      <c r="G586" s="5">
        <f t="shared" ca="1" si="155"/>
        <v>42422</v>
      </c>
      <c r="H586" s="5">
        <f t="shared" ca="1" si="156"/>
        <v>43152</v>
      </c>
      <c r="I586" t="str">
        <f t="shared" ca="1" si="120"/>
        <v>090-0347-6390</v>
      </c>
      <c r="J586" t="str">
        <f t="shared" ca="1" si="152"/>
        <v>Liu_Chuang Qian_42422@outlook.jp.co</v>
      </c>
      <c r="K586" t="str">
        <f t="shared" ca="1" si="122"/>
        <v>普通</v>
      </c>
      <c r="L586" t="str">
        <f t="shared" ca="1" si="123"/>
        <v>有り</v>
      </c>
      <c r="M586" t="str">
        <f t="shared" ca="1" si="153"/>
        <v>5%</v>
      </c>
      <c r="N586" t="str">
        <f t="shared" ca="1" si="125"/>
        <v>有り</v>
      </c>
      <c r="O586">
        <f t="shared" ca="1" si="126"/>
        <v>371</v>
      </c>
      <c r="R586">
        <f t="shared" ca="1" si="127"/>
        <v>5</v>
      </c>
      <c r="S586">
        <f t="shared" ca="1" si="128"/>
        <v>149</v>
      </c>
      <c r="T586">
        <f t="shared" ca="1" si="129"/>
        <v>2003</v>
      </c>
      <c r="U586">
        <f t="shared" ca="1" si="130"/>
        <v>2013</v>
      </c>
      <c r="V586">
        <f t="shared" ca="1" si="131"/>
        <v>12</v>
      </c>
      <c r="W586">
        <f t="shared" ca="1" si="132"/>
        <v>4</v>
      </c>
    </row>
    <row r="587" spans="1:23">
      <c r="A587" t="s">
        <v>1707</v>
      </c>
      <c r="B587" t="str">
        <f t="shared" ca="1" si="149"/>
        <v>宋壯臻</v>
      </c>
      <c r="C587" t="str">
        <f t="shared" ca="1" si="150"/>
        <v>ｿｰﾝ ｼﾞｭﾜｰﾝ ｼﾞｪﾝ</v>
      </c>
      <c r="D587" t="str">
        <f t="shared" ca="1" si="151"/>
        <v>Song Zhuang Zhen</v>
      </c>
      <c r="E587" t="str" cm="1">
        <f t="array" aca="1" ref="E587" ca="1">INDIRECT(ADDRESS(RANDBETWEEN(2,16),7,1,1,"valueBase"))</f>
        <v>男性</v>
      </c>
      <c r="F587" s="5">
        <f t="shared" ca="1" si="154"/>
        <v>32450</v>
      </c>
      <c r="G587" s="5">
        <f t="shared" ca="1" si="155"/>
        <v>44336</v>
      </c>
      <c r="H587" s="5">
        <f t="shared" ca="1" si="156"/>
        <v>44701</v>
      </c>
      <c r="I587" t="str">
        <f t="shared" ca="1" si="120"/>
        <v>080-6681-4152</v>
      </c>
      <c r="J587" t="str">
        <f t="shared" ca="1" si="152"/>
        <v>Song_Zhuang_Zhen_44336@outlook.jp.co</v>
      </c>
      <c r="K587" t="str">
        <f t="shared" ca="1" si="122"/>
        <v>高級</v>
      </c>
      <c r="L587" t="str">
        <f t="shared" ca="1" si="123"/>
        <v>有り</v>
      </c>
      <c r="M587" t="str">
        <f t="shared" ca="1" si="153"/>
        <v>10%</v>
      </c>
      <c r="N587" t="str">
        <f t="shared" ca="1" si="125"/>
        <v>有り</v>
      </c>
      <c r="O587">
        <f t="shared" ca="1" si="126"/>
        <v>644</v>
      </c>
      <c r="R587">
        <f t="shared" ca="1" si="127"/>
        <v>23</v>
      </c>
      <c r="S587">
        <f t="shared" ca="1" si="128"/>
        <v>145</v>
      </c>
      <c r="T587">
        <f t="shared" ca="1" si="129"/>
        <v>1993</v>
      </c>
      <c r="U587">
        <f t="shared" ca="1" si="130"/>
        <v>2000</v>
      </c>
      <c r="V587">
        <f t="shared" ca="1" si="131"/>
        <v>9</v>
      </c>
      <c r="W587">
        <f t="shared" ca="1" si="132"/>
        <v>6</v>
      </c>
    </row>
    <row r="588" spans="1:23">
      <c r="A588" t="s">
        <v>1708</v>
      </c>
      <c r="B588" t="str">
        <f t="shared" ca="1" si="149"/>
        <v>謝皇特</v>
      </c>
      <c r="C588" t="str">
        <f t="shared" ca="1" si="150"/>
        <v>ｼｴ ﾎﾜｰﾝ ﾄｰｧ</v>
      </c>
      <c r="D588" t="str">
        <f t="shared" ca="1" si="151"/>
        <v>Xie Huang Te</v>
      </c>
      <c r="E588" t="str" cm="1">
        <f t="array" aca="1" ref="E588" ca="1">INDIRECT(ADDRESS(RANDBETWEEN(2,16),7,1,1,"valueBase"))</f>
        <v>男性</v>
      </c>
      <c r="F588" s="5">
        <f t="shared" ca="1" si="154"/>
        <v>29643</v>
      </c>
      <c r="G588" s="5">
        <f t="shared" ca="1" si="155"/>
        <v>43144</v>
      </c>
      <c r="H588" s="5">
        <f t="shared" ca="1" si="156"/>
        <v>43874</v>
      </c>
      <c r="I588" t="str">
        <f t="shared" ca="1" si="120"/>
        <v>090-7250-1082</v>
      </c>
      <c r="J588" t="str">
        <f t="shared" ca="1" si="152"/>
        <v>Xie_Huang_Te_43144@outlook.jp.co</v>
      </c>
      <c r="K588" t="str">
        <f t="shared" ca="1" si="122"/>
        <v>普通</v>
      </c>
      <c r="L588" t="str">
        <f t="shared" ca="1" si="123"/>
        <v>有り</v>
      </c>
      <c r="M588" t="str">
        <f t="shared" ca="1" si="153"/>
        <v>5%</v>
      </c>
      <c r="N588" t="str">
        <f t="shared" ca="1" si="125"/>
        <v>有り</v>
      </c>
      <c r="O588">
        <f t="shared" ca="1" si="126"/>
        <v>973</v>
      </c>
      <c r="R588">
        <f t="shared" ca="1" si="127"/>
        <v>25</v>
      </c>
      <c r="S588">
        <f t="shared" ca="1" si="128"/>
        <v>179</v>
      </c>
      <c r="T588">
        <f t="shared" ca="1" si="129"/>
        <v>1990</v>
      </c>
      <c r="U588">
        <f t="shared" ca="1" si="130"/>
        <v>1996</v>
      </c>
      <c r="V588">
        <f t="shared" ca="1" si="131"/>
        <v>5</v>
      </c>
      <c r="W588">
        <f t="shared" ca="1" si="132"/>
        <v>30</v>
      </c>
    </row>
    <row r="589" spans="1:23">
      <c r="A589" t="s">
        <v>1709</v>
      </c>
      <c r="B589" t="str">
        <f t="shared" ca="1" si="149"/>
        <v>吳慶興</v>
      </c>
      <c r="C589" t="str">
        <f t="shared" ca="1" si="150"/>
        <v>ｳｰ ﾁｰﾝ ｼｰﾝ</v>
      </c>
      <c r="D589" t="str">
        <f t="shared" ca="1" si="151"/>
        <v>Wu Qing Xing</v>
      </c>
      <c r="E589" t="str" cm="1">
        <f t="array" aca="1" ref="E589" ca="1">INDIRECT(ADDRESS(RANDBETWEEN(2,16),7,1,1,"valueBase"))</f>
        <v>男性</v>
      </c>
      <c r="F589" s="5">
        <f t="shared" ca="1" si="154"/>
        <v>28176</v>
      </c>
      <c r="G589" s="5">
        <f t="shared" ca="1" si="155"/>
        <v>40603</v>
      </c>
      <c r="H589" s="5">
        <f t="shared" ca="1" si="156"/>
        <v>40968</v>
      </c>
      <c r="I589" t="str">
        <f t="shared" ca="1" si="120"/>
        <v>080-0526-7661</v>
      </c>
      <c r="J589" t="str">
        <f t="shared" ca="1" si="152"/>
        <v>Wu_Qing_Xing_40603@outlook.jp.co</v>
      </c>
      <c r="K589" t="str">
        <f t="shared" ca="1" si="122"/>
        <v>高級</v>
      </c>
      <c r="L589" t="str">
        <f t="shared" ca="1" si="123"/>
        <v>有り</v>
      </c>
      <c r="M589" t="str">
        <f t="shared" ca="1" si="153"/>
        <v>10%</v>
      </c>
      <c r="N589" t="str">
        <f t="shared" ca="1" si="125"/>
        <v>-</v>
      </c>
      <c r="O589" t="str">
        <f t="shared" ca="1" si="126"/>
        <v>-</v>
      </c>
      <c r="R589">
        <f t="shared" ca="1" si="127"/>
        <v>11</v>
      </c>
      <c r="S589">
        <f t="shared" ca="1" si="128"/>
        <v>92</v>
      </c>
      <c r="T589">
        <f t="shared" ca="1" si="129"/>
        <v>1995</v>
      </c>
      <c r="U589">
        <f t="shared" ca="1" si="130"/>
        <v>2004</v>
      </c>
      <c r="V589">
        <f t="shared" ca="1" si="131"/>
        <v>7</v>
      </c>
      <c r="W589">
        <f t="shared" ca="1" si="132"/>
        <v>11</v>
      </c>
    </row>
    <row r="590" spans="1:23">
      <c r="A590" t="s">
        <v>1710</v>
      </c>
      <c r="B590" t="str">
        <f t="shared" ref="B590:B640" ca="1" si="157">_xlfn.CONCAT(INDIRECT(ADDRESS(R590,1,1,1,"valueBase")),INDIRECT(ADDRESS(S590,4,1,1,"valueBase")))</f>
        <v>王譽昌</v>
      </c>
      <c r="C590" t="str">
        <f t="shared" ref="C590:C640" ca="1" si="158">_xlfn.CONCAT(INDIRECT(ADDRESS(R590,2,1,1,"valueBase")),INDIRECT(ADDRESS(S590,5,1,1,"valueBase")))</f>
        <v>ﾜｰﾝ ﾕｲ ﾁｬｰﾝ</v>
      </c>
      <c r="D590" t="str">
        <f t="shared" ref="D590:D640" ca="1" si="159">_xlfn.CONCAT(INDIRECT(ADDRESS(R590,3,1,1,"valueBase")),INDIRECT(ADDRESS(S590,6,1,1,"valueBase")))</f>
        <v>Wang Yu Chang</v>
      </c>
      <c r="E590" t="str" cm="1">
        <f t="array" aca="1" ref="E590" ca="1">INDIRECT(ADDRESS(RANDBETWEEN(2,16),7,1,1,"valueBase"))</f>
        <v>男性</v>
      </c>
      <c r="F590" s="5">
        <f t="shared" ca="1" si="154"/>
        <v>25149</v>
      </c>
      <c r="G590" s="5">
        <f t="shared" ca="1" si="155"/>
        <v>32285</v>
      </c>
      <c r="H590" s="5">
        <f t="shared" ca="1" si="156"/>
        <v>33380</v>
      </c>
      <c r="I590" t="str">
        <f t="shared" ca="1" si="120"/>
        <v>080-3536-7037</v>
      </c>
      <c r="J590" t="str">
        <f t="shared" ref="J590:J640" ca="1" si="160">CONCATENATE(SUBSTITUTE(D590," ","_"),"_",SUBSTITUTE(G590,"/","_"),"@outlook.jp.co")</f>
        <v>Wang_Yu_Chang_32285@outlook.jp.co</v>
      </c>
      <c r="K590" t="str">
        <f t="shared" ca="1" si="122"/>
        <v>普通</v>
      </c>
      <c r="L590" t="str">
        <f t="shared" ca="1" si="123"/>
        <v>有り</v>
      </c>
      <c r="M590" t="str">
        <f t="shared" ref="M590:M640" ca="1" si="161">IF(L590 = "有り",IF(K590 = "高級","10%","5%"),"-")</f>
        <v>5%</v>
      </c>
      <c r="N590" t="str">
        <f t="shared" ca="1" si="125"/>
        <v>有り</v>
      </c>
      <c r="O590">
        <f t="shared" ca="1" si="126"/>
        <v>222</v>
      </c>
      <c r="R590">
        <f t="shared" ca="1" si="127"/>
        <v>3</v>
      </c>
      <c r="S590">
        <f t="shared" ca="1" si="128"/>
        <v>317</v>
      </c>
      <c r="T590">
        <f t="shared" ca="1" si="129"/>
        <v>1975</v>
      </c>
      <c r="U590">
        <f t="shared" ca="1" si="130"/>
        <v>1983</v>
      </c>
      <c r="V590">
        <f t="shared" ca="1" si="131"/>
        <v>1</v>
      </c>
      <c r="W590">
        <f t="shared" ca="1" si="132"/>
        <v>5</v>
      </c>
    </row>
    <row r="591" spans="1:23">
      <c r="A591" t="s">
        <v>1711</v>
      </c>
      <c r="B591" t="str">
        <f t="shared" ca="1" si="157"/>
        <v>馬赫佑</v>
      </c>
      <c r="C591" t="str">
        <f t="shared" ca="1" si="158"/>
        <v>ﾏｰ ﾎｰｧ ﾖｳ</v>
      </c>
      <c r="D591" t="str">
        <f t="shared" ca="1" si="159"/>
        <v>Ma He You</v>
      </c>
      <c r="E591" t="str" cm="1">
        <f t="array" aca="1" ref="E591" ca="1">INDIRECT(ADDRESS(RANDBETWEEN(2,16),7,1,1,"valueBase"))</f>
        <v>男性</v>
      </c>
      <c r="F591" s="5">
        <f t="shared" ca="1" si="154"/>
        <v>26530</v>
      </c>
      <c r="G591" s="5">
        <f t="shared" ca="1" si="155"/>
        <v>34608</v>
      </c>
      <c r="H591" s="5">
        <f t="shared" ca="1" si="156"/>
        <v>35338</v>
      </c>
      <c r="I591" t="str">
        <f t="shared" ca="1" si="120"/>
        <v>080-0006-3752</v>
      </c>
      <c r="J591" t="str">
        <f t="shared" ca="1" si="160"/>
        <v>Ma_He_You_34608@outlook.jp.co</v>
      </c>
      <c r="K591" t="str">
        <f t="shared" ca="1" si="122"/>
        <v>高級</v>
      </c>
      <c r="L591" t="str">
        <f t="shared" ca="1" si="123"/>
        <v>-</v>
      </c>
      <c r="M591" t="str">
        <f t="shared" ca="1" si="161"/>
        <v>-</v>
      </c>
      <c r="N591" t="str">
        <f t="shared" ca="1" si="125"/>
        <v>有り</v>
      </c>
      <c r="O591">
        <f t="shared" ca="1" si="126"/>
        <v>15</v>
      </c>
      <c r="R591">
        <f t="shared" ca="1" si="127"/>
        <v>20</v>
      </c>
      <c r="S591">
        <f t="shared" ca="1" si="128"/>
        <v>208</v>
      </c>
      <c r="T591">
        <f t="shared" ca="1" si="129"/>
        <v>1994</v>
      </c>
      <c r="U591">
        <f t="shared" ca="1" si="130"/>
        <v>1995</v>
      </c>
      <c r="V591">
        <f t="shared" ca="1" si="131"/>
        <v>9</v>
      </c>
      <c r="W591">
        <f t="shared" ca="1" si="132"/>
        <v>27</v>
      </c>
    </row>
    <row r="592" spans="1:23">
      <c r="A592" t="s">
        <v>1712</v>
      </c>
      <c r="B592" t="str">
        <f t="shared" ca="1" si="157"/>
        <v>孫意昌</v>
      </c>
      <c r="C592" t="str">
        <f t="shared" ca="1" si="158"/>
        <v>ｽｩﾝ ｲｰ ﾁｬｰﾝ</v>
      </c>
      <c r="D592" t="str">
        <f t="shared" ca="1" si="159"/>
        <v>Sun Yi Chang</v>
      </c>
      <c r="E592" t="str" cm="1">
        <f t="array" aca="1" ref="E592" ca="1">INDIRECT(ADDRESS(RANDBETWEEN(2,16),7,1,1,"valueBase"))</f>
        <v>女性</v>
      </c>
      <c r="F592" s="5">
        <f t="shared" ca="1" si="154"/>
        <v>30301</v>
      </c>
      <c r="G592" s="5">
        <f t="shared" ca="1" si="155"/>
        <v>40239</v>
      </c>
      <c r="H592" s="5">
        <f t="shared" ca="1" si="156"/>
        <v>40604</v>
      </c>
      <c r="I592" t="str">
        <f t="shared" ca="1" si="120"/>
        <v>090-4944-3242</v>
      </c>
      <c r="J592" t="str">
        <f t="shared" ca="1" si="160"/>
        <v>Sun_Yi_Chang_40239@outlook.jp.co</v>
      </c>
      <c r="K592" t="str">
        <f t="shared" ca="1" si="122"/>
        <v>普通</v>
      </c>
      <c r="L592" t="str">
        <f t="shared" ca="1" si="123"/>
        <v>有り</v>
      </c>
      <c r="M592" t="str">
        <f t="shared" ca="1" si="161"/>
        <v>5%</v>
      </c>
      <c r="N592" t="str">
        <f t="shared" ca="1" si="125"/>
        <v>有り</v>
      </c>
      <c r="O592">
        <f t="shared" ca="1" si="126"/>
        <v>317</v>
      </c>
      <c r="R592">
        <f t="shared" ca="1" si="127"/>
        <v>13</v>
      </c>
      <c r="S592">
        <f t="shared" ca="1" si="128"/>
        <v>33</v>
      </c>
      <c r="T592">
        <f t="shared" ca="1" si="129"/>
        <v>1977</v>
      </c>
      <c r="U592">
        <f t="shared" ca="1" si="130"/>
        <v>1979</v>
      </c>
      <c r="V592">
        <f t="shared" ca="1" si="131"/>
        <v>6</v>
      </c>
      <c r="W592">
        <f t="shared" ca="1" si="132"/>
        <v>27</v>
      </c>
    </row>
    <row r="593" spans="1:23">
      <c r="A593" t="s">
        <v>1713</v>
      </c>
      <c r="B593" t="str">
        <f t="shared" ca="1" si="157"/>
        <v>何登寧</v>
      </c>
      <c r="C593" t="str">
        <f t="shared" ca="1" si="158"/>
        <v>ﾎｰｧ ﾄﾞｩｵﾝ ﾆｰﾝ</v>
      </c>
      <c r="D593" t="str">
        <f t="shared" ca="1" si="159"/>
        <v>He Deng Ning</v>
      </c>
      <c r="E593" t="str" cm="1">
        <f t="array" aca="1" ref="E593" ca="1">INDIRECT(ADDRESS(RANDBETWEEN(2,16),7,1,1,"valueBase"))</f>
        <v>男性</v>
      </c>
      <c r="F593" s="5">
        <f t="shared" ca="1" si="154"/>
        <v>23917</v>
      </c>
      <c r="G593" s="5">
        <f t="shared" ca="1" si="155"/>
        <v>39376</v>
      </c>
      <c r="H593" s="5">
        <f t="shared" ca="1" si="156"/>
        <v>40471</v>
      </c>
      <c r="I593" t="str">
        <f t="shared" ca="1" si="120"/>
        <v>090-1063-2899</v>
      </c>
      <c r="J593" t="str">
        <f t="shared" ca="1" si="160"/>
        <v>He_Deng_Ning_39376@outlook.jp.co</v>
      </c>
      <c r="K593" t="str">
        <f t="shared" ca="1" si="122"/>
        <v>高級</v>
      </c>
      <c r="L593" t="str">
        <f t="shared" ca="1" si="123"/>
        <v>有り</v>
      </c>
      <c r="M593" t="str">
        <f t="shared" ca="1" si="161"/>
        <v>10%</v>
      </c>
      <c r="N593" t="str">
        <f t="shared" ca="1" si="125"/>
        <v>有り</v>
      </c>
      <c r="O593">
        <f t="shared" ca="1" si="126"/>
        <v>958</v>
      </c>
      <c r="R593">
        <f t="shared" ca="1" si="127"/>
        <v>18</v>
      </c>
      <c r="S593">
        <f t="shared" ca="1" si="128"/>
        <v>121</v>
      </c>
      <c r="T593">
        <f t="shared" ca="1" si="129"/>
        <v>1974</v>
      </c>
      <c r="U593">
        <f t="shared" ca="1" si="130"/>
        <v>1980</v>
      </c>
      <c r="V593">
        <f t="shared" ca="1" si="131"/>
        <v>8</v>
      </c>
      <c r="W593">
        <f t="shared" ca="1" si="132"/>
        <v>6</v>
      </c>
    </row>
    <row r="594" spans="1:23">
      <c r="A594" t="s">
        <v>1714</v>
      </c>
      <c r="B594" t="str">
        <f t="shared" ca="1" si="157"/>
        <v>楊複仟</v>
      </c>
      <c r="C594" t="str">
        <f t="shared" ca="1" si="158"/>
        <v>ﾔｰﾝ ﾌｩ ﾁｴﾝ</v>
      </c>
      <c r="D594" t="str">
        <f t="shared" ca="1" si="159"/>
        <v>Yang Fu Qian</v>
      </c>
      <c r="E594" t="str" cm="1">
        <f t="array" aca="1" ref="E594" ca="1">INDIRECT(ADDRESS(RANDBETWEEN(2,16),7,1,1,"valueBase"))</f>
        <v>女性</v>
      </c>
      <c r="F594" s="5">
        <f t="shared" ca="1" si="154"/>
        <v>22306</v>
      </c>
      <c r="G594" s="5">
        <f t="shared" ca="1" si="155"/>
        <v>35923</v>
      </c>
      <c r="H594" s="5">
        <f t="shared" ca="1" si="156"/>
        <v>36653</v>
      </c>
      <c r="I594" t="str">
        <f t="shared" ca="1" si="120"/>
        <v>080-3393-4980</v>
      </c>
      <c r="J594" t="str">
        <f t="shared" ca="1" si="160"/>
        <v>Yang_Fu_Qian_35923@outlook.jp.co</v>
      </c>
      <c r="K594" t="str">
        <f t="shared" ca="1" si="122"/>
        <v>普通</v>
      </c>
      <c r="L594" t="str">
        <f t="shared" ca="1" si="123"/>
        <v>有り</v>
      </c>
      <c r="M594" t="str">
        <f t="shared" ca="1" si="161"/>
        <v>5%</v>
      </c>
      <c r="N594" t="str">
        <f t="shared" ca="1" si="125"/>
        <v>有り</v>
      </c>
      <c r="O594">
        <f t="shared" ca="1" si="126"/>
        <v>570</v>
      </c>
      <c r="R594">
        <f t="shared" ca="1" si="127"/>
        <v>7</v>
      </c>
      <c r="S594">
        <f t="shared" ca="1" si="128"/>
        <v>175</v>
      </c>
      <c r="T594">
        <f t="shared" ca="1" si="129"/>
        <v>1986</v>
      </c>
      <c r="U594">
        <f t="shared" ca="1" si="130"/>
        <v>1992</v>
      </c>
      <c r="V594">
        <f t="shared" ca="1" si="131"/>
        <v>12</v>
      </c>
      <c r="W594">
        <f t="shared" ca="1" si="132"/>
        <v>11</v>
      </c>
    </row>
    <row r="595" spans="1:23">
      <c r="A595" t="s">
        <v>1715</v>
      </c>
      <c r="B595" t="str">
        <f t="shared" ca="1" si="157"/>
        <v>唐蓮聞</v>
      </c>
      <c r="C595" t="str">
        <f t="shared" ca="1" si="158"/>
        <v>ﾀｰﾝ ﾘｴﾝ ｳｴﾝ</v>
      </c>
      <c r="D595" t="str">
        <f t="shared" ca="1" si="159"/>
        <v>Tang Lian Wen</v>
      </c>
      <c r="E595" t="str" cm="1">
        <f t="array" aca="1" ref="E595" ca="1">INDIRECT(ADDRESS(RANDBETWEEN(2,16),7,1,1,"valueBase"))</f>
        <v>男性</v>
      </c>
      <c r="F595" s="5">
        <f t="shared" ca="1" si="154"/>
        <v>24144</v>
      </c>
      <c r="G595" s="5">
        <f t="shared" ca="1" si="155"/>
        <v>32059</v>
      </c>
      <c r="H595" s="5">
        <f t="shared" ca="1" si="156"/>
        <v>32789</v>
      </c>
      <c r="I595" t="str">
        <f t="shared" ca="1" si="120"/>
        <v>090-4328-5339</v>
      </c>
      <c r="J595" t="str">
        <f t="shared" ca="1" si="160"/>
        <v>Tang_Lian_Wen_32059@outlook.jp.co</v>
      </c>
      <c r="K595" t="str">
        <f t="shared" ca="1" si="122"/>
        <v>普通</v>
      </c>
      <c r="L595" t="str">
        <f t="shared" ca="1" si="123"/>
        <v>有り</v>
      </c>
      <c r="M595" t="str">
        <f t="shared" ca="1" si="161"/>
        <v>5%</v>
      </c>
      <c r="N595" t="str">
        <f t="shared" ca="1" si="125"/>
        <v>有り</v>
      </c>
      <c r="O595">
        <f t="shared" ca="1" si="126"/>
        <v>884</v>
      </c>
      <c r="R595">
        <f t="shared" ca="1" si="127"/>
        <v>27</v>
      </c>
      <c r="S595">
        <f t="shared" ca="1" si="128"/>
        <v>180</v>
      </c>
      <c r="T595">
        <f t="shared" ca="1" si="129"/>
        <v>1994</v>
      </c>
      <c r="U595">
        <f t="shared" ca="1" si="130"/>
        <v>2004</v>
      </c>
      <c r="V595">
        <f t="shared" ca="1" si="131"/>
        <v>7</v>
      </c>
      <c r="W595">
        <f t="shared" ca="1" si="132"/>
        <v>8</v>
      </c>
    </row>
    <row r="596" spans="1:23">
      <c r="A596" t="s">
        <v>1716</v>
      </c>
      <c r="B596" t="str">
        <f t="shared" ca="1" si="157"/>
        <v>梁壯臻</v>
      </c>
      <c r="C596" t="str">
        <f t="shared" ca="1" si="158"/>
        <v>ﾘﾔｰﾝ ｼﾞｭﾜｰﾝ ｼﾞｪﾝ</v>
      </c>
      <c r="D596" t="str">
        <f t="shared" ca="1" si="159"/>
        <v>Liang Zhuang Zhen</v>
      </c>
      <c r="E596" t="str" cm="1">
        <f t="array" aca="1" ref="E596" ca="1">INDIRECT(ADDRESS(RANDBETWEEN(2,16),7,1,1,"valueBase"))</f>
        <v>男性</v>
      </c>
      <c r="F596" s="5">
        <f t="shared" ca="1" si="154"/>
        <v>34941</v>
      </c>
      <c r="G596" s="5">
        <f t="shared" ca="1" si="155"/>
        <v>43494</v>
      </c>
      <c r="H596" s="5">
        <f t="shared" ca="1" si="156"/>
        <v>43859</v>
      </c>
      <c r="I596" t="str">
        <f t="shared" ca="1" si="120"/>
        <v>090-3117-3793</v>
      </c>
      <c r="J596" t="str">
        <f t="shared" ca="1" si="160"/>
        <v>Liang_Zhuang_Zhen_43494@outlook.jp.co</v>
      </c>
      <c r="K596" t="str">
        <f t="shared" ca="1" si="122"/>
        <v>高級</v>
      </c>
      <c r="L596" t="str">
        <f t="shared" ca="1" si="123"/>
        <v>有り</v>
      </c>
      <c r="M596" t="str">
        <f t="shared" ca="1" si="161"/>
        <v>10%</v>
      </c>
      <c r="N596" t="str">
        <f t="shared" ca="1" si="125"/>
        <v>有り</v>
      </c>
      <c r="O596">
        <f t="shared" ca="1" si="126"/>
        <v>648</v>
      </c>
      <c r="R596">
        <f t="shared" ca="1" si="127"/>
        <v>22</v>
      </c>
      <c r="S596">
        <f t="shared" ca="1" si="128"/>
        <v>145</v>
      </c>
      <c r="T596">
        <f t="shared" ca="1" si="129"/>
        <v>2003</v>
      </c>
      <c r="U596">
        <f t="shared" ca="1" si="130"/>
        <v>2012</v>
      </c>
      <c r="V596">
        <f t="shared" ca="1" si="131"/>
        <v>8</v>
      </c>
      <c r="W596">
        <f t="shared" ca="1" si="132"/>
        <v>21</v>
      </c>
    </row>
    <row r="597" spans="1:23">
      <c r="A597" t="s">
        <v>1717</v>
      </c>
      <c r="B597" t="str">
        <f t="shared" ca="1" si="157"/>
        <v>馬冰夢</v>
      </c>
      <c r="C597" t="str">
        <f t="shared" ca="1" si="158"/>
        <v>ﾏｰ ﾋﾞｰﾝ ﾑｵﾝ</v>
      </c>
      <c r="D597" t="str">
        <f t="shared" ca="1" si="159"/>
        <v>Ma Bing Meng</v>
      </c>
      <c r="E597" t="str" cm="1">
        <f t="array" aca="1" ref="E597" ca="1">INDIRECT(ADDRESS(RANDBETWEEN(2,16),7,1,1,"valueBase"))</f>
        <v>男性</v>
      </c>
      <c r="F597" s="5">
        <f t="shared" ca="1" si="154"/>
        <v>28788</v>
      </c>
      <c r="G597" s="5">
        <f t="shared" ca="1" si="155"/>
        <v>41326</v>
      </c>
      <c r="H597" s="5">
        <f t="shared" ca="1" si="156"/>
        <v>42056</v>
      </c>
      <c r="I597" t="str">
        <f t="shared" ca="1" si="120"/>
        <v>080-6364-5648</v>
      </c>
      <c r="J597" t="str">
        <f t="shared" ca="1" si="160"/>
        <v>Ma_Bing_Meng_41326@outlook.jp.co</v>
      </c>
      <c r="K597" t="str">
        <f t="shared" ca="1" si="122"/>
        <v>普通</v>
      </c>
      <c r="L597" t="str">
        <f t="shared" ca="1" si="123"/>
        <v>有り</v>
      </c>
      <c r="M597" t="str">
        <f t="shared" ca="1" si="161"/>
        <v>5%</v>
      </c>
      <c r="N597" t="str">
        <f t="shared" ca="1" si="125"/>
        <v>有り</v>
      </c>
      <c r="O597">
        <f t="shared" ca="1" si="126"/>
        <v>804</v>
      </c>
      <c r="R597">
        <f t="shared" ca="1" si="127"/>
        <v>20</v>
      </c>
      <c r="S597">
        <f t="shared" ca="1" si="128"/>
        <v>136</v>
      </c>
      <c r="T597">
        <f t="shared" ca="1" si="129"/>
        <v>1978</v>
      </c>
      <c r="U597">
        <f t="shared" ca="1" si="130"/>
        <v>1985</v>
      </c>
      <c r="V597">
        <f t="shared" ca="1" si="131"/>
        <v>1</v>
      </c>
      <c r="W597">
        <f t="shared" ca="1" si="132"/>
        <v>24</v>
      </c>
    </row>
    <row r="598" spans="1:23">
      <c r="A598" t="s">
        <v>1718</v>
      </c>
      <c r="B598" t="str">
        <f t="shared" ca="1" si="157"/>
        <v>林蓮聞</v>
      </c>
      <c r="C598" t="str">
        <f t="shared" ca="1" si="158"/>
        <v>ﾘﾝ ﾘｴﾝ ｳｴﾝ</v>
      </c>
      <c r="D598" t="str">
        <f t="shared" ca="1" si="159"/>
        <v>Lin Lian Wen</v>
      </c>
      <c r="E598" t="str" cm="1">
        <f t="array" aca="1" ref="E598" ca="1">INDIRECT(ADDRESS(RANDBETWEEN(2,16),7,1,1,"valueBase"))</f>
        <v>-</v>
      </c>
      <c r="F598" s="5">
        <f t="shared" ca="1" si="154"/>
        <v>31187</v>
      </c>
      <c r="G598" s="5">
        <f t="shared" ca="1" si="155"/>
        <v>39390</v>
      </c>
      <c r="H598" s="5">
        <f t="shared" ca="1" si="156"/>
        <v>40120</v>
      </c>
      <c r="I598" t="str">
        <f t="shared" ca="1" si="120"/>
        <v>080-6233-3715</v>
      </c>
      <c r="J598" t="str">
        <f t="shared" ca="1" si="160"/>
        <v>Lin_Lian_Wen_39390@outlook.jp.co</v>
      </c>
      <c r="K598" t="str">
        <f t="shared" ca="1" si="122"/>
        <v>普通</v>
      </c>
      <c r="L598" t="str">
        <f t="shared" ca="1" si="123"/>
        <v>-</v>
      </c>
      <c r="M598" t="str">
        <f t="shared" ca="1" si="161"/>
        <v>-</v>
      </c>
      <c r="N598" t="str">
        <f t="shared" ca="1" si="125"/>
        <v>有り</v>
      </c>
      <c r="O598">
        <f t="shared" ca="1" si="126"/>
        <v>146</v>
      </c>
      <c r="R598">
        <f t="shared" ca="1" si="127"/>
        <v>17</v>
      </c>
      <c r="S598">
        <f t="shared" ca="1" si="128"/>
        <v>180</v>
      </c>
      <c r="T598">
        <f t="shared" ca="1" si="129"/>
        <v>1996</v>
      </c>
      <c r="U598">
        <f t="shared" ca="1" si="130"/>
        <v>2007</v>
      </c>
      <c r="V598">
        <f t="shared" ca="1" si="131"/>
        <v>2</v>
      </c>
      <c r="W598">
        <f t="shared" ca="1" si="132"/>
        <v>14</v>
      </c>
    </row>
    <row r="599" spans="1:23">
      <c r="A599" t="s">
        <v>1719</v>
      </c>
      <c r="B599" t="str">
        <f t="shared" ca="1" si="157"/>
        <v>楊靜耿</v>
      </c>
      <c r="C599" t="str">
        <f t="shared" ca="1" si="158"/>
        <v>ﾔｰﾝ ｼﾞｰﾝ ｸﾞｵﾝ</v>
      </c>
      <c r="D599" t="str">
        <f t="shared" ca="1" si="159"/>
        <v>Yang Jing Geng</v>
      </c>
      <c r="E599" t="str" cm="1">
        <f t="array" aca="1" ref="E599" ca="1">INDIRECT(ADDRESS(RANDBETWEEN(2,16),7,1,1,"valueBase"))</f>
        <v>男性</v>
      </c>
      <c r="F599" s="5">
        <f t="shared" ca="1" si="154"/>
        <v>25720</v>
      </c>
      <c r="G599" s="5">
        <f t="shared" ca="1" si="155"/>
        <v>41343</v>
      </c>
      <c r="H599" s="5">
        <f t="shared" ca="1" si="156"/>
        <v>41708</v>
      </c>
      <c r="I599" t="str">
        <f t="shared" ca="1" si="120"/>
        <v>080-7130-4146</v>
      </c>
      <c r="J599" t="str">
        <f t="shared" ca="1" si="160"/>
        <v>Yang_Jing_Geng_41343@outlook.jp.co</v>
      </c>
      <c r="K599" t="str">
        <f t="shared" ca="1" si="122"/>
        <v>普通</v>
      </c>
      <c r="L599" t="str">
        <f t="shared" ca="1" si="123"/>
        <v>有り</v>
      </c>
      <c r="M599" t="str">
        <f t="shared" ca="1" si="161"/>
        <v>5%</v>
      </c>
      <c r="N599" t="str">
        <f t="shared" ca="1" si="125"/>
        <v>有り</v>
      </c>
      <c r="O599">
        <f t="shared" ca="1" si="126"/>
        <v>527</v>
      </c>
      <c r="R599">
        <f t="shared" ca="1" si="127"/>
        <v>7</v>
      </c>
      <c r="S599">
        <f t="shared" ca="1" si="128"/>
        <v>5</v>
      </c>
      <c r="T599">
        <f t="shared" ca="1" si="129"/>
        <v>2006</v>
      </c>
      <c r="U599">
        <f t="shared" ca="1" si="130"/>
        <v>2016</v>
      </c>
      <c r="V599">
        <f t="shared" ca="1" si="131"/>
        <v>2</v>
      </c>
      <c r="W599">
        <f t="shared" ca="1" si="132"/>
        <v>28</v>
      </c>
    </row>
    <row r="600" spans="1:23">
      <c r="A600" t="s">
        <v>1720</v>
      </c>
      <c r="B600" t="str">
        <f t="shared" ca="1" si="157"/>
        <v>高毅格</v>
      </c>
      <c r="C600" t="str">
        <f t="shared" ca="1" si="158"/>
        <v>ｶﾞｵ ｲｰ ｺﾞｰｧ</v>
      </c>
      <c r="D600" t="str">
        <f t="shared" ca="1" si="159"/>
        <v>Gao Yi Ge</v>
      </c>
      <c r="E600" t="str" cm="1">
        <f t="array" aca="1" ref="E600" ca="1">INDIRECT(ADDRESS(RANDBETWEEN(2,16),7,1,1,"valueBase"))</f>
        <v>男性</v>
      </c>
      <c r="F600" s="5">
        <f t="shared" ca="1" si="154"/>
        <v>34254</v>
      </c>
      <c r="G600" s="5">
        <f t="shared" ca="1" si="155"/>
        <v>43092</v>
      </c>
      <c r="H600" s="5">
        <f t="shared" ca="1" si="156"/>
        <v>44187</v>
      </c>
      <c r="I600" t="str">
        <f t="shared" ca="1" si="120"/>
        <v>090-9573-7472</v>
      </c>
      <c r="J600" t="str">
        <f t="shared" ca="1" si="160"/>
        <v>Gao_Yi_Ge_43092@outlook.jp.co</v>
      </c>
      <c r="K600" t="str">
        <f t="shared" ca="1" si="122"/>
        <v>高級</v>
      </c>
      <c r="L600" t="str">
        <f t="shared" ca="1" si="123"/>
        <v>有り</v>
      </c>
      <c r="M600" t="str">
        <f t="shared" ca="1" si="161"/>
        <v>10%</v>
      </c>
      <c r="N600" t="str">
        <f t="shared" ca="1" si="125"/>
        <v>有り</v>
      </c>
      <c r="O600">
        <f t="shared" ca="1" si="126"/>
        <v>712</v>
      </c>
      <c r="R600">
        <f t="shared" ca="1" si="127"/>
        <v>16</v>
      </c>
      <c r="S600">
        <f t="shared" ca="1" si="128"/>
        <v>172</v>
      </c>
      <c r="T600">
        <f t="shared" ca="1" si="129"/>
        <v>1974</v>
      </c>
      <c r="U600">
        <f t="shared" ca="1" si="130"/>
        <v>1975</v>
      </c>
      <c r="V600">
        <f t="shared" ca="1" si="131"/>
        <v>5</v>
      </c>
      <c r="W600">
        <f t="shared" ca="1" si="132"/>
        <v>8</v>
      </c>
    </row>
    <row r="601" spans="1:23">
      <c r="A601" t="s">
        <v>1721</v>
      </c>
      <c r="B601" t="str">
        <f t="shared" ca="1" si="157"/>
        <v>張騰威</v>
      </c>
      <c r="C601" t="str">
        <f t="shared" ca="1" si="158"/>
        <v>ｼﾞｬｰﾝ ﾄｩｵﾝ ｳｴｲ</v>
      </c>
      <c r="D601" t="str">
        <f t="shared" ca="1" si="159"/>
        <v>Zhang Teng Wei</v>
      </c>
      <c r="E601" t="str" cm="1">
        <f t="array" aca="1" ref="E601" ca="1">INDIRECT(ADDRESS(RANDBETWEEN(2,16),7,1,1,"valueBase"))</f>
        <v>女性</v>
      </c>
      <c r="F601" s="5">
        <f t="shared" ca="1" si="154"/>
        <v>21962</v>
      </c>
      <c r="G601" s="5">
        <f t="shared" ca="1" si="155"/>
        <v>33966</v>
      </c>
      <c r="H601" s="5">
        <f t="shared" ca="1" si="156"/>
        <v>34331</v>
      </c>
      <c r="I601" t="str">
        <f t="shared" ca="1" si="120"/>
        <v>080-6532-7510</v>
      </c>
      <c r="J601" t="str">
        <f t="shared" ca="1" si="160"/>
        <v>Zhang_Teng_Wei_33966@outlook.jp.co</v>
      </c>
      <c r="K601" t="str">
        <f t="shared" ca="1" si="122"/>
        <v>高級</v>
      </c>
      <c r="L601" t="str">
        <f t="shared" ca="1" si="123"/>
        <v>有り</v>
      </c>
      <c r="M601" t="str">
        <f t="shared" ca="1" si="161"/>
        <v>10%</v>
      </c>
      <c r="N601" t="str">
        <f t="shared" ca="1" si="125"/>
        <v>有り</v>
      </c>
      <c r="O601">
        <f t="shared" ca="1" si="126"/>
        <v>791</v>
      </c>
      <c r="R601">
        <f t="shared" ca="1" si="127"/>
        <v>4</v>
      </c>
      <c r="S601">
        <f t="shared" ca="1" si="128"/>
        <v>173</v>
      </c>
      <c r="T601">
        <f t="shared" ca="1" si="129"/>
        <v>2002</v>
      </c>
      <c r="U601">
        <f t="shared" ca="1" si="130"/>
        <v>2010</v>
      </c>
      <c r="V601">
        <f t="shared" ca="1" si="131"/>
        <v>2</v>
      </c>
      <c r="W601">
        <f t="shared" ca="1" si="132"/>
        <v>21</v>
      </c>
    </row>
    <row r="602" spans="1:23">
      <c r="A602" t="s">
        <v>1722</v>
      </c>
      <c r="B602" t="str">
        <f t="shared" ca="1" si="157"/>
        <v>馮長香</v>
      </c>
      <c r="C602" t="str">
        <f t="shared" ca="1" si="158"/>
        <v>ﾌｵﾝ ﾁｬｰﾝ ｼｱｰﾝ</v>
      </c>
      <c r="D602" t="str">
        <f t="shared" ca="1" si="159"/>
        <v>Feng Chang Xiang</v>
      </c>
      <c r="E602" t="str" cm="1">
        <f t="array" aca="1" ref="E602" ca="1">INDIRECT(ADDRESS(RANDBETWEEN(2,16),7,1,1,"valueBase"))</f>
        <v>女性</v>
      </c>
      <c r="F602" s="5">
        <f t="shared" ca="1" si="154"/>
        <v>35780</v>
      </c>
      <c r="G602" s="5">
        <f t="shared" ca="1" si="155"/>
        <v>44592</v>
      </c>
      <c r="H602" s="5">
        <f t="shared" ca="1" si="156"/>
        <v>44957</v>
      </c>
      <c r="I602" t="str">
        <f t="shared" ca="1" si="120"/>
        <v>090-3544-5559</v>
      </c>
      <c r="J602" t="str">
        <f t="shared" ca="1" si="160"/>
        <v>Feng_Chang Xiang_44592@outlook.jp.co</v>
      </c>
      <c r="K602" t="str">
        <f t="shared" ca="1" si="122"/>
        <v>普通</v>
      </c>
      <c r="L602" t="str">
        <f t="shared" ca="1" si="123"/>
        <v>有り</v>
      </c>
      <c r="M602" t="str">
        <f t="shared" ca="1" si="161"/>
        <v>5%</v>
      </c>
      <c r="N602" t="str">
        <f t="shared" ca="1" si="125"/>
        <v>有り</v>
      </c>
      <c r="O602">
        <f t="shared" ca="1" si="126"/>
        <v>344</v>
      </c>
      <c r="R602">
        <f t="shared" ca="1" si="127"/>
        <v>28</v>
      </c>
      <c r="S602">
        <f t="shared" ca="1" si="128"/>
        <v>326</v>
      </c>
      <c r="T602">
        <f t="shared" ca="1" si="129"/>
        <v>1974</v>
      </c>
      <c r="U602">
        <f t="shared" ca="1" si="130"/>
        <v>1982</v>
      </c>
      <c r="V602">
        <f t="shared" ca="1" si="131"/>
        <v>5</v>
      </c>
      <c r="W602">
        <f t="shared" ca="1" si="132"/>
        <v>17</v>
      </c>
    </row>
    <row r="603" spans="1:23">
      <c r="A603" t="s">
        <v>1723</v>
      </c>
      <c r="B603" t="str">
        <f t="shared" ca="1" si="157"/>
        <v>徐厚道</v>
      </c>
      <c r="C603" t="str">
        <f t="shared" ca="1" si="158"/>
        <v>ｼｭｲ ﾎｳ ﾀﾞｵ</v>
      </c>
      <c r="D603" t="str">
        <f t="shared" ca="1" si="159"/>
        <v>Xu Hou Dao</v>
      </c>
      <c r="E603" t="str" cm="1">
        <f t="array" aca="1" ref="E603" ca="1">INDIRECT(ADDRESS(RANDBETWEEN(2,16),7,1,1,"valueBase"))</f>
        <v>女性</v>
      </c>
      <c r="F603" s="5">
        <f t="shared" ca="1" si="154"/>
        <v>24766</v>
      </c>
      <c r="G603" s="5">
        <f t="shared" ca="1" si="155"/>
        <v>42888</v>
      </c>
      <c r="H603" s="5">
        <f t="shared" ca="1" si="156"/>
        <v>43253</v>
      </c>
      <c r="I603" t="str">
        <f t="shared" ca="1" si="120"/>
        <v>090-5091-0999</v>
      </c>
      <c r="J603" t="str">
        <f t="shared" ca="1" si="160"/>
        <v>Xu_Hou_Dao_42888@outlook.jp.co</v>
      </c>
      <c r="K603" t="str">
        <f t="shared" ca="1" si="122"/>
        <v>普通</v>
      </c>
      <c r="L603" t="str">
        <f t="shared" ca="1" si="123"/>
        <v>有り</v>
      </c>
      <c r="M603" t="str">
        <f t="shared" ca="1" si="161"/>
        <v>5%</v>
      </c>
      <c r="N603" t="str">
        <f t="shared" ca="1" si="125"/>
        <v>有り</v>
      </c>
      <c r="O603">
        <f t="shared" ca="1" si="126"/>
        <v>969</v>
      </c>
      <c r="R603">
        <f t="shared" ca="1" si="127"/>
        <v>12</v>
      </c>
      <c r="S603">
        <f t="shared" ca="1" si="128"/>
        <v>302</v>
      </c>
      <c r="T603">
        <f t="shared" ca="1" si="129"/>
        <v>2003</v>
      </c>
      <c r="U603">
        <f t="shared" ca="1" si="130"/>
        <v>2015</v>
      </c>
      <c r="V603">
        <f t="shared" ca="1" si="131"/>
        <v>4</v>
      </c>
      <c r="W603">
        <f t="shared" ca="1" si="132"/>
        <v>5</v>
      </c>
    </row>
    <row r="604" spans="1:23">
      <c r="A604" t="s">
        <v>1724</v>
      </c>
      <c r="B604" t="str">
        <f t="shared" ca="1" si="157"/>
        <v>謝軒荒</v>
      </c>
      <c r="C604" t="str">
        <f t="shared" ca="1" si="158"/>
        <v>ｼｴ ｼｭｴﾝ ﾎﾜｰﾝ</v>
      </c>
      <c r="D604" t="str">
        <f t="shared" ca="1" si="159"/>
        <v>Xie Xuan Huang</v>
      </c>
      <c r="E604" t="str" cm="1">
        <f t="array" aca="1" ref="E604" ca="1">INDIRECT(ADDRESS(RANDBETWEEN(2,16),7,1,1,"valueBase"))</f>
        <v>女性</v>
      </c>
      <c r="F604" s="5">
        <f t="shared" ca="1" si="154"/>
        <v>29531</v>
      </c>
      <c r="G604" s="5">
        <f t="shared" ca="1" si="155"/>
        <v>39512</v>
      </c>
      <c r="H604" s="5">
        <f t="shared" ca="1" si="156"/>
        <v>40607</v>
      </c>
      <c r="I604" t="str">
        <f t="shared" ca="1" si="120"/>
        <v>080-0596-6086</v>
      </c>
      <c r="J604" t="str">
        <f t="shared" ca="1" si="160"/>
        <v>Xie_Xuan_Huang_39512@outlook.jp.co</v>
      </c>
      <c r="K604" t="str">
        <f t="shared" ca="1" si="122"/>
        <v>高級</v>
      </c>
      <c r="L604" t="str">
        <f t="shared" ca="1" si="123"/>
        <v>有り</v>
      </c>
      <c r="M604" t="str">
        <f t="shared" ca="1" si="161"/>
        <v>10%</v>
      </c>
      <c r="N604" t="str">
        <f t="shared" ca="1" si="125"/>
        <v>有り</v>
      </c>
      <c r="O604">
        <f t="shared" ca="1" si="126"/>
        <v>745</v>
      </c>
      <c r="R604">
        <f t="shared" ca="1" si="127"/>
        <v>25</v>
      </c>
      <c r="S604">
        <f t="shared" ca="1" si="128"/>
        <v>86</v>
      </c>
      <c r="T604">
        <f t="shared" ca="1" si="129"/>
        <v>1983</v>
      </c>
      <c r="U604">
        <f t="shared" ca="1" si="130"/>
        <v>1985</v>
      </c>
      <c r="V604">
        <f t="shared" ca="1" si="131"/>
        <v>11</v>
      </c>
      <c r="W604">
        <f t="shared" ca="1" si="132"/>
        <v>26</v>
      </c>
    </row>
    <row r="605" spans="1:23">
      <c r="A605" t="s">
        <v>1725</v>
      </c>
      <c r="B605" t="str">
        <f t="shared" ca="1" si="157"/>
        <v>王碧漢</v>
      </c>
      <c r="C605" t="str">
        <f t="shared" ca="1" si="158"/>
        <v>ﾜｰﾝ ﾋﾞｰ ﾊﾝ</v>
      </c>
      <c r="D605" t="str">
        <f t="shared" ca="1" si="159"/>
        <v>Wang Bi Han</v>
      </c>
      <c r="E605" t="str" cm="1">
        <f t="array" aca="1" ref="E605" ca="1">INDIRECT(ADDRESS(RANDBETWEEN(2,16),7,1,1,"valueBase"))</f>
        <v>女性</v>
      </c>
      <c r="F605" s="5">
        <f t="shared" ca="1" si="154"/>
        <v>25089</v>
      </c>
      <c r="G605" s="5">
        <f t="shared" ca="1" si="155"/>
        <v>35966</v>
      </c>
      <c r="H605" s="5">
        <f t="shared" ca="1" si="156"/>
        <v>36696</v>
      </c>
      <c r="I605" t="str">
        <f t="shared" ca="1" si="120"/>
        <v>080-9015-8220</v>
      </c>
      <c r="J605" t="str">
        <f t="shared" ca="1" si="160"/>
        <v>Wang_Bi_Han_35966@outlook.jp.co</v>
      </c>
      <c r="K605" t="str">
        <f t="shared" ca="1" si="122"/>
        <v>普通</v>
      </c>
      <c r="L605" t="str">
        <f t="shared" ca="1" si="123"/>
        <v>有り</v>
      </c>
      <c r="M605" t="str">
        <f t="shared" ca="1" si="161"/>
        <v>5%</v>
      </c>
      <c r="N605" t="str">
        <f t="shared" ca="1" si="125"/>
        <v>有り</v>
      </c>
      <c r="O605">
        <f t="shared" ca="1" si="126"/>
        <v>726</v>
      </c>
      <c r="R605">
        <f t="shared" ca="1" si="127"/>
        <v>3</v>
      </c>
      <c r="S605">
        <f t="shared" ca="1" si="128"/>
        <v>294</v>
      </c>
      <c r="T605">
        <f t="shared" ca="1" si="129"/>
        <v>1978</v>
      </c>
      <c r="U605">
        <f t="shared" ca="1" si="130"/>
        <v>1990</v>
      </c>
      <c r="V605">
        <f t="shared" ca="1" si="131"/>
        <v>8</v>
      </c>
      <c r="W605">
        <f t="shared" ca="1" si="132"/>
        <v>3</v>
      </c>
    </row>
    <row r="606" spans="1:23">
      <c r="A606" t="s">
        <v>1726</v>
      </c>
      <c r="B606" t="str">
        <f t="shared" ca="1" si="157"/>
        <v>何聯頃</v>
      </c>
      <c r="C606" t="str">
        <f t="shared" ca="1" si="158"/>
        <v>ﾎｰｧ ﾘｴﾝ ﾁｰﾝ</v>
      </c>
      <c r="D606" t="str">
        <f t="shared" ca="1" si="159"/>
        <v>He Lian Qing</v>
      </c>
      <c r="E606" t="str" cm="1">
        <f t="array" aca="1" ref="E606" ca="1">INDIRECT(ADDRESS(RANDBETWEEN(2,16),7,1,1,"valueBase"))</f>
        <v>男性</v>
      </c>
      <c r="F606" s="5">
        <f t="shared" ca="1" si="154"/>
        <v>33632</v>
      </c>
      <c r="G606" s="5">
        <f t="shared" ca="1" si="155"/>
        <v>44490</v>
      </c>
      <c r="H606" s="5">
        <f t="shared" ca="1" si="156"/>
        <v>45585</v>
      </c>
      <c r="I606" t="str">
        <f t="shared" ca="1" si="120"/>
        <v>090-1559-0650</v>
      </c>
      <c r="J606" t="str">
        <f t="shared" ca="1" si="160"/>
        <v>He_Lian_Qing_44490@outlook.jp.co</v>
      </c>
      <c r="K606" t="str">
        <f t="shared" ca="1" si="122"/>
        <v>高級</v>
      </c>
      <c r="L606" t="str">
        <f t="shared" ca="1" si="123"/>
        <v>有り</v>
      </c>
      <c r="M606" t="str">
        <f t="shared" ca="1" si="161"/>
        <v>10%</v>
      </c>
      <c r="N606" t="str">
        <f t="shared" ca="1" si="125"/>
        <v>有り</v>
      </c>
      <c r="O606">
        <f t="shared" ca="1" si="126"/>
        <v>481</v>
      </c>
      <c r="R606">
        <f t="shared" ca="1" si="127"/>
        <v>18</v>
      </c>
      <c r="S606">
        <f t="shared" ca="1" si="128"/>
        <v>29</v>
      </c>
      <c r="T606">
        <f t="shared" ca="1" si="129"/>
        <v>1995</v>
      </c>
      <c r="U606">
        <f t="shared" ca="1" si="130"/>
        <v>2003</v>
      </c>
      <c r="V606">
        <f t="shared" ca="1" si="131"/>
        <v>8</v>
      </c>
      <c r="W606">
        <f t="shared" ca="1" si="132"/>
        <v>22</v>
      </c>
    </row>
    <row r="607" spans="1:23">
      <c r="A607" t="s">
        <v>1727</v>
      </c>
      <c r="B607" t="str">
        <f t="shared" ca="1" si="157"/>
        <v>謝狂帆</v>
      </c>
      <c r="C607" t="str">
        <f t="shared" ca="1" si="158"/>
        <v>ｼｴ ｸﾜｰﾝ ﾌｧﾝ</v>
      </c>
      <c r="D607" t="str">
        <f t="shared" ca="1" si="159"/>
        <v>Xie Kuang Fan</v>
      </c>
      <c r="E607" t="str" cm="1">
        <f t="array" aca="1" ref="E607" ca="1">INDIRECT(ADDRESS(RANDBETWEEN(2,16),7,1,1,"valueBase"))</f>
        <v>男性</v>
      </c>
      <c r="F607" s="5">
        <f t="shared" ca="1" si="154"/>
        <v>24816</v>
      </c>
      <c r="G607" s="5">
        <f t="shared" ca="1" si="155"/>
        <v>37239</v>
      </c>
      <c r="H607" s="5">
        <f t="shared" ca="1" si="156"/>
        <v>38334</v>
      </c>
      <c r="I607" t="str">
        <f t="shared" ca="1" si="120"/>
        <v>080-8284-9349</v>
      </c>
      <c r="J607" t="str">
        <f t="shared" ca="1" si="160"/>
        <v>Xie_Kuang_Fan_37239@outlook.jp.co</v>
      </c>
      <c r="K607" t="str">
        <f t="shared" ca="1" si="122"/>
        <v>普通</v>
      </c>
      <c r="L607" t="str">
        <f t="shared" ca="1" si="123"/>
        <v>有り</v>
      </c>
      <c r="M607" t="str">
        <f t="shared" ca="1" si="161"/>
        <v>5%</v>
      </c>
      <c r="N607" t="str">
        <f t="shared" ca="1" si="125"/>
        <v>有り</v>
      </c>
      <c r="O607">
        <f t="shared" ca="1" si="126"/>
        <v>811</v>
      </c>
      <c r="R607">
        <f t="shared" ca="1" si="127"/>
        <v>25</v>
      </c>
      <c r="S607">
        <f t="shared" ca="1" si="128"/>
        <v>103</v>
      </c>
      <c r="T607">
        <f t="shared" ca="1" si="129"/>
        <v>2005</v>
      </c>
      <c r="U607">
        <f t="shared" ca="1" si="130"/>
        <v>2007</v>
      </c>
      <c r="V607">
        <f t="shared" ca="1" si="131"/>
        <v>10</v>
      </c>
      <c r="W607">
        <f t="shared" ca="1" si="132"/>
        <v>14</v>
      </c>
    </row>
    <row r="608" spans="1:23">
      <c r="A608" t="s">
        <v>1728</v>
      </c>
      <c r="B608" t="str">
        <f t="shared" ca="1" si="157"/>
        <v>陳奧常</v>
      </c>
      <c r="C608" t="str">
        <f t="shared" ca="1" si="158"/>
        <v>ﾁｪﾝ ｱｵ ﾁｬｰﾝ</v>
      </c>
      <c r="D608" t="str">
        <f t="shared" ca="1" si="159"/>
        <v>Chen Ao Chang</v>
      </c>
      <c r="E608" t="str" cm="1">
        <f t="array" aca="1" ref="E608" ca="1">INDIRECT(ADDRESS(RANDBETWEEN(2,16),7,1,1,"valueBase"))</f>
        <v>女性</v>
      </c>
      <c r="F608" s="5">
        <f t="shared" ca="1" si="154"/>
        <v>29351</v>
      </c>
      <c r="G608" s="5">
        <f t="shared" ca="1" si="155"/>
        <v>37197</v>
      </c>
      <c r="H608" s="5">
        <f t="shared" ca="1" si="156"/>
        <v>37927</v>
      </c>
      <c r="I608" t="str">
        <f t="shared" ca="1" si="120"/>
        <v>090-7461-5094</v>
      </c>
      <c r="J608" t="str">
        <f t="shared" ca="1" si="160"/>
        <v>Chen_Ao_Chang_37197@outlook.jp.co</v>
      </c>
      <c r="K608" t="str">
        <f t="shared" ca="1" si="122"/>
        <v>普通</v>
      </c>
      <c r="L608" t="str">
        <f t="shared" ca="1" si="123"/>
        <v>有り</v>
      </c>
      <c r="M608" t="str">
        <f t="shared" ca="1" si="161"/>
        <v>5%</v>
      </c>
      <c r="N608" t="str">
        <f t="shared" ca="1" si="125"/>
        <v>有り</v>
      </c>
      <c r="O608">
        <f t="shared" ca="1" si="126"/>
        <v>200</v>
      </c>
      <c r="R608">
        <f t="shared" ca="1" si="127"/>
        <v>6</v>
      </c>
      <c r="S608">
        <f t="shared" ca="1" si="128"/>
        <v>178</v>
      </c>
      <c r="T608">
        <f t="shared" ca="1" si="129"/>
        <v>1970</v>
      </c>
      <c r="U608">
        <f t="shared" ca="1" si="130"/>
        <v>1974</v>
      </c>
      <c r="V608">
        <f t="shared" ca="1" si="131"/>
        <v>5</v>
      </c>
      <c r="W608">
        <f t="shared" ca="1" si="132"/>
        <v>27</v>
      </c>
    </row>
    <row r="609" spans="1:23">
      <c r="A609" t="s">
        <v>1729</v>
      </c>
      <c r="B609" t="str">
        <f t="shared" ca="1" si="157"/>
        <v>馬亦麥</v>
      </c>
      <c r="C609" t="str">
        <f t="shared" ca="1" si="158"/>
        <v>ﾏｰ ｲｰ ﾏｲ</v>
      </c>
      <c r="D609" t="str">
        <f t="shared" ca="1" si="159"/>
        <v>Ma Yi Mai</v>
      </c>
      <c r="E609" t="str" cm="1">
        <f t="array" aca="1" ref="E609" ca="1">INDIRECT(ADDRESS(RANDBETWEEN(2,16),7,1,1,"valueBase"))</f>
        <v>女性</v>
      </c>
      <c r="F609" s="5">
        <f t="shared" ca="1" si="154"/>
        <v>24959</v>
      </c>
      <c r="G609" s="5">
        <f t="shared" ca="1" si="155"/>
        <v>36532</v>
      </c>
      <c r="H609" s="5">
        <f t="shared" ca="1" si="156"/>
        <v>37627</v>
      </c>
      <c r="I609" t="str">
        <f t="shared" ca="1" si="120"/>
        <v>090-1436-3260</v>
      </c>
      <c r="J609" t="str">
        <f t="shared" ca="1" si="160"/>
        <v>Ma_Yi_Mai_36532@outlook.jp.co</v>
      </c>
      <c r="K609" t="str">
        <f t="shared" ca="1" si="122"/>
        <v>普通</v>
      </c>
      <c r="L609" t="str">
        <f t="shared" ca="1" si="123"/>
        <v>有り</v>
      </c>
      <c r="M609" t="str">
        <f t="shared" ca="1" si="161"/>
        <v>5%</v>
      </c>
      <c r="N609" t="str">
        <f t="shared" ca="1" si="125"/>
        <v>有り</v>
      </c>
      <c r="O609">
        <f t="shared" ca="1" si="126"/>
        <v>272</v>
      </c>
      <c r="R609">
        <f t="shared" ca="1" si="127"/>
        <v>20</v>
      </c>
      <c r="S609">
        <f t="shared" ca="1" si="128"/>
        <v>105</v>
      </c>
      <c r="T609">
        <f t="shared" ca="1" si="129"/>
        <v>1987</v>
      </c>
      <c r="U609">
        <f t="shared" ca="1" si="130"/>
        <v>1989</v>
      </c>
      <c r="V609">
        <f t="shared" ca="1" si="131"/>
        <v>2</v>
      </c>
      <c r="W609">
        <f t="shared" ca="1" si="132"/>
        <v>16</v>
      </c>
    </row>
    <row r="610" spans="1:23">
      <c r="A610" t="s">
        <v>1730</v>
      </c>
      <c r="B610" t="str">
        <f t="shared" ca="1" si="157"/>
        <v>韓綸網</v>
      </c>
      <c r="C610" t="str">
        <f t="shared" ca="1" si="158"/>
        <v>ﾊﾝ ﾙﾝ ﾜｰﾝ</v>
      </c>
      <c r="D610" t="str">
        <f t="shared" ca="1" si="159"/>
        <v>Han Lun Wang</v>
      </c>
      <c r="E610" t="str" cm="1">
        <f t="array" aca="1" ref="E610" ca="1">INDIRECT(ADDRESS(RANDBETWEEN(2,16),7,1,1,"valueBase"))</f>
        <v>男性</v>
      </c>
      <c r="F610" s="5">
        <f t="shared" ca="1" si="154"/>
        <v>32443</v>
      </c>
      <c r="G610" s="5">
        <f t="shared" ca="1" si="155"/>
        <v>44331</v>
      </c>
      <c r="H610" s="5">
        <f t="shared" ca="1" si="156"/>
        <v>45061</v>
      </c>
      <c r="I610" t="str">
        <f t="shared" ca="1" si="120"/>
        <v>090-3637-2904</v>
      </c>
      <c r="J610" t="str">
        <f t="shared" ca="1" si="160"/>
        <v>Han_Lun Wang_44331@outlook.jp.co</v>
      </c>
      <c r="K610" t="str">
        <f t="shared" ca="1" si="122"/>
        <v>普通</v>
      </c>
      <c r="L610" t="str">
        <f t="shared" ca="1" si="123"/>
        <v>有り</v>
      </c>
      <c r="M610" t="str">
        <f t="shared" ca="1" si="161"/>
        <v>5%</v>
      </c>
      <c r="N610" t="str">
        <f t="shared" ca="1" si="125"/>
        <v>-</v>
      </c>
      <c r="O610" t="str">
        <f t="shared" ca="1" si="126"/>
        <v>-</v>
      </c>
      <c r="R610">
        <f t="shared" ca="1" si="127"/>
        <v>26</v>
      </c>
      <c r="S610">
        <f t="shared" ca="1" si="128"/>
        <v>263</v>
      </c>
      <c r="T610">
        <f t="shared" ca="1" si="129"/>
        <v>1975</v>
      </c>
      <c r="U610">
        <f t="shared" ca="1" si="130"/>
        <v>1982</v>
      </c>
      <c r="V610">
        <f t="shared" ca="1" si="131"/>
        <v>9</v>
      </c>
      <c r="W610">
        <f t="shared" ca="1" si="132"/>
        <v>29</v>
      </c>
    </row>
    <row r="611" spans="1:23">
      <c r="A611" t="s">
        <v>1731</v>
      </c>
      <c r="B611" t="str">
        <f t="shared" ca="1" si="157"/>
        <v>謝素財</v>
      </c>
      <c r="C611" t="str">
        <f t="shared" ca="1" si="158"/>
        <v>ｼｴ ｽｩ ﾂｧｲ</v>
      </c>
      <c r="D611" t="str">
        <f t="shared" ca="1" si="159"/>
        <v>Xie Su Cai</v>
      </c>
      <c r="E611" t="str" cm="1">
        <f t="array" aca="1" ref="E611" ca="1">INDIRECT(ADDRESS(RANDBETWEEN(2,16),7,1,1,"valueBase"))</f>
        <v>女性</v>
      </c>
      <c r="F611" s="5">
        <f t="shared" ca="1" si="154"/>
        <v>26127</v>
      </c>
      <c r="G611" s="5">
        <f t="shared" ca="1" si="155"/>
        <v>42018</v>
      </c>
      <c r="H611" s="5">
        <f t="shared" ca="1" si="156"/>
        <v>42383</v>
      </c>
      <c r="I611" t="str">
        <f t="shared" ca="1" si="120"/>
        <v>090-5971-0875</v>
      </c>
      <c r="J611" t="str">
        <f t="shared" ca="1" si="160"/>
        <v>Xie_Su_Cai_42018@outlook.jp.co</v>
      </c>
      <c r="K611" t="str">
        <f t="shared" ca="1" si="122"/>
        <v>高級</v>
      </c>
      <c r="L611" t="str">
        <f t="shared" ca="1" si="123"/>
        <v>有り</v>
      </c>
      <c r="M611" t="str">
        <f t="shared" ca="1" si="161"/>
        <v>10%</v>
      </c>
      <c r="N611" t="str">
        <f t="shared" ca="1" si="125"/>
        <v>-</v>
      </c>
      <c r="O611" t="str">
        <f t="shared" ca="1" si="126"/>
        <v>-</v>
      </c>
      <c r="R611">
        <f t="shared" ca="1" si="127"/>
        <v>25</v>
      </c>
      <c r="S611">
        <f t="shared" ca="1" si="128"/>
        <v>177</v>
      </c>
      <c r="T611">
        <f t="shared" ca="1" si="129"/>
        <v>1989</v>
      </c>
      <c r="U611">
        <f t="shared" ca="1" si="130"/>
        <v>2000</v>
      </c>
      <c r="V611">
        <f t="shared" ca="1" si="131"/>
        <v>1</v>
      </c>
      <c r="W611">
        <f t="shared" ca="1" si="132"/>
        <v>31</v>
      </c>
    </row>
    <row r="612" spans="1:23">
      <c r="A612" t="s">
        <v>1732</v>
      </c>
      <c r="B612" t="str">
        <f t="shared" ca="1" si="157"/>
        <v>宋貴友</v>
      </c>
      <c r="C612" t="str">
        <f t="shared" ca="1" si="158"/>
        <v>ｿｰﾝ ｸﾞｲ ﾖｳ</v>
      </c>
      <c r="D612" t="str">
        <f t="shared" ca="1" si="159"/>
        <v>Song Gui You</v>
      </c>
      <c r="E612" t="str" cm="1">
        <f t="array" aca="1" ref="E612" ca="1">INDIRECT(ADDRESS(RANDBETWEEN(2,16),7,1,1,"valueBase"))</f>
        <v>女性</v>
      </c>
      <c r="F612" s="5">
        <f t="shared" ca="1" si="154"/>
        <v>25367</v>
      </c>
      <c r="G612" s="5">
        <f t="shared" ca="1" si="155"/>
        <v>36777</v>
      </c>
      <c r="H612" s="5">
        <f t="shared" ca="1" si="156"/>
        <v>37872</v>
      </c>
      <c r="I612" t="str">
        <f t="shared" ca="1" si="120"/>
        <v>090-6162-9927</v>
      </c>
      <c r="J612" t="str">
        <f t="shared" ca="1" si="160"/>
        <v>Song_Gui_You_36777@outlook.jp.co</v>
      </c>
      <c r="K612" t="str">
        <f t="shared" ca="1" si="122"/>
        <v>普通</v>
      </c>
      <c r="L612" t="str">
        <f t="shared" ca="1" si="123"/>
        <v>有り</v>
      </c>
      <c r="M612" t="str">
        <f t="shared" ca="1" si="161"/>
        <v>5%</v>
      </c>
      <c r="N612" t="str">
        <f t="shared" ca="1" si="125"/>
        <v>有り</v>
      </c>
      <c r="O612">
        <f t="shared" ca="1" si="126"/>
        <v>628</v>
      </c>
      <c r="R612">
        <f t="shared" ca="1" si="127"/>
        <v>23</v>
      </c>
      <c r="S612">
        <f t="shared" ca="1" si="128"/>
        <v>275</v>
      </c>
      <c r="T612">
        <f t="shared" ca="1" si="129"/>
        <v>1975</v>
      </c>
      <c r="U612">
        <f t="shared" ca="1" si="130"/>
        <v>1976</v>
      </c>
      <c r="V612">
        <f t="shared" ca="1" si="131"/>
        <v>5</v>
      </c>
      <c r="W612">
        <f t="shared" ca="1" si="132"/>
        <v>11</v>
      </c>
    </row>
    <row r="613" spans="1:23">
      <c r="A613" t="s">
        <v>1733</v>
      </c>
      <c r="B613" t="str">
        <f t="shared" ca="1" si="157"/>
        <v>朱卓芹</v>
      </c>
      <c r="C613" t="str">
        <f t="shared" ca="1" si="158"/>
        <v>ｼﾞｭｳ ｼﾞｭｵ ﾁﾝ</v>
      </c>
      <c r="D613" t="str">
        <f t="shared" ca="1" si="159"/>
        <v>Zhu Zhuo Qin</v>
      </c>
      <c r="E613" t="str" cm="1">
        <f t="array" aca="1" ref="E613" ca="1">INDIRECT(ADDRESS(RANDBETWEEN(2,16),7,1,1,"valueBase"))</f>
        <v>女性</v>
      </c>
      <c r="F613" s="5">
        <f t="shared" ca="1" si="154"/>
        <v>29994</v>
      </c>
      <c r="G613" s="5">
        <f t="shared" ca="1" si="155"/>
        <v>41753</v>
      </c>
      <c r="H613" s="5">
        <f t="shared" ca="1" si="156"/>
        <v>42483</v>
      </c>
      <c r="I613" t="str">
        <f t="shared" ca="1" si="120"/>
        <v>090-6403-5331</v>
      </c>
      <c r="J613" t="str">
        <f t="shared" ca="1" si="160"/>
        <v>Zhu_Zhuo_Qin_41753@outlook.jp.co</v>
      </c>
      <c r="K613" t="str">
        <f t="shared" ca="1" si="122"/>
        <v>高級</v>
      </c>
      <c r="L613" t="str">
        <f t="shared" ca="1" si="123"/>
        <v>有り</v>
      </c>
      <c r="M613" t="str">
        <f t="shared" ca="1" si="161"/>
        <v>10%</v>
      </c>
      <c r="N613" t="str">
        <f t="shared" ca="1" si="125"/>
        <v>-</v>
      </c>
      <c r="O613" t="str">
        <f t="shared" ca="1" si="126"/>
        <v>-</v>
      </c>
      <c r="R613">
        <f t="shared" ca="1" si="127"/>
        <v>15</v>
      </c>
      <c r="S613">
        <f t="shared" ca="1" si="128"/>
        <v>259</v>
      </c>
      <c r="T613">
        <f t="shared" ca="1" si="129"/>
        <v>1973</v>
      </c>
      <c r="U613">
        <f t="shared" ca="1" si="130"/>
        <v>1977</v>
      </c>
      <c r="V613">
        <f t="shared" ca="1" si="131"/>
        <v>12</v>
      </c>
      <c r="W613">
        <f t="shared" ca="1" si="132"/>
        <v>25</v>
      </c>
    </row>
    <row r="614" spans="1:23">
      <c r="A614" t="s">
        <v>1734</v>
      </c>
      <c r="B614" t="str">
        <f t="shared" ca="1" si="157"/>
        <v>朱美貿</v>
      </c>
      <c r="C614" t="str">
        <f t="shared" ca="1" si="158"/>
        <v>ｼﾞｭｳ ﾒｲ ﾏｵ</v>
      </c>
      <c r="D614" t="str">
        <f t="shared" ca="1" si="159"/>
        <v>Zhu Mei Mao</v>
      </c>
      <c r="E614" t="str" cm="1">
        <f t="array" aca="1" ref="E614" ca="1">INDIRECT(ADDRESS(RANDBETWEEN(2,16),7,1,1,"valueBase"))</f>
        <v>男性</v>
      </c>
      <c r="F614" s="5">
        <f t="shared" ca="1" si="154"/>
        <v>28585</v>
      </c>
      <c r="G614" s="5">
        <f t="shared" ca="1" si="155"/>
        <v>44104</v>
      </c>
      <c r="H614" s="5">
        <f t="shared" ca="1" si="156"/>
        <v>44469</v>
      </c>
      <c r="I614" t="str">
        <f t="shared" ca="1" si="120"/>
        <v>080-4066-7632</v>
      </c>
      <c r="J614" t="str">
        <f t="shared" ca="1" si="160"/>
        <v>Zhu_Mei_Mao_44104@outlook.jp.co</v>
      </c>
      <c r="K614" t="str">
        <f t="shared" ca="1" si="122"/>
        <v>普通</v>
      </c>
      <c r="L614" t="str">
        <f t="shared" ca="1" si="123"/>
        <v>-</v>
      </c>
      <c r="M614" t="str">
        <f t="shared" ca="1" si="161"/>
        <v>-</v>
      </c>
      <c r="N614" t="str">
        <f t="shared" ca="1" si="125"/>
        <v>有り</v>
      </c>
      <c r="O614">
        <f t="shared" ca="1" si="126"/>
        <v>275</v>
      </c>
      <c r="R614">
        <f t="shared" ca="1" si="127"/>
        <v>15</v>
      </c>
      <c r="S614">
        <f t="shared" ca="1" si="128"/>
        <v>89</v>
      </c>
      <c r="T614">
        <f t="shared" ca="1" si="129"/>
        <v>1992</v>
      </c>
      <c r="U614">
        <f t="shared" ca="1" si="130"/>
        <v>2001</v>
      </c>
      <c r="V614">
        <f t="shared" ca="1" si="131"/>
        <v>6</v>
      </c>
      <c r="W614">
        <f t="shared" ca="1" si="132"/>
        <v>10</v>
      </c>
    </row>
    <row r="615" spans="1:23">
      <c r="A615" t="s">
        <v>1735</v>
      </c>
      <c r="B615" t="str">
        <f t="shared" ca="1" si="157"/>
        <v>陳翠琳</v>
      </c>
      <c r="C615" t="str">
        <f t="shared" ca="1" si="158"/>
        <v>ﾁｪﾝ ﾂｩｲ ﾘﾝ</v>
      </c>
      <c r="D615" t="str">
        <f t="shared" ca="1" si="159"/>
        <v>Chen Cui Lin</v>
      </c>
      <c r="E615" t="str" cm="1">
        <f t="array" aca="1" ref="E615" ca="1">INDIRECT(ADDRESS(RANDBETWEEN(2,16),7,1,1,"valueBase"))</f>
        <v>女性</v>
      </c>
      <c r="F615" s="5">
        <f t="shared" ca="1" si="154"/>
        <v>22785</v>
      </c>
      <c r="G615" s="5">
        <f t="shared" ca="1" si="155"/>
        <v>30769</v>
      </c>
      <c r="H615" s="5">
        <f t="shared" ca="1" si="156"/>
        <v>31864</v>
      </c>
      <c r="I615" t="str">
        <f t="shared" ca="1" si="120"/>
        <v>090-0113-2572</v>
      </c>
      <c r="J615" t="str">
        <f t="shared" ca="1" si="160"/>
        <v>Chen_Cui_Lin_30769@outlook.jp.co</v>
      </c>
      <c r="K615" t="str">
        <f t="shared" ca="1" si="122"/>
        <v>普通</v>
      </c>
      <c r="L615" t="str">
        <f t="shared" ca="1" si="123"/>
        <v>有り</v>
      </c>
      <c r="M615" t="str">
        <f t="shared" ca="1" si="161"/>
        <v>5%</v>
      </c>
      <c r="N615" t="str">
        <f t="shared" ca="1" si="125"/>
        <v>有り</v>
      </c>
      <c r="O615">
        <f t="shared" ca="1" si="126"/>
        <v>68</v>
      </c>
      <c r="R615">
        <f t="shared" ca="1" si="127"/>
        <v>6</v>
      </c>
      <c r="S615">
        <f t="shared" ca="1" si="128"/>
        <v>56</v>
      </c>
      <c r="T615">
        <f t="shared" ca="1" si="129"/>
        <v>1996</v>
      </c>
      <c r="U615">
        <f t="shared" ca="1" si="130"/>
        <v>1997</v>
      </c>
      <c r="V615">
        <f t="shared" ca="1" si="131"/>
        <v>1</v>
      </c>
      <c r="W615">
        <f t="shared" ca="1" si="132"/>
        <v>18</v>
      </c>
    </row>
    <row r="616" spans="1:23">
      <c r="A616" t="s">
        <v>1736</v>
      </c>
      <c r="B616" t="str">
        <f t="shared" ca="1" si="157"/>
        <v>孫綸網</v>
      </c>
      <c r="C616" t="str">
        <f t="shared" ca="1" si="158"/>
        <v>ｽｩﾝ ﾙﾝ ﾜｰﾝ</v>
      </c>
      <c r="D616" t="str">
        <f t="shared" ca="1" si="159"/>
        <v>Sun Lun Wang</v>
      </c>
      <c r="E616" t="str" cm="1">
        <f t="array" aca="1" ref="E616" ca="1">INDIRECT(ADDRESS(RANDBETWEEN(2,16),7,1,1,"valueBase"))</f>
        <v>男性</v>
      </c>
      <c r="F616" s="5">
        <f t="shared" ca="1" si="154"/>
        <v>35197</v>
      </c>
      <c r="G616" s="5">
        <f t="shared" ca="1" si="155"/>
        <v>43951</v>
      </c>
      <c r="H616" s="5">
        <f t="shared" ca="1" si="156"/>
        <v>44681</v>
      </c>
      <c r="I616" t="str">
        <f t="shared" ca="1" si="120"/>
        <v>090-4792-4855</v>
      </c>
      <c r="J616" t="str">
        <f t="shared" ca="1" si="160"/>
        <v>Sun_Lun Wang_43951@outlook.jp.co</v>
      </c>
      <c r="K616" t="str">
        <f t="shared" ca="1" si="122"/>
        <v>普通</v>
      </c>
      <c r="L616" t="str">
        <f t="shared" ca="1" si="123"/>
        <v>有り</v>
      </c>
      <c r="M616" t="str">
        <f t="shared" ca="1" si="161"/>
        <v>5%</v>
      </c>
      <c r="N616" t="str">
        <f t="shared" ca="1" si="125"/>
        <v>有り</v>
      </c>
      <c r="O616">
        <f t="shared" ca="1" si="126"/>
        <v>343</v>
      </c>
      <c r="R616">
        <f t="shared" ca="1" si="127"/>
        <v>13</v>
      </c>
      <c r="S616">
        <f t="shared" ca="1" si="128"/>
        <v>263</v>
      </c>
      <c r="T616">
        <f t="shared" ca="1" si="129"/>
        <v>1991</v>
      </c>
      <c r="U616">
        <f t="shared" ca="1" si="130"/>
        <v>2002</v>
      </c>
      <c r="V616">
        <f t="shared" ca="1" si="131"/>
        <v>7</v>
      </c>
      <c r="W616">
        <f t="shared" ca="1" si="132"/>
        <v>15</v>
      </c>
    </row>
    <row r="617" spans="1:23">
      <c r="A617" t="s">
        <v>1737</v>
      </c>
      <c r="B617" t="str">
        <f t="shared" ca="1" si="157"/>
        <v>謝鳳梅</v>
      </c>
      <c r="C617" t="str">
        <f t="shared" ca="1" si="158"/>
        <v>ｼｴ ﾌｵﾝ ﾒｲ</v>
      </c>
      <c r="D617" t="str">
        <f t="shared" ca="1" si="159"/>
        <v>Xie Feng Mei</v>
      </c>
      <c r="E617" t="str" cm="1">
        <f t="array" aca="1" ref="E617" ca="1">INDIRECT(ADDRESS(RANDBETWEEN(2,16),7,1,1,"valueBase"))</f>
        <v>女性</v>
      </c>
      <c r="F617" s="5">
        <f t="shared" ca="1" si="154"/>
        <v>37671</v>
      </c>
      <c r="G617" s="5">
        <f t="shared" ca="1" si="155"/>
        <v>45290</v>
      </c>
      <c r="H617" s="5">
        <f t="shared" ca="1" si="156"/>
        <v>45655</v>
      </c>
      <c r="I617" t="str">
        <f t="shared" ca="1" si="120"/>
        <v>090-4399-6956</v>
      </c>
      <c r="J617" t="str">
        <f t="shared" ca="1" si="160"/>
        <v>Xie_Feng_Mei_45290@outlook.jp.co</v>
      </c>
      <c r="K617" t="str">
        <f t="shared" ca="1" si="122"/>
        <v>高級</v>
      </c>
      <c r="L617" t="str">
        <f t="shared" ca="1" si="123"/>
        <v>-</v>
      </c>
      <c r="M617" t="str">
        <f t="shared" ca="1" si="161"/>
        <v>-</v>
      </c>
      <c r="N617" t="str">
        <f t="shared" ca="1" si="125"/>
        <v>有り</v>
      </c>
      <c r="O617">
        <f t="shared" ca="1" si="126"/>
        <v>208</v>
      </c>
      <c r="R617">
        <f t="shared" ca="1" si="127"/>
        <v>25</v>
      </c>
      <c r="S617">
        <f t="shared" ca="1" si="128"/>
        <v>75</v>
      </c>
      <c r="T617">
        <f t="shared" ca="1" si="129"/>
        <v>1985</v>
      </c>
      <c r="U617">
        <f t="shared" ca="1" si="130"/>
        <v>1987</v>
      </c>
      <c r="V617">
        <f t="shared" ca="1" si="131"/>
        <v>8</v>
      </c>
      <c r="W617">
        <f t="shared" ca="1" si="132"/>
        <v>25</v>
      </c>
    </row>
    <row r="618" spans="1:23">
      <c r="A618" t="s">
        <v>1738</v>
      </c>
      <c r="B618" t="str">
        <f t="shared" ca="1" si="157"/>
        <v>李麒雪</v>
      </c>
      <c r="C618" t="str">
        <f t="shared" ca="1" si="158"/>
        <v>ﾘｰ ﾁｲ ｼｭｴ</v>
      </c>
      <c r="D618" t="str">
        <f t="shared" ca="1" si="159"/>
        <v>Li Qi Xue</v>
      </c>
      <c r="E618" t="str" cm="1">
        <f t="array" aca="1" ref="E618" ca="1">INDIRECT(ADDRESS(RANDBETWEEN(2,16),7,1,1,"valueBase"))</f>
        <v>男性</v>
      </c>
      <c r="F618" s="5">
        <f t="shared" ca="1" si="154"/>
        <v>35660</v>
      </c>
      <c r="G618" s="5">
        <f t="shared" ca="1" si="155"/>
        <v>43033</v>
      </c>
      <c r="H618" s="5">
        <f t="shared" ca="1" si="156"/>
        <v>43763</v>
      </c>
      <c r="I618" t="str">
        <f t="shared" ca="1" si="120"/>
        <v>080-4948-4107</v>
      </c>
      <c r="J618" t="str">
        <f t="shared" ca="1" si="160"/>
        <v>Li_Qi_Xue_43033@outlook.jp.co</v>
      </c>
      <c r="K618" t="str">
        <f t="shared" ca="1" si="122"/>
        <v>普通</v>
      </c>
      <c r="L618" t="str">
        <f t="shared" ca="1" si="123"/>
        <v>-</v>
      </c>
      <c r="M618" t="str">
        <f t="shared" ca="1" si="161"/>
        <v>-</v>
      </c>
      <c r="N618" t="str">
        <f t="shared" ca="1" si="125"/>
        <v>-</v>
      </c>
      <c r="O618" t="str">
        <f t="shared" ca="1" si="126"/>
        <v>-</v>
      </c>
      <c r="R618">
        <f t="shared" ca="1" si="127"/>
        <v>2</v>
      </c>
      <c r="S618">
        <f t="shared" ca="1" si="128"/>
        <v>249</v>
      </c>
      <c r="T618">
        <f t="shared" ca="1" si="129"/>
        <v>2002</v>
      </c>
      <c r="U618">
        <f t="shared" ca="1" si="130"/>
        <v>2011</v>
      </c>
      <c r="V618">
        <f t="shared" ca="1" si="131"/>
        <v>12</v>
      </c>
      <c r="W618">
        <f t="shared" ca="1" si="132"/>
        <v>15</v>
      </c>
    </row>
    <row r="619" spans="1:23">
      <c r="A619" t="s">
        <v>1739</v>
      </c>
      <c r="B619" t="str">
        <f t="shared" ca="1" si="157"/>
        <v>何喜永</v>
      </c>
      <c r="C619" t="str">
        <f t="shared" ca="1" si="158"/>
        <v>ﾎｰｧ ｼｲ ﾖｰﾝ</v>
      </c>
      <c r="D619" t="str">
        <f t="shared" ca="1" si="159"/>
        <v>He Xi Yong</v>
      </c>
      <c r="E619" t="str" cm="1">
        <f t="array" aca="1" ref="E619" ca="1">INDIRECT(ADDRESS(RANDBETWEEN(2,16),7,1,1,"valueBase"))</f>
        <v>女性</v>
      </c>
      <c r="F619" s="5">
        <f t="shared" ca="1" si="154"/>
        <v>23178</v>
      </c>
      <c r="G619" s="5">
        <f t="shared" ca="1" si="155"/>
        <v>40106</v>
      </c>
      <c r="H619" s="5">
        <f t="shared" ca="1" si="156"/>
        <v>40471</v>
      </c>
      <c r="I619" t="str">
        <f t="shared" ca="1" si="120"/>
        <v>080-5331-7886</v>
      </c>
      <c r="J619" t="str">
        <f t="shared" ca="1" si="160"/>
        <v>He_Xi_Yong_40106@outlook.jp.co</v>
      </c>
      <c r="K619" t="str">
        <f t="shared" ca="1" si="122"/>
        <v>普通</v>
      </c>
      <c r="L619" t="str">
        <f t="shared" ca="1" si="123"/>
        <v>有り</v>
      </c>
      <c r="M619" t="str">
        <f t="shared" ca="1" si="161"/>
        <v>5%</v>
      </c>
      <c r="N619" t="str">
        <f t="shared" ca="1" si="125"/>
        <v>有り</v>
      </c>
      <c r="O619">
        <f t="shared" ca="1" si="126"/>
        <v>158</v>
      </c>
      <c r="R619">
        <f t="shared" ca="1" si="127"/>
        <v>18</v>
      </c>
      <c r="S619">
        <f t="shared" ca="1" si="128"/>
        <v>199</v>
      </c>
      <c r="T619">
        <f t="shared" ca="1" si="129"/>
        <v>1986</v>
      </c>
      <c r="U619">
        <f t="shared" ca="1" si="130"/>
        <v>1992</v>
      </c>
      <c r="V619">
        <f t="shared" ca="1" si="131"/>
        <v>7</v>
      </c>
      <c r="W619">
        <f t="shared" ca="1" si="132"/>
        <v>31</v>
      </c>
    </row>
    <row r="620" spans="1:23">
      <c r="A620" t="s">
        <v>1740</v>
      </c>
      <c r="B620" t="str">
        <f t="shared" ca="1" si="157"/>
        <v>趙斌湖</v>
      </c>
      <c r="C620" t="str">
        <f t="shared" ca="1" si="158"/>
        <v>ｼﾞｬｵ ﾋﾞﾝ ﾎｩ</v>
      </c>
      <c r="D620" t="str">
        <f t="shared" ca="1" si="159"/>
        <v>Zhao Bin Hu</v>
      </c>
      <c r="E620" t="str" cm="1">
        <f t="array" aca="1" ref="E620" ca="1">INDIRECT(ADDRESS(RANDBETWEEN(2,16),7,1,1,"valueBase"))</f>
        <v>女性</v>
      </c>
      <c r="F620" s="5">
        <f t="shared" ca="1" si="154"/>
        <v>37468</v>
      </c>
      <c r="G620" s="5">
        <f t="shared" ca="1" si="155"/>
        <v>45196</v>
      </c>
      <c r="H620" s="5">
        <f t="shared" ca="1" si="156"/>
        <v>45926</v>
      </c>
      <c r="I620" t="str">
        <f t="shared" ca="1" si="120"/>
        <v>080-4460-2921</v>
      </c>
      <c r="J620" t="str">
        <f t="shared" ca="1" si="160"/>
        <v>Zhao_Bin_Hu_45196@outlook.jp.co</v>
      </c>
      <c r="K620" t="str">
        <f t="shared" ca="1" si="122"/>
        <v>普通</v>
      </c>
      <c r="L620" t="str">
        <f t="shared" ca="1" si="123"/>
        <v>有り</v>
      </c>
      <c r="M620" t="str">
        <f t="shared" ca="1" si="161"/>
        <v>5%</v>
      </c>
      <c r="N620" t="str">
        <f t="shared" ca="1" si="125"/>
        <v>-</v>
      </c>
      <c r="O620" t="str">
        <f t="shared" ca="1" si="126"/>
        <v>-</v>
      </c>
      <c r="R620">
        <f t="shared" ca="1" si="127"/>
        <v>8</v>
      </c>
      <c r="S620">
        <f t="shared" ca="1" si="128"/>
        <v>77</v>
      </c>
      <c r="T620">
        <f t="shared" ca="1" si="129"/>
        <v>1982</v>
      </c>
      <c r="U620">
        <f t="shared" ca="1" si="130"/>
        <v>1986</v>
      </c>
      <c r="V620">
        <f t="shared" ca="1" si="131"/>
        <v>2</v>
      </c>
      <c r="W620">
        <f t="shared" ca="1" si="132"/>
        <v>26</v>
      </c>
    </row>
    <row r="621" spans="1:23">
      <c r="A621" t="s">
        <v>1741</v>
      </c>
      <c r="B621" t="str">
        <f t="shared" ca="1" si="157"/>
        <v>趙亭芬</v>
      </c>
      <c r="C621" t="str">
        <f t="shared" ca="1" si="158"/>
        <v>ｼﾞｬｵ ﾃｨｰﾝ ﾌｪﾝ</v>
      </c>
      <c r="D621" t="str">
        <f t="shared" ca="1" si="159"/>
        <v>Zhao Ting Fen</v>
      </c>
      <c r="E621" t="str" cm="1">
        <f t="array" aca="1" ref="E621" ca="1">INDIRECT(ADDRESS(RANDBETWEEN(2,16),7,1,1,"valueBase"))</f>
        <v>-</v>
      </c>
      <c r="F621" s="5">
        <f t="shared" ca="1" si="154"/>
        <v>24161</v>
      </c>
      <c r="G621" s="5">
        <f t="shared" ca="1" si="155"/>
        <v>40273</v>
      </c>
      <c r="H621" s="5">
        <f t="shared" ca="1" si="156"/>
        <v>41003</v>
      </c>
      <c r="I621" t="str">
        <f t="shared" ca="1" si="120"/>
        <v>080-0467-9894</v>
      </c>
      <c r="J621" t="str">
        <f t="shared" ca="1" si="160"/>
        <v>Zhao_Ting_Fen_40273@outlook.jp.co</v>
      </c>
      <c r="K621" t="str">
        <f t="shared" ca="1" si="122"/>
        <v>普通</v>
      </c>
      <c r="L621" t="str">
        <f t="shared" ca="1" si="123"/>
        <v>-</v>
      </c>
      <c r="M621" t="str">
        <f t="shared" ca="1" si="161"/>
        <v>-</v>
      </c>
      <c r="N621" t="str">
        <f t="shared" ca="1" si="125"/>
        <v>有り</v>
      </c>
      <c r="O621">
        <f t="shared" ca="1" si="126"/>
        <v>294</v>
      </c>
      <c r="R621">
        <f t="shared" ca="1" si="127"/>
        <v>8</v>
      </c>
      <c r="S621">
        <f t="shared" ca="1" si="128"/>
        <v>266</v>
      </c>
      <c r="T621">
        <f t="shared" ca="1" si="129"/>
        <v>2000</v>
      </c>
      <c r="U621">
        <f t="shared" ca="1" si="130"/>
        <v>2009</v>
      </c>
      <c r="V621">
        <f t="shared" ca="1" si="131"/>
        <v>7</v>
      </c>
      <c r="W621">
        <f t="shared" ca="1" si="132"/>
        <v>26</v>
      </c>
    </row>
    <row r="622" spans="1:23">
      <c r="A622" t="s">
        <v>1742</v>
      </c>
      <c r="B622" t="str">
        <f t="shared" ca="1" si="157"/>
        <v>鄭忠本</v>
      </c>
      <c r="C622" t="str">
        <f t="shared" ca="1" si="158"/>
        <v>ｼﾞｭﾖﾝ ｼﾞｮｰﾝ ﾍﾞﾝ</v>
      </c>
      <c r="D622" t="str">
        <f t="shared" ca="1" si="159"/>
        <v>Zheng Zhong Ben</v>
      </c>
      <c r="E622" t="str" cm="1">
        <f t="array" aca="1" ref="E622" ca="1">INDIRECT(ADDRESS(RANDBETWEEN(2,16),7,1,1,"valueBase"))</f>
        <v>男性</v>
      </c>
      <c r="F622" s="5">
        <f t="shared" ca="1" si="154"/>
        <v>23580</v>
      </c>
      <c r="G622" s="5">
        <f t="shared" ca="1" si="155"/>
        <v>32358</v>
      </c>
      <c r="H622" s="5">
        <f t="shared" ca="1" si="156"/>
        <v>33453</v>
      </c>
      <c r="I622" t="str">
        <f t="shared" ca="1" si="120"/>
        <v>090-4081-4695</v>
      </c>
      <c r="J622" t="str">
        <f t="shared" ca="1" si="160"/>
        <v>Zheng_Zhong_Ben_32358@outlook.jp.co</v>
      </c>
      <c r="K622" t="str">
        <f t="shared" ca="1" si="122"/>
        <v>高級</v>
      </c>
      <c r="L622" t="str">
        <f t="shared" ca="1" si="123"/>
        <v>有り</v>
      </c>
      <c r="M622" t="str">
        <f t="shared" ca="1" si="161"/>
        <v>10%</v>
      </c>
      <c r="N622" t="str">
        <f t="shared" ca="1" si="125"/>
        <v>-</v>
      </c>
      <c r="O622" t="str">
        <f t="shared" ca="1" si="126"/>
        <v>-</v>
      </c>
      <c r="R622">
        <f t="shared" ca="1" si="127"/>
        <v>24</v>
      </c>
      <c r="S622">
        <f t="shared" ca="1" si="128"/>
        <v>212</v>
      </c>
      <c r="T622">
        <f t="shared" ca="1" si="129"/>
        <v>2000</v>
      </c>
      <c r="U622">
        <f t="shared" ca="1" si="130"/>
        <v>2002</v>
      </c>
      <c r="V622">
        <f t="shared" ca="1" si="131"/>
        <v>6</v>
      </c>
      <c r="W622">
        <f t="shared" ca="1" si="132"/>
        <v>3</v>
      </c>
    </row>
    <row r="623" spans="1:23">
      <c r="A623" t="s">
        <v>1743</v>
      </c>
      <c r="B623" t="str">
        <f t="shared" ca="1" si="157"/>
        <v>謝曲佳</v>
      </c>
      <c r="C623" t="str">
        <f t="shared" ca="1" si="158"/>
        <v>ｼｴ ﾁｭｲ ｼﾞｱ</v>
      </c>
      <c r="D623" t="str">
        <f t="shared" ca="1" si="159"/>
        <v>Xie Qu Jia</v>
      </c>
      <c r="E623" t="str" cm="1">
        <f t="array" aca="1" ref="E623" ca="1">INDIRECT(ADDRESS(RANDBETWEEN(2,16),7,1,1,"valueBase"))</f>
        <v>男性</v>
      </c>
      <c r="F623" s="5">
        <f t="shared" ca="1" si="154"/>
        <v>29389</v>
      </c>
      <c r="G623" s="5">
        <f t="shared" ca="1" si="155"/>
        <v>39741</v>
      </c>
      <c r="H623" s="5">
        <f t="shared" ca="1" si="156"/>
        <v>40106</v>
      </c>
      <c r="I623" t="str">
        <f t="shared" ca="1" si="120"/>
        <v>080-7985-0408</v>
      </c>
      <c r="J623" t="str">
        <f t="shared" ca="1" si="160"/>
        <v>Xie_Qu_Jia_39741@outlook.jp.co</v>
      </c>
      <c r="K623" t="str">
        <f t="shared" ca="1" si="122"/>
        <v>高級</v>
      </c>
      <c r="L623" t="str">
        <f t="shared" ca="1" si="123"/>
        <v>有り</v>
      </c>
      <c r="M623" t="str">
        <f t="shared" ca="1" si="161"/>
        <v>10%</v>
      </c>
      <c r="N623" t="str">
        <f t="shared" ca="1" si="125"/>
        <v>有り</v>
      </c>
      <c r="O623">
        <f t="shared" ca="1" si="126"/>
        <v>805</v>
      </c>
      <c r="R623">
        <f t="shared" ca="1" si="127"/>
        <v>25</v>
      </c>
      <c r="S623">
        <f t="shared" ca="1" si="128"/>
        <v>116</v>
      </c>
      <c r="T623">
        <f t="shared" ca="1" si="129"/>
        <v>2002</v>
      </c>
      <c r="U623">
        <f t="shared" ca="1" si="130"/>
        <v>2013</v>
      </c>
      <c r="V623">
        <f t="shared" ca="1" si="131"/>
        <v>5</v>
      </c>
      <c r="W623">
        <f t="shared" ca="1" si="132"/>
        <v>21</v>
      </c>
    </row>
    <row r="624" spans="1:23">
      <c r="A624" t="s">
        <v>1744</v>
      </c>
      <c r="B624" t="str">
        <f t="shared" ca="1" si="157"/>
        <v>唐雷群</v>
      </c>
      <c r="C624" t="str">
        <f t="shared" ca="1" si="158"/>
        <v>ﾀｰﾝ ﾚｲ ﾁｭｲﾝ</v>
      </c>
      <c r="D624" t="str">
        <f t="shared" ca="1" si="159"/>
        <v>Tang Lei Qun</v>
      </c>
      <c r="E624" t="str" cm="1">
        <f t="array" aca="1" ref="E624" ca="1">INDIRECT(ADDRESS(RANDBETWEEN(2,16),7,1,1,"valueBase"))</f>
        <v>男性</v>
      </c>
      <c r="F624" s="5">
        <f t="shared" ca="1" si="154"/>
        <v>30578</v>
      </c>
      <c r="G624" s="5">
        <f t="shared" ca="1" si="155"/>
        <v>41732</v>
      </c>
      <c r="H624" s="5">
        <f t="shared" ca="1" si="156"/>
        <v>42462</v>
      </c>
      <c r="I624" t="str">
        <f t="shared" ca="1" si="120"/>
        <v>090-3195-8031</v>
      </c>
      <c r="J624" t="str">
        <f t="shared" ca="1" si="160"/>
        <v>Tang_Lei_Qun_41732@outlook.jp.co</v>
      </c>
      <c r="K624" t="str">
        <f t="shared" ca="1" si="122"/>
        <v>高級</v>
      </c>
      <c r="L624" t="str">
        <f t="shared" ca="1" si="123"/>
        <v>-</v>
      </c>
      <c r="M624" t="str">
        <f t="shared" ca="1" si="161"/>
        <v>-</v>
      </c>
      <c r="N624" t="str">
        <f t="shared" ca="1" si="125"/>
        <v>有り</v>
      </c>
      <c r="O624">
        <f t="shared" ca="1" si="126"/>
        <v>719</v>
      </c>
      <c r="R624">
        <f t="shared" ca="1" si="127"/>
        <v>27</v>
      </c>
      <c r="S624">
        <f t="shared" ca="1" si="128"/>
        <v>47</v>
      </c>
      <c r="T624">
        <f t="shared" ca="1" si="129"/>
        <v>1997</v>
      </c>
      <c r="U624">
        <f t="shared" ca="1" si="130"/>
        <v>2006</v>
      </c>
      <c r="V624">
        <f t="shared" ca="1" si="131"/>
        <v>1</v>
      </c>
      <c r="W624">
        <f t="shared" ca="1" si="132"/>
        <v>19</v>
      </c>
    </row>
    <row r="625" spans="1:23">
      <c r="A625" t="s">
        <v>1745</v>
      </c>
      <c r="B625" t="str">
        <f t="shared" ca="1" si="157"/>
        <v>林軒荒</v>
      </c>
      <c r="C625" t="str">
        <f t="shared" ca="1" si="158"/>
        <v>ﾘﾝ ｼｭｴﾝ ﾎﾜｰﾝ</v>
      </c>
      <c r="D625" t="str">
        <f t="shared" ca="1" si="159"/>
        <v>Lin Xuan Huang</v>
      </c>
      <c r="E625" t="str" cm="1">
        <f t="array" aca="1" ref="E625" ca="1">INDIRECT(ADDRESS(RANDBETWEEN(2,16),7,1,1,"valueBase"))</f>
        <v>男性</v>
      </c>
      <c r="F625" s="5">
        <f t="shared" ca="1" si="154"/>
        <v>34621</v>
      </c>
      <c r="G625" s="5">
        <f t="shared" ca="1" si="155"/>
        <v>42409</v>
      </c>
      <c r="H625" s="5">
        <f t="shared" ca="1" si="156"/>
        <v>43139</v>
      </c>
      <c r="I625" t="str">
        <f t="shared" ca="1" si="120"/>
        <v>080-8568-1898</v>
      </c>
      <c r="J625" t="str">
        <f t="shared" ca="1" si="160"/>
        <v>Lin_Xuan_Huang_42409@outlook.jp.co</v>
      </c>
      <c r="K625" t="str">
        <f t="shared" ca="1" si="122"/>
        <v>高級</v>
      </c>
      <c r="L625" t="str">
        <f t="shared" ca="1" si="123"/>
        <v>有り</v>
      </c>
      <c r="M625" t="str">
        <f t="shared" ca="1" si="161"/>
        <v>10%</v>
      </c>
      <c r="N625" t="str">
        <f t="shared" ca="1" si="125"/>
        <v>有り</v>
      </c>
      <c r="O625">
        <f t="shared" ca="1" si="126"/>
        <v>92</v>
      </c>
      <c r="R625">
        <f t="shared" ca="1" si="127"/>
        <v>17</v>
      </c>
      <c r="S625">
        <f t="shared" ca="1" si="128"/>
        <v>86</v>
      </c>
      <c r="T625">
        <f t="shared" ca="1" si="129"/>
        <v>2006</v>
      </c>
      <c r="U625">
        <f t="shared" ca="1" si="130"/>
        <v>2015</v>
      </c>
      <c r="V625">
        <f t="shared" ca="1" si="131"/>
        <v>12</v>
      </c>
      <c r="W625">
        <f t="shared" ca="1" si="132"/>
        <v>6</v>
      </c>
    </row>
    <row r="626" spans="1:23">
      <c r="A626" t="s">
        <v>1746</v>
      </c>
      <c r="B626" t="str">
        <f t="shared" ca="1" si="157"/>
        <v>何翠琳</v>
      </c>
      <c r="C626" t="str">
        <f t="shared" ca="1" si="158"/>
        <v>ﾎｰｧ ﾂｩｲ ﾘﾝ</v>
      </c>
      <c r="D626" t="str">
        <f t="shared" ca="1" si="159"/>
        <v>He Cui Lin</v>
      </c>
      <c r="E626" t="str" cm="1">
        <f t="array" aca="1" ref="E626" ca="1">INDIRECT(ADDRESS(RANDBETWEEN(2,16),7,1,1,"valueBase"))</f>
        <v>男性</v>
      </c>
      <c r="F626" s="5">
        <f t="shared" ca="1" si="154"/>
        <v>26034</v>
      </c>
      <c r="G626" s="5">
        <f t="shared" ca="1" si="155"/>
        <v>44248</v>
      </c>
      <c r="H626" s="5">
        <f t="shared" ca="1" si="156"/>
        <v>45343</v>
      </c>
      <c r="I626" t="str">
        <f t="shared" ca="1" si="120"/>
        <v>090-0636-3698</v>
      </c>
      <c r="J626" t="str">
        <f t="shared" ca="1" si="160"/>
        <v>He_Cui_Lin_44248@outlook.jp.co</v>
      </c>
      <c r="K626" t="str">
        <f t="shared" ca="1" si="122"/>
        <v>高級</v>
      </c>
      <c r="L626" t="str">
        <f t="shared" ca="1" si="123"/>
        <v>有り</v>
      </c>
      <c r="M626" t="str">
        <f t="shared" ca="1" si="161"/>
        <v>10%</v>
      </c>
      <c r="N626" t="str">
        <f t="shared" ca="1" si="125"/>
        <v>-</v>
      </c>
      <c r="O626" t="str">
        <f t="shared" ca="1" si="126"/>
        <v>-</v>
      </c>
      <c r="R626">
        <f t="shared" ca="1" si="127"/>
        <v>18</v>
      </c>
      <c r="S626">
        <f t="shared" ca="1" si="128"/>
        <v>56</v>
      </c>
      <c r="T626">
        <f t="shared" ca="1" si="129"/>
        <v>1982</v>
      </c>
      <c r="U626">
        <f t="shared" ca="1" si="130"/>
        <v>1984</v>
      </c>
      <c r="V626">
        <f t="shared" ca="1" si="131"/>
        <v>2</v>
      </c>
      <c r="W626">
        <f t="shared" ca="1" si="132"/>
        <v>7</v>
      </c>
    </row>
    <row r="627" spans="1:23">
      <c r="A627" t="s">
        <v>1747</v>
      </c>
      <c r="B627" t="str">
        <f t="shared" ca="1" si="157"/>
        <v>于迎臣</v>
      </c>
      <c r="C627" t="str">
        <f t="shared" ca="1" si="158"/>
        <v>ﾕｲ ｲｰﾝ ﾁｪﾝ</v>
      </c>
      <c r="D627" t="str">
        <f t="shared" ca="1" si="159"/>
        <v>Yu Ying Chen</v>
      </c>
      <c r="E627" t="str" cm="1">
        <f t="array" aca="1" ref="E627" ca="1">INDIRECT(ADDRESS(RANDBETWEEN(2,16),7,1,1,"valueBase"))</f>
        <v>女性</v>
      </c>
      <c r="F627" s="5">
        <f t="shared" ca="1" si="154"/>
        <v>35958</v>
      </c>
      <c r="G627" s="5">
        <f t="shared" ca="1" si="155"/>
        <v>44150</v>
      </c>
      <c r="H627" s="5">
        <f t="shared" ca="1" si="156"/>
        <v>44880</v>
      </c>
      <c r="I627" t="str">
        <f t="shared" ca="1" si="120"/>
        <v>090-0293-2333</v>
      </c>
      <c r="J627" t="str">
        <f t="shared" ca="1" si="160"/>
        <v>Yu_Ying_Chen_44150@outlook.jp.co</v>
      </c>
      <c r="K627" t="str">
        <f t="shared" ca="1" si="122"/>
        <v>高級</v>
      </c>
      <c r="L627" t="str">
        <f t="shared" ca="1" si="123"/>
        <v>-</v>
      </c>
      <c r="M627" t="str">
        <f t="shared" ca="1" si="161"/>
        <v>-</v>
      </c>
      <c r="N627" t="str">
        <f t="shared" ca="1" si="125"/>
        <v>有り</v>
      </c>
      <c r="O627">
        <f t="shared" ca="1" si="126"/>
        <v>802</v>
      </c>
      <c r="R627">
        <f t="shared" ca="1" si="127"/>
        <v>29</v>
      </c>
      <c r="S627">
        <f t="shared" ca="1" si="128"/>
        <v>198</v>
      </c>
      <c r="T627">
        <f t="shared" ca="1" si="129"/>
        <v>2006</v>
      </c>
      <c r="U627">
        <f t="shared" ca="1" si="130"/>
        <v>2009</v>
      </c>
      <c r="V627">
        <f t="shared" ca="1" si="131"/>
        <v>12</v>
      </c>
      <c r="W627">
        <f t="shared" ca="1" si="132"/>
        <v>17</v>
      </c>
    </row>
    <row r="628" spans="1:23">
      <c r="A628" t="s">
        <v>1748</v>
      </c>
      <c r="B628" t="str">
        <f t="shared" ca="1" si="157"/>
        <v>馮飛湖</v>
      </c>
      <c r="C628" t="str">
        <f t="shared" ca="1" si="158"/>
        <v>ﾌｵﾝ ﾌｪｲ ﾎｩ</v>
      </c>
      <c r="D628" t="str">
        <f t="shared" ca="1" si="159"/>
        <v>Feng Fei Hu</v>
      </c>
      <c r="E628" t="str" cm="1">
        <f t="array" aca="1" ref="E628" ca="1">INDIRECT(ADDRESS(RANDBETWEEN(2,16),7,1,1,"valueBase"))</f>
        <v>-</v>
      </c>
      <c r="F628" s="5">
        <f t="shared" ca="1" si="154"/>
        <v>25295</v>
      </c>
      <c r="G628" s="5">
        <f t="shared" ca="1" si="155"/>
        <v>44752</v>
      </c>
      <c r="H628" s="5">
        <f t="shared" ca="1" si="156"/>
        <v>45482</v>
      </c>
      <c r="I628" t="str">
        <f t="shared" ca="1" si="120"/>
        <v>090-9479-5969</v>
      </c>
      <c r="J628" t="str">
        <f t="shared" ca="1" si="160"/>
        <v>Feng_Fei_Hu_44752@outlook.jp.co</v>
      </c>
      <c r="K628" t="str">
        <f t="shared" ca="1" si="122"/>
        <v>高級</v>
      </c>
      <c r="L628" t="str">
        <f t="shared" ca="1" si="123"/>
        <v>有り</v>
      </c>
      <c r="M628" t="str">
        <f t="shared" ca="1" si="161"/>
        <v>10%</v>
      </c>
      <c r="N628" t="str">
        <f t="shared" ca="1" si="125"/>
        <v>有り</v>
      </c>
      <c r="O628">
        <f t="shared" ca="1" si="126"/>
        <v>763</v>
      </c>
      <c r="R628">
        <f t="shared" ca="1" si="127"/>
        <v>28</v>
      </c>
      <c r="S628">
        <f t="shared" ca="1" si="128"/>
        <v>231</v>
      </c>
      <c r="T628">
        <f t="shared" ca="1" si="129"/>
        <v>1971</v>
      </c>
      <c r="U628">
        <f t="shared" ca="1" si="130"/>
        <v>1982</v>
      </c>
      <c r="V628">
        <f t="shared" ca="1" si="131"/>
        <v>12</v>
      </c>
      <c r="W628">
        <f t="shared" ca="1" si="132"/>
        <v>14</v>
      </c>
    </row>
    <row r="629" spans="1:23">
      <c r="A629" t="s">
        <v>1749</v>
      </c>
      <c r="B629" t="str">
        <f t="shared" ca="1" si="157"/>
        <v>陳隆江</v>
      </c>
      <c r="C629" t="str">
        <f t="shared" ca="1" si="158"/>
        <v>ﾁｪﾝ ﾛｰﾝ ｼﾞｱｰﾝ</v>
      </c>
      <c r="D629" t="str">
        <f t="shared" ca="1" si="159"/>
        <v>Chen Long Jiang</v>
      </c>
      <c r="E629" t="str" cm="1">
        <f t="array" aca="1" ref="E629" ca="1">INDIRECT(ADDRESS(RANDBETWEEN(2,16),7,1,1,"valueBase"))</f>
        <v>男性</v>
      </c>
      <c r="F629" s="5">
        <f t="shared" ca="1" si="154"/>
        <v>27328</v>
      </c>
      <c r="G629" s="5">
        <f t="shared" ca="1" si="155"/>
        <v>41136</v>
      </c>
      <c r="H629" s="5">
        <f t="shared" ca="1" si="156"/>
        <v>42231</v>
      </c>
      <c r="I629" t="str">
        <f t="shared" ca="1" si="120"/>
        <v>090-9991-2489</v>
      </c>
      <c r="J629" t="str">
        <f t="shared" ca="1" si="160"/>
        <v>Chen_Long_Jiang_41136@outlook.jp.co</v>
      </c>
      <c r="K629" t="str">
        <f t="shared" ca="1" si="122"/>
        <v>普通</v>
      </c>
      <c r="L629" t="str">
        <f t="shared" ca="1" si="123"/>
        <v>有り</v>
      </c>
      <c r="M629" t="str">
        <f t="shared" ca="1" si="161"/>
        <v>5%</v>
      </c>
      <c r="N629" t="str">
        <f t="shared" ca="1" si="125"/>
        <v>有り</v>
      </c>
      <c r="O629">
        <f t="shared" ca="1" si="126"/>
        <v>993</v>
      </c>
      <c r="R629">
        <f t="shared" ca="1" si="127"/>
        <v>6</v>
      </c>
      <c r="S629">
        <f t="shared" ca="1" si="128"/>
        <v>8</v>
      </c>
      <c r="T629">
        <f t="shared" ca="1" si="129"/>
        <v>1983</v>
      </c>
      <c r="U629">
        <f t="shared" ca="1" si="130"/>
        <v>1992</v>
      </c>
      <c r="V629">
        <f t="shared" ca="1" si="131"/>
        <v>11</v>
      </c>
      <c r="W629">
        <f t="shared" ca="1" si="132"/>
        <v>22</v>
      </c>
    </row>
    <row r="630" spans="1:23">
      <c r="A630" t="s">
        <v>1750</v>
      </c>
      <c r="B630" t="str">
        <f t="shared" ca="1" si="157"/>
        <v>王資繼</v>
      </c>
      <c r="C630" t="str">
        <f t="shared" ca="1" si="158"/>
        <v>ﾜｰﾝ ｽﾞｰ ｼﾞｰ</v>
      </c>
      <c r="D630" t="str">
        <f t="shared" ca="1" si="159"/>
        <v>Wang Zi Ji</v>
      </c>
      <c r="E630" t="str" cm="1">
        <f t="array" aca="1" ref="E630" ca="1">INDIRECT(ADDRESS(RANDBETWEEN(2,16),7,1,1,"valueBase"))</f>
        <v>男性</v>
      </c>
      <c r="F630" s="5">
        <f t="shared" ca="1" si="154"/>
        <v>29722</v>
      </c>
      <c r="G630" s="5">
        <f t="shared" ca="1" si="155"/>
        <v>45086</v>
      </c>
      <c r="H630" s="5">
        <f t="shared" ca="1" si="156"/>
        <v>45816</v>
      </c>
      <c r="I630" t="str">
        <f t="shared" ca="1" si="120"/>
        <v>090-4595-6978</v>
      </c>
      <c r="J630" t="str">
        <f t="shared" ca="1" si="160"/>
        <v>Wang_Zi_Ji_45086@outlook.jp.co</v>
      </c>
      <c r="K630" t="str">
        <f t="shared" ca="1" si="122"/>
        <v>普通</v>
      </c>
      <c r="L630" t="str">
        <f t="shared" ca="1" si="123"/>
        <v>有り</v>
      </c>
      <c r="M630" t="str">
        <f t="shared" ca="1" si="161"/>
        <v>5%</v>
      </c>
      <c r="N630" t="str">
        <f t="shared" ca="1" si="125"/>
        <v>有り</v>
      </c>
      <c r="O630">
        <f t="shared" ca="1" si="126"/>
        <v>56</v>
      </c>
      <c r="R630">
        <f t="shared" ca="1" si="127"/>
        <v>3</v>
      </c>
      <c r="S630">
        <f t="shared" ca="1" si="128"/>
        <v>130</v>
      </c>
      <c r="T630">
        <f t="shared" ca="1" si="129"/>
        <v>1989</v>
      </c>
      <c r="U630">
        <f t="shared" ca="1" si="130"/>
        <v>1996</v>
      </c>
      <c r="V630">
        <f t="shared" ca="1" si="131"/>
        <v>10</v>
      </c>
      <c r="W630">
        <f t="shared" ca="1" si="132"/>
        <v>12</v>
      </c>
    </row>
    <row r="631" spans="1:23">
      <c r="A631" t="s">
        <v>1751</v>
      </c>
      <c r="B631" t="str">
        <f t="shared" ca="1" si="157"/>
        <v>韓臻倫</v>
      </c>
      <c r="C631" t="str">
        <f t="shared" ca="1" si="158"/>
        <v>ﾊﾝ ｼﾞｪﾝ ﾙﾝ</v>
      </c>
      <c r="D631" t="str">
        <f t="shared" ca="1" si="159"/>
        <v>Han Zhen Lun</v>
      </c>
      <c r="E631" t="str" cm="1">
        <f t="array" aca="1" ref="E631" ca="1">INDIRECT(ADDRESS(RANDBETWEEN(2,16),7,1,1,"valueBase"))</f>
        <v>女性</v>
      </c>
      <c r="F631" s="5">
        <f t="shared" ca="1" si="154"/>
        <v>32077</v>
      </c>
      <c r="G631" s="5">
        <f t="shared" ca="1" si="155"/>
        <v>42209</v>
      </c>
      <c r="H631" s="5">
        <f t="shared" ca="1" si="156"/>
        <v>43304</v>
      </c>
      <c r="I631" t="str">
        <f t="shared" ca="1" si="120"/>
        <v>090-0072-1301</v>
      </c>
      <c r="J631" t="str">
        <f t="shared" ca="1" si="160"/>
        <v>Han_Zhen_Lun_42209@outlook.jp.co</v>
      </c>
      <c r="K631" t="str">
        <f t="shared" ca="1" si="122"/>
        <v>普通</v>
      </c>
      <c r="L631" t="str">
        <f t="shared" ca="1" si="123"/>
        <v>-</v>
      </c>
      <c r="M631" t="str">
        <f t="shared" ca="1" si="161"/>
        <v>-</v>
      </c>
      <c r="N631" t="str">
        <f t="shared" ca="1" si="125"/>
        <v>-</v>
      </c>
      <c r="O631" t="str">
        <f t="shared" ca="1" si="126"/>
        <v>-</v>
      </c>
      <c r="R631">
        <f t="shared" ca="1" si="127"/>
        <v>26</v>
      </c>
      <c r="S631">
        <f t="shared" ca="1" si="128"/>
        <v>193</v>
      </c>
      <c r="T631">
        <f t="shared" ca="1" si="129"/>
        <v>2005</v>
      </c>
      <c r="U631">
        <f t="shared" ca="1" si="130"/>
        <v>2016</v>
      </c>
      <c r="V631">
        <f t="shared" ca="1" si="131"/>
        <v>2</v>
      </c>
      <c r="W631">
        <f t="shared" ca="1" si="132"/>
        <v>10</v>
      </c>
    </row>
    <row r="632" spans="1:23">
      <c r="A632" t="s">
        <v>1752</v>
      </c>
      <c r="B632" t="str">
        <f t="shared" ca="1" si="157"/>
        <v>于群婷</v>
      </c>
      <c r="C632" t="str">
        <f t="shared" ca="1" si="158"/>
        <v>ﾕｲ ﾁｭｲﾝ ﾃｨｰﾝ</v>
      </c>
      <c r="D632" t="str">
        <f t="shared" ca="1" si="159"/>
        <v>Yu Qun Ting</v>
      </c>
      <c r="E632" t="str" cm="1">
        <f t="array" aca="1" ref="E632" ca="1">INDIRECT(ADDRESS(RANDBETWEEN(2,16),7,1,1,"valueBase"))</f>
        <v>男性</v>
      </c>
      <c r="F632" s="5">
        <f t="shared" ca="1" si="154"/>
        <v>32556</v>
      </c>
      <c r="G632" s="5">
        <f t="shared" ca="1" si="155"/>
        <v>41808</v>
      </c>
      <c r="H632" s="5">
        <f t="shared" ca="1" si="156"/>
        <v>42903</v>
      </c>
      <c r="I632" t="str">
        <f t="shared" ca="1" si="120"/>
        <v>090-1179-7141</v>
      </c>
      <c r="J632" t="str">
        <f t="shared" ca="1" si="160"/>
        <v>Yu_Qun_Ting_41808@outlook.jp.co</v>
      </c>
      <c r="K632" t="str">
        <f t="shared" ca="1" si="122"/>
        <v>普通</v>
      </c>
      <c r="L632" t="str">
        <f t="shared" ca="1" si="123"/>
        <v>有り</v>
      </c>
      <c r="M632" t="str">
        <f t="shared" ca="1" si="161"/>
        <v>5%</v>
      </c>
      <c r="N632" t="str">
        <f t="shared" ca="1" si="125"/>
        <v>有り</v>
      </c>
      <c r="O632">
        <f t="shared" ca="1" si="126"/>
        <v>809</v>
      </c>
      <c r="R632">
        <f t="shared" ca="1" si="127"/>
        <v>29</v>
      </c>
      <c r="S632">
        <f t="shared" ca="1" si="128"/>
        <v>268</v>
      </c>
      <c r="T632">
        <f t="shared" ca="1" si="129"/>
        <v>1989</v>
      </c>
      <c r="U632">
        <f t="shared" ca="1" si="130"/>
        <v>1996</v>
      </c>
      <c r="V632">
        <f t="shared" ca="1" si="131"/>
        <v>3</v>
      </c>
      <c r="W632">
        <f t="shared" ca="1" si="132"/>
        <v>28</v>
      </c>
    </row>
    <row r="633" spans="1:23">
      <c r="A633" t="s">
        <v>1753</v>
      </c>
      <c r="B633" t="str">
        <f t="shared" ca="1" si="157"/>
        <v>郭克升</v>
      </c>
      <c r="C633" t="str">
        <f t="shared" ca="1" si="158"/>
        <v>ｸﾞｵ ｺｰｧ ｼｭﾖﾝ</v>
      </c>
      <c r="D633" t="str">
        <f t="shared" ca="1" si="159"/>
        <v>Guo Ke Sheng</v>
      </c>
      <c r="E633" t="str" cm="1">
        <f t="array" aca="1" ref="E633" ca="1">INDIRECT(ADDRESS(RANDBETWEEN(2,16),7,1,1,"valueBase"))</f>
        <v>女性</v>
      </c>
      <c r="F633" s="5">
        <f t="shared" ca="1" si="154"/>
        <v>26920</v>
      </c>
      <c r="G633" s="5">
        <f t="shared" ca="1" si="155"/>
        <v>44070</v>
      </c>
      <c r="H633" s="5">
        <f t="shared" ca="1" si="156"/>
        <v>45165</v>
      </c>
      <c r="I633" t="str">
        <f t="shared" ca="1" si="120"/>
        <v>090-2721-1780</v>
      </c>
      <c r="J633" t="str">
        <f t="shared" ca="1" si="160"/>
        <v>Guo_Ke_Sheng_44070@outlook.jp.co</v>
      </c>
      <c r="K633" t="str">
        <f t="shared" ca="1" si="122"/>
        <v>普通</v>
      </c>
      <c r="L633" t="str">
        <f t="shared" ca="1" si="123"/>
        <v>有り</v>
      </c>
      <c r="M633" t="str">
        <f t="shared" ca="1" si="161"/>
        <v>5%</v>
      </c>
      <c r="N633" t="str">
        <f t="shared" ca="1" si="125"/>
        <v>有り</v>
      </c>
      <c r="O633">
        <f t="shared" ca="1" si="126"/>
        <v>902</v>
      </c>
      <c r="R633">
        <f t="shared" ca="1" si="127"/>
        <v>19</v>
      </c>
      <c r="S633">
        <f t="shared" ca="1" si="128"/>
        <v>84</v>
      </c>
      <c r="T633">
        <f t="shared" ca="1" si="129"/>
        <v>1990</v>
      </c>
      <c r="U633">
        <f t="shared" ca="1" si="130"/>
        <v>1994</v>
      </c>
      <c r="V633">
        <f t="shared" ca="1" si="131"/>
        <v>1</v>
      </c>
      <c r="W633">
        <f t="shared" ca="1" si="132"/>
        <v>27</v>
      </c>
    </row>
    <row r="634" spans="1:23">
      <c r="A634" t="s">
        <v>1754</v>
      </c>
      <c r="B634" t="str">
        <f t="shared" ca="1" si="157"/>
        <v>周協銘</v>
      </c>
      <c r="C634" t="str">
        <f t="shared" ca="1" si="158"/>
        <v>ｼﾞｮｳ ｼｴ ﾐｰﾝ</v>
      </c>
      <c r="D634" t="str">
        <f t="shared" ca="1" si="159"/>
        <v>Zhou Xie Ming</v>
      </c>
      <c r="E634" t="str" cm="1">
        <f t="array" aca="1" ref="E634" ca="1">INDIRECT(ADDRESS(RANDBETWEEN(2,16),7,1,1,"valueBase"))</f>
        <v>女性</v>
      </c>
      <c r="F634" s="5">
        <f t="shared" ca="1" si="154"/>
        <v>28325</v>
      </c>
      <c r="G634" s="5">
        <f t="shared" ca="1" si="155"/>
        <v>44160</v>
      </c>
      <c r="H634" s="5">
        <f t="shared" ca="1" si="156"/>
        <v>45255</v>
      </c>
      <c r="I634" t="str">
        <f t="shared" ca="1" si="120"/>
        <v>080-3154-8679</v>
      </c>
      <c r="J634" t="str">
        <f t="shared" ca="1" si="160"/>
        <v>Zhou_Xie_Ming_44160@outlook.jp.co</v>
      </c>
      <c r="K634" t="str">
        <f t="shared" ca="1" si="122"/>
        <v>普通</v>
      </c>
      <c r="L634" t="str">
        <f t="shared" ca="1" si="123"/>
        <v>有り</v>
      </c>
      <c r="M634" t="str">
        <f t="shared" ca="1" si="161"/>
        <v>5%</v>
      </c>
      <c r="N634" t="str">
        <f t="shared" ca="1" si="125"/>
        <v>有り</v>
      </c>
      <c r="O634">
        <f t="shared" ca="1" si="126"/>
        <v>414</v>
      </c>
      <c r="R634">
        <f t="shared" ca="1" si="127"/>
        <v>10</v>
      </c>
      <c r="S634">
        <f t="shared" ca="1" si="128"/>
        <v>225</v>
      </c>
      <c r="T634">
        <f t="shared" ca="1" si="129"/>
        <v>1985</v>
      </c>
      <c r="U634">
        <f t="shared" ca="1" si="130"/>
        <v>1987</v>
      </c>
      <c r="V634">
        <f t="shared" ca="1" si="131"/>
        <v>1</v>
      </c>
      <c r="W634">
        <f t="shared" ca="1" si="132"/>
        <v>10</v>
      </c>
    </row>
    <row r="635" spans="1:23">
      <c r="A635" t="s">
        <v>1755</v>
      </c>
      <c r="B635" t="str">
        <f t="shared" ca="1" si="157"/>
        <v>于折東</v>
      </c>
      <c r="C635" t="str">
        <f t="shared" ca="1" si="158"/>
        <v>ﾕｲ ｼﾞｮｰｧ ﾄﾞｰﾝ</v>
      </c>
      <c r="D635" t="str">
        <f t="shared" ca="1" si="159"/>
        <v>Yu Zhe Dong</v>
      </c>
      <c r="E635" t="str" cm="1">
        <f t="array" aca="1" ref="E635" ca="1">INDIRECT(ADDRESS(RANDBETWEEN(2,16),7,1,1,"valueBase"))</f>
        <v>男性</v>
      </c>
      <c r="F635" s="5">
        <f t="shared" ca="1" si="154"/>
        <v>31502</v>
      </c>
      <c r="G635" s="5">
        <f t="shared" ca="1" si="155"/>
        <v>42178</v>
      </c>
      <c r="H635" s="5">
        <f t="shared" ca="1" si="156"/>
        <v>43273</v>
      </c>
      <c r="I635" t="str">
        <f t="shared" ca="1" si="120"/>
        <v>090-8083-7911</v>
      </c>
      <c r="J635" t="str">
        <f t="shared" ca="1" si="160"/>
        <v>Yu_Zhe Dong_42178@outlook.jp.co</v>
      </c>
      <c r="K635" t="str">
        <f t="shared" ca="1" si="122"/>
        <v>普通</v>
      </c>
      <c r="L635" t="str">
        <f t="shared" ca="1" si="123"/>
        <v>有り</v>
      </c>
      <c r="M635" t="str">
        <f t="shared" ca="1" si="161"/>
        <v>5%</v>
      </c>
      <c r="N635" t="str">
        <f t="shared" ca="1" si="125"/>
        <v>有り</v>
      </c>
      <c r="O635">
        <f t="shared" ca="1" si="126"/>
        <v>495</v>
      </c>
      <c r="R635">
        <f t="shared" ca="1" si="127"/>
        <v>29</v>
      </c>
      <c r="S635">
        <f t="shared" ca="1" si="128"/>
        <v>42</v>
      </c>
      <c r="T635">
        <f t="shared" ca="1" si="129"/>
        <v>1989</v>
      </c>
      <c r="U635">
        <f t="shared" ca="1" si="130"/>
        <v>1997</v>
      </c>
      <c r="V635">
        <f t="shared" ca="1" si="131"/>
        <v>5</v>
      </c>
      <c r="W635">
        <f t="shared" ca="1" si="132"/>
        <v>28</v>
      </c>
    </row>
    <row r="636" spans="1:23">
      <c r="A636" t="s">
        <v>1756</v>
      </c>
      <c r="B636" t="str">
        <f t="shared" ca="1" si="157"/>
        <v>朱登寧</v>
      </c>
      <c r="C636" t="str">
        <f t="shared" ca="1" si="158"/>
        <v>ｼﾞｭｳ ﾄﾞｩｵﾝ ﾆｰﾝ</v>
      </c>
      <c r="D636" t="str">
        <f t="shared" ca="1" si="159"/>
        <v>Zhu Deng Ning</v>
      </c>
      <c r="E636" t="str" cm="1">
        <f t="array" aca="1" ref="E636" ca="1">INDIRECT(ADDRESS(RANDBETWEEN(2,16),7,1,1,"valueBase"))</f>
        <v>男性</v>
      </c>
      <c r="F636" s="5">
        <f t="shared" ca="1" si="154"/>
        <v>25736</v>
      </c>
      <c r="G636" s="5">
        <f t="shared" ca="1" si="155"/>
        <v>42736</v>
      </c>
      <c r="H636" s="5">
        <f t="shared" ca="1" si="156"/>
        <v>43466</v>
      </c>
      <c r="I636" t="str">
        <f t="shared" ca="1" si="120"/>
        <v>080-3127-6359</v>
      </c>
      <c r="J636" t="str">
        <f t="shared" ca="1" si="160"/>
        <v>Zhu_Deng_Ning_42736@outlook.jp.co</v>
      </c>
      <c r="K636" t="str">
        <f t="shared" ca="1" si="122"/>
        <v>高級</v>
      </c>
      <c r="L636" t="str">
        <f t="shared" ca="1" si="123"/>
        <v>有り</v>
      </c>
      <c r="M636" t="str">
        <f t="shared" ca="1" si="161"/>
        <v>10%</v>
      </c>
      <c r="N636" t="str">
        <f t="shared" ca="1" si="125"/>
        <v>有り</v>
      </c>
      <c r="O636">
        <f t="shared" ca="1" si="126"/>
        <v>602</v>
      </c>
      <c r="R636">
        <f t="shared" ca="1" si="127"/>
        <v>15</v>
      </c>
      <c r="S636">
        <f t="shared" ca="1" si="128"/>
        <v>121</v>
      </c>
      <c r="T636">
        <f t="shared" ca="1" si="129"/>
        <v>1997</v>
      </c>
      <c r="U636">
        <f t="shared" ca="1" si="130"/>
        <v>2000</v>
      </c>
      <c r="V636">
        <f t="shared" ca="1" si="131"/>
        <v>12</v>
      </c>
      <c r="W636">
        <f t="shared" ca="1" si="132"/>
        <v>5</v>
      </c>
    </row>
    <row r="637" spans="1:23">
      <c r="A637" t="s">
        <v>1757</v>
      </c>
      <c r="B637" t="str">
        <f t="shared" ca="1" si="157"/>
        <v>韓喜永</v>
      </c>
      <c r="C637" t="str">
        <f t="shared" ca="1" si="158"/>
        <v>ﾊﾝ ｼｲ ﾖｰﾝ</v>
      </c>
      <c r="D637" t="str">
        <f t="shared" ca="1" si="159"/>
        <v>Han Xi Yong</v>
      </c>
      <c r="E637" t="str" cm="1">
        <f t="array" aca="1" ref="E637" ca="1">INDIRECT(ADDRESS(RANDBETWEEN(2,16),7,1,1,"valueBase"))</f>
        <v>男性</v>
      </c>
      <c r="F637" s="5">
        <f t="shared" ca="1" si="154"/>
        <v>34219</v>
      </c>
      <c r="G637" s="5">
        <f t="shared" ca="1" si="155"/>
        <v>40905</v>
      </c>
      <c r="H637" s="5">
        <f t="shared" ca="1" si="156"/>
        <v>42000</v>
      </c>
      <c r="I637" t="str">
        <f t="shared" ca="1" si="120"/>
        <v>080-9640-8477</v>
      </c>
      <c r="J637" t="str">
        <f t="shared" ca="1" si="160"/>
        <v>Han_Xi_Yong_40905@outlook.jp.co</v>
      </c>
      <c r="K637" t="str">
        <f t="shared" ca="1" si="122"/>
        <v>高級</v>
      </c>
      <c r="L637" t="str">
        <f t="shared" ca="1" si="123"/>
        <v>-</v>
      </c>
      <c r="M637" t="str">
        <f t="shared" ca="1" si="161"/>
        <v>-</v>
      </c>
      <c r="N637" t="str">
        <f t="shared" ca="1" si="125"/>
        <v>-</v>
      </c>
      <c r="O637" t="str">
        <f t="shared" ca="1" si="126"/>
        <v>-</v>
      </c>
      <c r="R637">
        <f t="shared" ca="1" si="127"/>
        <v>26</v>
      </c>
      <c r="S637">
        <f t="shared" ca="1" si="128"/>
        <v>199</v>
      </c>
      <c r="T637">
        <f t="shared" ca="1" si="129"/>
        <v>1982</v>
      </c>
      <c r="U637">
        <f t="shared" ca="1" si="130"/>
        <v>1985</v>
      </c>
      <c r="V637">
        <f t="shared" ca="1" si="131"/>
        <v>10</v>
      </c>
      <c r="W637">
        <f t="shared" ca="1" si="132"/>
        <v>22</v>
      </c>
    </row>
    <row r="638" spans="1:23">
      <c r="A638" t="s">
        <v>1758</v>
      </c>
      <c r="B638" t="str">
        <f t="shared" ca="1" si="157"/>
        <v>唐賢界</v>
      </c>
      <c r="C638" t="str">
        <f t="shared" ca="1" si="158"/>
        <v>ﾀｰﾝ ｼｴﾝ ｼﾞｴ</v>
      </c>
      <c r="D638" t="str">
        <f t="shared" ca="1" si="159"/>
        <v>Tang Xian Jie</v>
      </c>
      <c r="E638" t="str" cm="1">
        <f t="array" aca="1" ref="E638" ca="1">INDIRECT(ADDRESS(RANDBETWEEN(2,16),7,1,1,"valueBase"))</f>
        <v>女性</v>
      </c>
      <c r="F638" s="5">
        <f t="shared" ca="1" si="154"/>
        <v>22465</v>
      </c>
      <c r="G638" s="5">
        <f t="shared" ca="1" si="155"/>
        <v>36747</v>
      </c>
      <c r="H638" s="5">
        <f t="shared" ca="1" si="156"/>
        <v>37477</v>
      </c>
      <c r="I638" t="str">
        <f t="shared" ca="1" si="120"/>
        <v>090-3631-2156</v>
      </c>
      <c r="J638" t="str">
        <f t="shared" ca="1" si="160"/>
        <v>Tang_Xian_Jie_36747@outlook.jp.co</v>
      </c>
      <c r="K638" t="str">
        <f t="shared" ca="1" si="122"/>
        <v>普通</v>
      </c>
      <c r="L638" t="str">
        <f t="shared" ca="1" si="123"/>
        <v>-</v>
      </c>
      <c r="M638" t="str">
        <f t="shared" ca="1" si="161"/>
        <v>-</v>
      </c>
      <c r="N638" t="str">
        <f t="shared" ca="1" si="125"/>
        <v>有り</v>
      </c>
      <c r="O638">
        <f t="shared" ca="1" si="126"/>
        <v>258</v>
      </c>
      <c r="R638">
        <f t="shared" ca="1" si="127"/>
        <v>27</v>
      </c>
      <c r="S638">
        <f t="shared" ca="1" si="128"/>
        <v>252</v>
      </c>
      <c r="T638">
        <f t="shared" ca="1" si="129"/>
        <v>1978</v>
      </c>
      <c r="U638">
        <f t="shared" ca="1" si="130"/>
        <v>1980</v>
      </c>
      <c r="V638">
        <f t="shared" ca="1" si="131"/>
        <v>4</v>
      </c>
      <c r="W638">
        <f t="shared" ca="1" si="132"/>
        <v>16</v>
      </c>
    </row>
    <row r="639" spans="1:23">
      <c r="A639" t="s">
        <v>1759</v>
      </c>
      <c r="B639" t="str">
        <f t="shared" ca="1" si="157"/>
        <v>吳林會</v>
      </c>
      <c r="C639" t="str">
        <f t="shared" ca="1" si="158"/>
        <v>ｳｰ ﾘﾝ ﾎｩｲ</v>
      </c>
      <c r="D639" t="str">
        <f t="shared" ca="1" si="159"/>
        <v>Wu Lin Hui</v>
      </c>
      <c r="E639" t="str" cm="1">
        <f t="array" aca="1" ref="E639" ca="1">INDIRECT(ADDRESS(RANDBETWEEN(2,16),7,1,1,"valueBase"))</f>
        <v>男性</v>
      </c>
      <c r="F639" s="5">
        <f t="shared" ca="1" si="154"/>
        <v>27353</v>
      </c>
      <c r="G639" s="5">
        <f t="shared" ca="1" si="155"/>
        <v>34248</v>
      </c>
      <c r="H639" s="5">
        <f t="shared" ca="1" si="156"/>
        <v>34978</v>
      </c>
      <c r="I639" t="str">
        <f t="shared" ca="1" si="120"/>
        <v>090-0572-2081</v>
      </c>
      <c r="J639" t="str">
        <f t="shared" ca="1" si="160"/>
        <v>Wu_Lin Hui_34248@outlook.jp.co</v>
      </c>
      <c r="K639" t="str">
        <f t="shared" ca="1" si="122"/>
        <v>高級</v>
      </c>
      <c r="L639" t="str">
        <f t="shared" ca="1" si="123"/>
        <v>有り</v>
      </c>
      <c r="M639" t="str">
        <f t="shared" ca="1" si="161"/>
        <v>10%</v>
      </c>
      <c r="N639" t="str">
        <f t="shared" ca="1" si="125"/>
        <v>有り</v>
      </c>
      <c r="O639">
        <f t="shared" ca="1" si="126"/>
        <v>836</v>
      </c>
      <c r="R639">
        <f t="shared" ref="R639:R640" ca="1" si="162">RANDBETWEEN(2,29)</f>
        <v>11</v>
      </c>
      <c r="S639">
        <f t="shared" ref="S639:S640" ca="1" si="163">RANDBETWEEN(2,331)</f>
        <v>250</v>
      </c>
      <c r="T639">
        <f t="shared" ref="T639:T640" ca="1" si="164">RANDBETWEEN(1970,2010)</f>
        <v>2002</v>
      </c>
      <c r="U639">
        <f t="shared" ref="U639:U640" ca="1" si="165">T639 + RANDBETWEEN(1,12)</f>
        <v>2014</v>
      </c>
      <c r="V639">
        <f t="shared" ref="V639:V640" ca="1" si="166">RANDBETWEEN(1,12)</f>
        <v>4</v>
      </c>
      <c r="W639">
        <f t="shared" ref="W639:W640" ca="1" si="167">IF(V639=2,RANDBETWEEN(1,28),IF(V639=4,RANDBETWEEN(1,30),IF(V639=6,RANDBETWEEN(1,30),IF(V639=9,RANDBETWEEN(1,30),IF(V639=11,RANDBETWEEN(1,30),RANDBETWEEN(1,31))))))</f>
        <v>30</v>
      </c>
    </row>
    <row r="640" spans="1:23">
      <c r="A640" t="s">
        <v>1760</v>
      </c>
      <c r="B640" t="str">
        <f t="shared" ca="1" si="157"/>
        <v>趙萬斌</v>
      </c>
      <c r="C640" t="str">
        <f t="shared" ca="1" si="158"/>
        <v>ｼﾞｬｵ ﾜﾝ ﾋﾞﾝ</v>
      </c>
      <c r="D640" t="str">
        <f t="shared" ca="1" si="159"/>
        <v>Zhao Wan Bin</v>
      </c>
      <c r="E640" t="str" cm="1">
        <f t="array" aca="1" ref="E640" ca="1">INDIRECT(ADDRESS(RANDBETWEEN(2,16),7,1,1,"valueBase"))</f>
        <v>女性</v>
      </c>
      <c r="F640" s="5">
        <f t="shared" ca="1" si="154"/>
        <v>24761</v>
      </c>
      <c r="G640" s="5">
        <f t="shared" ca="1" si="155"/>
        <v>44602</v>
      </c>
      <c r="H640" s="5">
        <f t="shared" ca="1" si="156"/>
        <v>45332</v>
      </c>
      <c r="I640" t="str">
        <f t="shared" ca="1" si="120"/>
        <v>090-5094-0284</v>
      </c>
      <c r="J640" t="str">
        <f t="shared" ca="1" si="160"/>
        <v>Zhao_Wan_Bin_44602@outlook.jp.co</v>
      </c>
      <c r="K640" t="str">
        <f t="shared" ca="1" si="122"/>
        <v>高級</v>
      </c>
      <c r="L640" t="str">
        <f t="shared" ca="1" si="123"/>
        <v>有り</v>
      </c>
      <c r="M640" t="str">
        <f t="shared" ca="1" si="161"/>
        <v>10%</v>
      </c>
      <c r="N640" t="str">
        <f t="shared" ca="1" si="125"/>
        <v>-</v>
      </c>
      <c r="O640" t="str">
        <f t="shared" ca="1" si="126"/>
        <v>-</v>
      </c>
      <c r="R640">
        <f t="shared" ca="1" si="162"/>
        <v>8</v>
      </c>
      <c r="S640">
        <f t="shared" ca="1" si="163"/>
        <v>134</v>
      </c>
      <c r="T640">
        <f t="shared" ca="1" si="164"/>
        <v>1978</v>
      </c>
      <c r="U640">
        <f t="shared" ca="1" si="165"/>
        <v>1980</v>
      </c>
      <c r="V640">
        <f t="shared" ca="1" si="166"/>
        <v>7</v>
      </c>
      <c r="W640">
        <f t="shared" ca="1" si="167"/>
        <v>28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newData">
                <anchor moveWithCells="1">
                  <from>
                    <xdr:col>17</xdr:col>
                    <xdr:colOff>209550</xdr:colOff>
                    <xdr:row>9</xdr:row>
                    <xdr:rowOff>109538</xdr:rowOff>
                  </from>
                  <to>
                    <xdr:col>17</xdr:col>
                    <xdr:colOff>628650</xdr:colOff>
                    <xdr:row>10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78229-1B9B-4CFA-8F40-1E1974ABB71B}">
  <sheetPr codeName="Sheet3"/>
  <dimension ref="A1:P640"/>
  <sheetViews>
    <sheetView topLeftCell="C1" workbookViewId="0">
      <pane ySplit="1" topLeftCell="A2" activePane="bottomLeft" state="frozen"/>
      <selection pane="bottomLeft" activeCell="F5" sqref="F5"/>
    </sheetView>
  </sheetViews>
  <sheetFormatPr defaultRowHeight="17.649999999999999"/>
  <cols>
    <col min="1" max="1" width="20.9375" bestFit="1" customWidth="1"/>
    <col min="2" max="2" width="20.0625" bestFit="1" customWidth="1"/>
    <col min="3" max="3" width="29.125" bestFit="1" customWidth="1"/>
    <col min="4" max="4" width="30.25" bestFit="1" customWidth="1"/>
    <col min="5" max="5" width="16.625" bestFit="1" customWidth="1"/>
    <col min="6" max="8" width="21.125" bestFit="1" customWidth="1"/>
    <col min="9" max="9" width="28.5625" bestFit="1" customWidth="1"/>
    <col min="10" max="10" width="50.5625" bestFit="1" customWidth="1"/>
    <col min="11" max="11" width="18.4375" bestFit="1" customWidth="1"/>
    <col min="12" max="12" width="21.125" bestFit="1" customWidth="1"/>
    <col min="13" max="13" width="13.25" bestFit="1" customWidth="1"/>
    <col min="14" max="14" width="22.5625" bestFit="1" customWidth="1"/>
    <col min="15" max="15" width="12.1875" bestFit="1" customWidth="1"/>
    <col min="16" max="16" width="7.5625" bestFit="1" customWidth="1"/>
  </cols>
  <sheetData>
    <row r="1" spans="1:16" s="7" customFormat="1">
      <c r="A1" s="7" t="s">
        <v>130</v>
      </c>
      <c r="B1" s="7" t="s">
        <v>131</v>
      </c>
      <c r="C1" s="7" t="s">
        <v>132</v>
      </c>
      <c r="D1" s="8" t="s">
        <v>1517</v>
      </c>
      <c r="E1" s="7" t="s">
        <v>134</v>
      </c>
      <c r="F1" s="7" t="s">
        <v>152</v>
      </c>
      <c r="G1" s="7" t="s">
        <v>141</v>
      </c>
      <c r="H1" s="7" t="s">
        <v>143</v>
      </c>
      <c r="I1" s="9" t="s">
        <v>126</v>
      </c>
      <c r="J1" s="9" t="s">
        <v>128</v>
      </c>
      <c r="K1" s="9" t="s">
        <v>139</v>
      </c>
      <c r="L1" s="9" t="s">
        <v>147</v>
      </c>
      <c r="M1" s="9" t="s">
        <v>146</v>
      </c>
      <c r="N1" s="7" t="s">
        <v>149</v>
      </c>
      <c r="O1" s="7" t="s">
        <v>150</v>
      </c>
      <c r="P1" s="7" t="s">
        <v>154</v>
      </c>
    </row>
    <row r="2" spans="1:16">
      <c r="A2" t="str" cm="1">
        <f t="array" aca="1" ref="A2" ca="1">CONCATENATE(INDIRECT(ADDRESS(1,1,1,0,"KeySet"),0),":","""",valueMaker!A2,"""")</f>
        <v>kainBangou:"TD10001"</v>
      </c>
      <c r="B2" t="str" cm="1">
        <f t="array" aca="1" ref="B2" ca="1">CONCATENATE(INDIRECT(ADDRESS(1,2,1,0,"KeySet"),0),":","""",valueMaker!B2,"""")</f>
        <v>kainMeiKanji:"胡狂帆"</v>
      </c>
      <c r="C2" t="str" cm="1">
        <f t="array" aca="1" ref="C2" ca="1">CONCATENATE(INDIRECT(ADDRESS(1,3,1,0,"KeySet"),0),":","""",valueMaker!C2,"""")</f>
        <v>kainMeiKana:"ﾎｩ ｸﾜｰﾝ ﾌｧﾝ"</v>
      </c>
      <c r="D2" t="str" cm="1">
        <f t="array" aca="1" ref="D2" ca="1">CONCATENATE(INDIRECT(ADDRESS(1,4,1,0,"KeySet"),0),":","""",valueMaker!D2,"""")</f>
        <v>kainMeiEn:"Hu Kuang Fan"</v>
      </c>
      <c r="E2" t="str" cm="1">
        <f t="array" aca="1" ref="E2" ca="1">CONCATENATE(INDIRECT(ADDRESS(1,5,1,0,"KeySet"),0),":","""",valueMaker!E2,"""")</f>
        <v>kainGender:"男性"</v>
      </c>
      <c r="F2" t="str" cm="1">
        <f t="array" aca="1" ref="F2" ca="1">CONCATENATE(INDIRECT(ADDRESS(1,6,1,0,"KeySet"),0),":","""",TEXT(valueMaker!F2,"yyyy/m/d"),"""")</f>
        <v>tanjyoubi:"1996/10/29"</v>
      </c>
      <c r="G2" t="str" cm="1">
        <f t="array" aca="1" ref="G2" ca="1">CONCATENATE(INDIRECT(ADDRESS(1,6,1,0,"KeySet"),0),":","""",TEXT(valueMaker!G2,"yyyy/m/d"),"""")</f>
        <v>tanjyoubi:"2019/11/18"</v>
      </c>
      <c r="H2" t="str" cm="1">
        <f t="array" aca="1" ref="H2" ca="1">CONCATENATE(INDIRECT(ADDRESS(1,6,1,0,"KeySet"),0),":","""",TEXT(valueMaker!H2,"yyyy/m/d"),"""")</f>
        <v>tanjyoubi:"2020/11/17"</v>
      </c>
      <c r="I2" t="str" cm="1">
        <f t="array" aca="1" ref="I2" ca="1">CONCATENATE(INDIRECT(ADDRESS(1,9,1,0,"KeySet"),0),":","""",valueMaker!I2,"""")</f>
        <v>denwaBangou:"080-1036-2144"</v>
      </c>
      <c r="J2" t="str" cm="1">
        <f t="array" aca="1" ref="J2" ca="1">CONCATENATE(INDIRECT(ADDRESS(1,10,1,0,"KeySet"),0),":","""",valueMaker!J2,"""")</f>
        <v>mailAddress:"Hu_Kuang_Fan_43787@outlook.jp.co"</v>
      </c>
      <c r="K2" t="str" cm="1">
        <f t="array" aca="1" ref="K2" ca="1">CONCATENATE(INDIRECT(ADDRESS(1,11,1,0,"KeySet"),0),":","""",valueMaker!K2,"""")</f>
        <v>kaninSyubetu:"高級"</v>
      </c>
      <c r="L2" t="str" cm="1">
        <f t="array" aca="1" ref="L2" ca="1">CONCATENATE(INDIRECT(ADDRESS(1,12,1,0,"KeySet"),0),":","""",valueMaker!L2,"""")</f>
        <v>kaninKengenWB:"有り"</v>
      </c>
      <c r="M2" t="str" cm="1">
        <f t="array" aca="1" ref="M2" ca="1">CONCATENATE(INDIRECT(ADDRESS(1,13,1,0,"KeySet"),0),":","""",valueMaker!M2,"""")</f>
        <v>wakibiri:"10%"</v>
      </c>
      <c r="N2" t="str" cm="1">
        <f t="array" aca="1" ref="N2" ca="1">CONCATENATE(INDIRECT(ADDRESS(1,14,1,0,"KeySet"),0),":","""",valueMaker!N2,"""")</f>
        <v>kaninKengenPoint:"有り"</v>
      </c>
      <c r="O2" t="str" cm="1">
        <f t="array" aca="1" ref="O2" ca="1">CONCATENATE(INDIRECT(ADDRESS(1,15,1,0,"KeySet"),0),":","""",valueMaker!O2,"""")</f>
        <v>point:"787"</v>
      </c>
      <c r="P2" t="str" cm="1">
        <f t="array" aca="1" ref="P2" ca="1">CONCATENATE(INDIRECT(ADDRESS(1,16,1,0,"KeySet"),0),":","""",valueMaker!P2,"""")</f>
        <v>bikou:""</v>
      </c>
    </row>
    <row r="3" spans="1:16">
      <c r="A3" t="str" cm="1">
        <f t="array" aca="1" ref="A3" ca="1">CONCATENATE(INDIRECT(ADDRESS(1,1,1,0,"KeySet"),0),":","""",valueMaker!A3,"""")</f>
        <v>kainBangou:"TD10002"</v>
      </c>
      <c r="B3" t="str" cm="1">
        <f t="array" aca="1" ref="B3" ca="1">CONCATENATE(INDIRECT(ADDRESS(1,2,1,0,"KeySet"),0),":","""",valueMaker!B3,"""")</f>
        <v>kainMeiKanji:"高藍尚"</v>
      </c>
      <c r="C3" t="str" cm="1">
        <f t="array" aca="1" ref="C3" ca="1">CONCATENATE(INDIRECT(ADDRESS(1,3,1,0,"KeySet"),0),":","""",valueMaker!C3,"""")</f>
        <v>kainMeiKana:"ｶﾞｵ ﾗﾝ ｼｬｰﾝ"</v>
      </c>
      <c r="D3" t="str" cm="1">
        <f t="array" aca="1" ref="D3" ca="1">CONCATENATE(INDIRECT(ADDRESS(1,4,1,0,"KeySet"),0),":","""",valueMaker!D3,"""")</f>
        <v>kainMeiEn:"Gao Lan Shang"</v>
      </c>
      <c r="E3" t="str" cm="1">
        <f t="array" aca="1" ref="E3" ca="1">CONCATENATE(INDIRECT(ADDRESS(1,5,1,0,"KeySet"),0),":","""",valueMaker!E3,"""")</f>
        <v>kainGender:"女性"</v>
      </c>
      <c r="F3" t="str" cm="1">
        <f t="array" aca="1" ref="F3" ca="1">CONCATENATE(INDIRECT(ADDRESS(1,6,1,0,"KeySet"),0),":","""",TEXT(valueMaker!F3,"yyyy/m/d"),"""")</f>
        <v>tanjyoubi:"1962/1/17"</v>
      </c>
      <c r="G3" t="str" cm="1">
        <f t="array" aca="1" ref="G3" ca="1">CONCATENATE(INDIRECT(ADDRESS(1,6,1,0,"KeySet"),0),":","""",TEXT(valueMaker!G3,"yyyy/m/d"),"""")</f>
        <v>tanjyoubi:"2022/8/4"</v>
      </c>
      <c r="H3" t="str" cm="1">
        <f t="array" aca="1" ref="H3" ca="1">CONCATENATE(INDIRECT(ADDRESS(1,6,1,0,"KeySet"),0),":","""",TEXT(valueMaker!H3,"yyyy/m/d"),"""")</f>
        <v>tanjyoubi:"2025/8/3"</v>
      </c>
      <c r="I3" t="str" cm="1">
        <f t="array" aca="1" ref="I3" ca="1">CONCATENATE(INDIRECT(ADDRESS(1,9,1,0,"KeySet"),0),":","""",valueMaker!I3,"""")</f>
        <v>denwaBangou:"080-1705-7741"</v>
      </c>
      <c r="J3" t="str" cm="1">
        <f t="array" aca="1" ref="J3" ca="1">CONCATENATE(INDIRECT(ADDRESS(1,10,1,0,"KeySet"),0),":","""",valueMaker!J3,"""")</f>
        <v>mailAddress:"Gao_Lan_Shang_44777@outlook.jp.co"</v>
      </c>
      <c r="K3" t="str" cm="1">
        <f t="array" aca="1" ref="K3" ca="1">CONCATENATE(INDIRECT(ADDRESS(1,11,1,0,"KeySet"),0),":","""",valueMaker!K3,"""")</f>
        <v>kaninSyubetu:"普通"</v>
      </c>
      <c r="L3" t="str" cm="1">
        <f t="array" aca="1" ref="L3" ca="1">CONCATENATE(INDIRECT(ADDRESS(1,12,1,0,"KeySet"),0),":","""",valueMaker!L3,"""")</f>
        <v>kaninKengenWB:"有り"</v>
      </c>
      <c r="M3" t="str" cm="1">
        <f t="array" aca="1" ref="M3" ca="1">CONCATENATE(INDIRECT(ADDRESS(1,13,1,0,"KeySet"),0),":","""",valueMaker!M3,"""")</f>
        <v>wakibiri:"5%"</v>
      </c>
      <c r="N3" t="str" cm="1">
        <f t="array" aca="1" ref="N3" ca="1">CONCATENATE(INDIRECT(ADDRESS(1,14,1,0,"KeySet"),0),":","""",valueMaker!N3,"""")</f>
        <v>kaninKengenPoint:"有り"</v>
      </c>
      <c r="O3" t="str" cm="1">
        <f t="array" aca="1" ref="O3" ca="1">CONCATENATE(INDIRECT(ADDRESS(1,15,1,0,"KeySet"),0),":","""",valueMaker!O3,"""")</f>
        <v>point:"727"</v>
      </c>
      <c r="P3" t="str" cm="1">
        <f t="array" aca="1" ref="P3" ca="1">CONCATENATE(INDIRECT(ADDRESS(1,16,1,0,"KeySet"),0),":","""",valueMaker!P3,"""")</f>
        <v>bikou:""</v>
      </c>
    </row>
    <row r="4" spans="1:16">
      <c r="A4" t="str" cm="1">
        <f t="array" aca="1" ref="A4" ca="1">CONCATENATE(INDIRECT(ADDRESS(1,1,1,0,"KeySet"),0),":","""",valueMaker!A4,"""")</f>
        <v>kainBangou:"TD10003"</v>
      </c>
      <c r="B4" t="str" cm="1">
        <f t="array" aca="1" ref="B4" ca="1">CONCATENATE(INDIRECT(ADDRESS(1,2,1,0,"KeySet"),0),":","""",valueMaker!B4,"""")</f>
        <v>kainMeiKanji:"張衷閒"</v>
      </c>
      <c r="C4" t="str" cm="1">
        <f t="array" aca="1" ref="C4" ca="1">CONCATENATE(INDIRECT(ADDRESS(1,3,1,0,"KeySet"),0),":","""",valueMaker!C4,"""")</f>
        <v>kainMeiKana:"ｼﾞｬｰﾝ ｼﾞｮｰﾝ ｼｴﾝ"</v>
      </c>
      <c r="D4" t="str" cm="1">
        <f t="array" aca="1" ref="D4" ca="1">CONCATENATE(INDIRECT(ADDRESS(1,4,1,0,"KeySet"),0),":","""",valueMaker!D4,"""")</f>
        <v>kainMeiEn:"Zhang Zhong Xian"</v>
      </c>
      <c r="E4" t="str" cm="1">
        <f t="array" aca="1" ref="E4" ca="1">CONCATENATE(INDIRECT(ADDRESS(1,5,1,0,"KeySet"),0),":","""",valueMaker!E4,"""")</f>
        <v>kainGender:"女性"</v>
      </c>
      <c r="F4" t="str" cm="1">
        <f t="array" aca="1" ref="F4" ca="1">CONCATENATE(INDIRECT(ADDRESS(1,6,1,0,"KeySet"),0),":","""",TEXT(valueMaker!F4,"yyyy/m/d"),"""")</f>
        <v>tanjyoubi:"1970/1/2"</v>
      </c>
      <c r="G4" t="str" cm="1">
        <f t="array" aca="1" ref="G4" ca="1">CONCATENATE(INDIRECT(ADDRESS(1,6,1,0,"KeySet"),0),":","""",TEXT(valueMaker!G4,"yyyy/m/d"),"""")</f>
        <v>tanjyoubi:"2009/12/1"</v>
      </c>
      <c r="H4" t="str" cm="1">
        <f t="array" aca="1" ref="H4" ca="1">CONCATENATE(INDIRECT(ADDRESS(1,6,1,0,"KeySet"),0),":","""",TEXT(valueMaker!H4,"yyyy/m/d"),"""")</f>
        <v>tanjyoubi:"2012/11/30"</v>
      </c>
      <c r="I4" t="str" cm="1">
        <f t="array" aca="1" ref="I4" ca="1">CONCATENATE(INDIRECT(ADDRESS(1,9,1,0,"KeySet"),0),":","""",valueMaker!I4,"""")</f>
        <v>denwaBangou:"090-5030-9658"</v>
      </c>
      <c r="J4" t="str" cm="1">
        <f t="array" aca="1" ref="J4" ca="1">CONCATENATE(INDIRECT(ADDRESS(1,10,1,0,"KeySet"),0),":","""",valueMaker!J4,"""")</f>
        <v>mailAddress:"Zhang_Zhong_Xian_40148@outlook.jp.co"</v>
      </c>
      <c r="K4" t="str" cm="1">
        <f t="array" aca="1" ref="K4" ca="1">CONCATENATE(INDIRECT(ADDRESS(1,11,1,0,"KeySet"),0),":","""",valueMaker!K4,"""")</f>
        <v>kaninSyubetu:"普通"</v>
      </c>
      <c r="L4" t="str" cm="1">
        <f t="array" aca="1" ref="L4" ca="1">CONCATENATE(INDIRECT(ADDRESS(1,12,1,0,"KeySet"),0),":","""",valueMaker!L4,"""")</f>
        <v>kaninKengenWB:"-"</v>
      </c>
      <c r="M4" t="str" cm="1">
        <f t="array" aca="1" ref="M4" ca="1">CONCATENATE(INDIRECT(ADDRESS(1,13,1,0,"KeySet"),0),":","""",valueMaker!M4,"""")</f>
        <v>wakibiri:"-"</v>
      </c>
      <c r="N4" t="str" cm="1">
        <f t="array" aca="1" ref="N4" ca="1">CONCATENATE(INDIRECT(ADDRESS(1,14,1,0,"KeySet"),0),":","""",valueMaker!N4,"""")</f>
        <v>kaninKengenPoint:"有り"</v>
      </c>
      <c r="O4" t="str" cm="1">
        <f t="array" aca="1" ref="O4" ca="1">CONCATENATE(INDIRECT(ADDRESS(1,15,1,0,"KeySet"),0),":","""",valueMaker!O4,"""")</f>
        <v>point:"732"</v>
      </c>
      <c r="P4" t="str" cm="1">
        <f t="array" aca="1" ref="P4" ca="1">CONCATENATE(INDIRECT(ADDRESS(1,16,1,0,"KeySet"),0),":","""",valueMaker!P4,"""")</f>
        <v>bikou:""</v>
      </c>
    </row>
    <row r="5" spans="1:16">
      <c r="A5" t="str" cm="1">
        <f t="array" aca="1" ref="A5" ca="1">CONCATENATE(INDIRECT(ADDRESS(1,1,1,0,"KeySet"),0),":","""",valueMaker!A5,"""")</f>
        <v>kainBangou:"TD10004"</v>
      </c>
      <c r="B5" t="str" cm="1">
        <f t="array" aca="1" ref="B5" ca="1">CONCATENATE(INDIRECT(ADDRESS(1,2,1,0,"KeySet"),0),":","""",valueMaker!B5,"""")</f>
        <v>kainMeiKanji:"王濤松"</v>
      </c>
      <c r="C5" t="str" cm="1">
        <f t="array" aca="1" ref="C5" ca="1">CONCATENATE(INDIRECT(ADDRESS(1,3,1,0,"KeySet"),0),":","""",valueMaker!C5,"""")</f>
        <v>kainMeiKana:"ﾜｰﾝ ﾀｵ ｿｰﾝ"</v>
      </c>
      <c r="D5" t="str" cm="1">
        <f t="array" aca="1" ref="D5" ca="1">CONCATENATE(INDIRECT(ADDRESS(1,4,1,0,"KeySet"),0),":","""",valueMaker!D5,"""")</f>
        <v>kainMeiEn:"Wang Tao Song"</v>
      </c>
      <c r="E5" t="str" cm="1">
        <f t="array" aca="1" ref="E5" ca="1">CONCATENATE(INDIRECT(ADDRESS(1,5,1,0,"KeySet"),0),":","""",valueMaker!E5,"""")</f>
        <v>kainGender:"女性"</v>
      </c>
      <c r="F5" t="str" cm="1">
        <f t="array" aca="1" ref="F5" ca="1">CONCATENATE(INDIRECT(ADDRESS(1,6,1,0,"KeySet"),0),":","""",TEXT(valueMaker!F5,"yyyy/m/d"),"""")</f>
        <v>tanjyoubi:"1965/12/10"</v>
      </c>
      <c r="G5" t="str" cm="1">
        <f t="array" aca="1" ref="G5" ca="1">CONCATENATE(INDIRECT(ADDRESS(1,6,1,0,"KeySet"),0),":","""",TEXT(valueMaker!G5,"yyyy/m/d"),"""")</f>
        <v>tanjyoubi:"2015/7/16"</v>
      </c>
      <c r="H5" t="str" cm="1">
        <f t="array" aca="1" ref="H5" ca="1">CONCATENATE(INDIRECT(ADDRESS(1,6,1,0,"KeySet"),0),":","""",TEXT(valueMaker!H5,"yyyy/m/d"),"""")</f>
        <v>tanjyoubi:"2018/7/15"</v>
      </c>
      <c r="I5" t="str" cm="1">
        <f t="array" aca="1" ref="I5" ca="1">CONCATENATE(INDIRECT(ADDRESS(1,9,1,0,"KeySet"),0),":","""",valueMaker!I5,"""")</f>
        <v>denwaBangou:"080-2393-0087"</v>
      </c>
      <c r="J5" t="str" cm="1">
        <f t="array" aca="1" ref="J5" ca="1">CONCATENATE(INDIRECT(ADDRESS(1,10,1,0,"KeySet"),0),":","""",valueMaker!J5,"""")</f>
        <v>mailAddress:"Wang_Tao_Song_42201@outlook.jp.co"</v>
      </c>
      <c r="K5" t="str" cm="1">
        <f t="array" aca="1" ref="K5" ca="1">CONCATENATE(INDIRECT(ADDRESS(1,11,1,0,"KeySet"),0),":","""",valueMaker!K5,"""")</f>
        <v>kaninSyubetu:"高級"</v>
      </c>
      <c r="L5" t="str" cm="1">
        <f t="array" aca="1" ref="L5" ca="1">CONCATENATE(INDIRECT(ADDRESS(1,12,1,0,"KeySet"),0),":","""",valueMaker!L5,"""")</f>
        <v>kaninKengenWB:"有り"</v>
      </c>
      <c r="M5" t="str" cm="1">
        <f t="array" aca="1" ref="M5" ca="1">CONCATENATE(INDIRECT(ADDRESS(1,13,1,0,"KeySet"),0),":","""",valueMaker!M5,"""")</f>
        <v>wakibiri:"10%"</v>
      </c>
      <c r="N5" t="str" cm="1">
        <f t="array" aca="1" ref="N5" ca="1">CONCATENATE(INDIRECT(ADDRESS(1,14,1,0,"KeySet"),0),":","""",valueMaker!N5,"""")</f>
        <v>kaninKengenPoint:"-"</v>
      </c>
      <c r="O5" t="str" cm="1">
        <f t="array" aca="1" ref="O5" ca="1">CONCATENATE(INDIRECT(ADDRESS(1,15,1,0,"KeySet"),0),":","""",valueMaker!O5,"""")</f>
        <v>point:"-"</v>
      </c>
      <c r="P5" t="str" cm="1">
        <f t="array" aca="1" ref="P5" ca="1">CONCATENATE(INDIRECT(ADDRESS(1,16,1,0,"KeySet"),0),":","""",valueMaker!P5,"""")</f>
        <v>bikou:""</v>
      </c>
    </row>
    <row r="6" spans="1:16">
      <c r="A6" t="str" cm="1">
        <f t="array" aca="1" ref="A6" ca="1">CONCATENATE(INDIRECT(ADDRESS(1,1,1,0,"KeySet"),0),":","""",valueMaker!A6,"""")</f>
        <v>kainBangou:"TD10005"</v>
      </c>
      <c r="B6" t="str" cm="1">
        <f t="array" aca="1" ref="B6" ca="1">CONCATENATE(INDIRECT(ADDRESS(1,2,1,0,"KeySet"),0),":","""",valueMaker!B6,"""")</f>
        <v>kainMeiKanji:"謝碧漢"</v>
      </c>
      <c r="C6" t="str" cm="1">
        <f t="array" aca="1" ref="C6" ca="1">CONCATENATE(INDIRECT(ADDRESS(1,3,1,0,"KeySet"),0),":","""",valueMaker!C6,"""")</f>
        <v>kainMeiKana:"ｼｴ ﾋﾞｰ ﾊﾝ"</v>
      </c>
      <c r="D6" t="str" cm="1">
        <f t="array" aca="1" ref="D6" ca="1">CONCATENATE(INDIRECT(ADDRESS(1,4,1,0,"KeySet"),0),":","""",valueMaker!D6,"""")</f>
        <v>kainMeiEn:"Xie Bi Han"</v>
      </c>
      <c r="E6" t="str" cm="1">
        <f t="array" aca="1" ref="E6" ca="1">CONCATENATE(INDIRECT(ADDRESS(1,5,1,0,"KeySet"),0),":","""",valueMaker!E6,"""")</f>
        <v>kainGender:"男性"</v>
      </c>
      <c r="F6" t="str" cm="1">
        <f t="array" aca="1" ref="F6" ca="1">CONCATENATE(INDIRECT(ADDRESS(1,6,1,0,"KeySet"),0),":","""",TEXT(valueMaker!F6,"yyyy/m/d"),"""")</f>
        <v>tanjyoubi:"1964/11/23"</v>
      </c>
      <c r="G6" t="str" cm="1">
        <f t="array" aca="1" ref="G6" ca="1">CONCATENATE(INDIRECT(ADDRESS(1,6,1,0,"KeySet"),0),":","""",TEXT(valueMaker!G6,"yyyy/m/d"),"""")</f>
        <v>tanjyoubi:"1985/8/7"</v>
      </c>
      <c r="H6" t="str" cm="1">
        <f t="array" aca="1" ref="H6" ca="1">CONCATENATE(INDIRECT(ADDRESS(1,6,1,0,"KeySet"),0),":","""",TEXT(valueMaker!H6,"yyyy/m/d"),"""")</f>
        <v>tanjyoubi:"1987/8/7"</v>
      </c>
      <c r="I6" t="str" cm="1">
        <f t="array" aca="1" ref="I6" ca="1">CONCATENATE(INDIRECT(ADDRESS(1,9,1,0,"KeySet"),0),":","""",valueMaker!I6,"""")</f>
        <v>denwaBangou:"090-7753-4275"</v>
      </c>
      <c r="J6" t="str" cm="1">
        <f t="array" aca="1" ref="J6" ca="1">CONCATENATE(INDIRECT(ADDRESS(1,10,1,0,"KeySet"),0),":","""",valueMaker!J6,"""")</f>
        <v>mailAddress:"Xie_Bi_Han_31266@outlook.jp.co"</v>
      </c>
      <c r="K6" t="str" cm="1">
        <f t="array" aca="1" ref="K6" ca="1">CONCATENATE(INDIRECT(ADDRESS(1,11,1,0,"KeySet"),0),":","""",valueMaker!K6,"""")</f>
        <v>kaninSyubetu:"普通"</v>
      </c>
      <c r="L6" t="str" cm="1">
        <f t="array" aca="1" ref="L6" ca="1">CONCATENATE(INDIRECT(ADDRESS(1,12,1,0,"KeySet"),0),":","""",valueMaker!L6,"""")</f>
        <v>kaninKengenWB:"-"</v>
      </c>
      <c r="M6" t="str" cm="1">
        <f t="array" aca="1" ref="M6" ca="1">CONCATENATE(INDIRECT(ADDRESS(1,13,1,0,"KeySet"),0),":","""",valueMaker!M6,"""")</f>
        <v>wakibiri:"-"</v>
      </c>
      <c r="N6" t="str" cm="1">
        <f t="array" aca="1" ref="N6" ca="1">CONCATENATE(INDIRECT(ADDRESS(1,14,1,0,"KeySet"),0),":","""",valueMaker!N6,"""")</f>
        <v>kaninKengenPoint:"有り"</v>
      </c>
      <c r="O6" t="str" cm="1">
        <f t="array" aca="1" ref="O6" ca="1">CONCATENATE(INDIRECT(ADDRESS(1,15,1,0,"KeySet"),0),":","""",valueMaker!O6,"""")</f>
        <v>point:"442"</v>
      </c>
      <c r="P6" t="str" cm="1">
        <f t="array" aca="1" ref="P6" ca="1">CONCATENATE(INDIRECT(ADDRESS(1,16,1,0,"KeySet"),0),":","""",valueMaker!P6,"""")</f>
        <v>bikou:""</v>
      </c>
    </row>
    <row r="7" spans="1:16">
      <c r="A7" t="str" cm="1">
        <f t="array" aca="1" ref="A7" ca="1">CONCATENATE(INDIRECT(ADDRESS(1,1,1,0,"KeySet"),0),":","""",valueMaker!A7,"""")</f>
        <v>kainBangou:"TD10006"</v>
      </c>
      <c r="B7" t="str" cm="1">
        <f t="array" aca="1" ref="B7" ca="1">CONCATENATE(INDIRECT(ADDRESS(1,2,1,0,"KeySet"),0),":","""",valueMaker!B7,"""")</f>
        <v>kainMeiKanji:"周聰碩"</v>
      </c>
      <c r="C7" t="str" cm="1">
        <f t="array" aca="1" ref="C7" ca="1">CONCATENATE(INDIRECT(ADDRESS(1,3,1,0,"KeySet"),0),":","""",valueMaker!C7,"""")</f>
        <v>kainMeiKana:"ｼﾞｮｳ ｯｵｰﾝ ｼｭｵ"</v>
      </c>
      <c r="D7" t="str" cm="1">
        <f t="array" aca="1" ref="D7" ca="1">CONCATENATE(INDIRECT(ADDRESS(1,4,1,0,"KeySet"),0),":","""",valueMaker!D7,"""")</f>
        <v>kainMeiEn:"Zhou Cong Shuo"</v>
      </c>
      <c r="E7" t="str" cm="1">
        <f t="array" aca="1" ref="E7" ca="1">CONCATENATE(INDIRECT(ADDRESS(1,5,1,0,"KeySet"),0),":","""",valueMaker!E7,"""")</f>
        <v>kainGender:"女性"</v>
      </c>
      <c r="F7" t="str" cm="1">
        <f t="array" aca="1" ref="F7" ca="1">CONCATENATE(INDIRECT(ADDRESS(1,6,1,0,"KeySet"),0),":","""",TEXT(valueMaker!F7,"yyyy/m/d"),"""")</f>
        <v>tanjyoubi:"1966/7/14"</v>
      </c>
      <c r="G7" t="str" cm="1">
        <f t="array" aca="1" ref="G7" ca="1">CONCATENATE(INDIRECT(ADDRESS(1,6,1,0,"KeySet"),0),":","""",TEXT(valueMaker!G7,"yyyy/m/d"),"""")</f>
        <v>tanjyoubi:"2001/3/11"</v>
      </c>
      <c r="H7" t="str" cm="1">
        <f t="array" aca="1" ref="H7" ca="1">CONCATENATE(INDIRECT(ADDRESS(1,6,1,0,"KeySet"),0),":","""",TEXT(valueMaker!H7,"yyyy/m/d"),"""")</f>
        <v>tanjyoubi:"2003/3/11"</v>
      </c>
      <c r="I7" t="str" cm="1">
        <f t="array" aca="1" ref="I7" ca="1">CONCATENATE(INDIRECT(ADDRESS(1,9,1,0,"KeySet"),0),":","""",valueMaker!I7,"""")</f>
        <v>denwaBangou:"090-3767-9553"</v>
      </c>
      <c r="J7" t="str" cm="1">
        <f t="array" aca="1" ref="J7" ca="1">CONCATENATE(INDIRECT(ADDRESS(1,10,1,0,"KeySet"),0),":","""",valueMaker!J7,"""")</f>
        <v>mailAddress:"Zhou_Cong_Shuo_36961@outlook.jp.co"</v>
      </c>
      <c r="K7" t="str" cm="1">
        <f t="array" aca="1" ref="K7" ca="1">CONCATENATE(INDIRECT(ADDRESS(1,11,1,0,"KeySet"),0),":","""",valueMaker!K7,"""")</f>
        <v>kaninSyubetu:"普通"</v>
      </c>
      <c r="L7" t="str" cm="1">
        <f t="array" aca="1" ref="L7" ca="1">CONCATENATE(INDIRECT(ADDRESS(1,12,1,0,"KeySet"),0),":","""",valueMaker!L7,"""")</f>
        <v>kaninKengenWB:"-"</v>
      </c>
      <c r="M7" t="str" cm="1">
        <f t="array" aca="1" ref="M7" ca="1">CONCATENATE(INDIRECT(ADDRESS(1,13,1,0,"KeySet"),0),":","""",valueMaker!M7,"""")</f>
        <v>wakibiri:"-"</v>
      </c>
      <c r="N7" t="str" cm="1">
        <f t="array" aca="1" ref="N7" ca="1">CONCATENATE(INDIRECT(ADDRESS(1,14,1,0,"KeySet"),0),":","""",valueMaker!N7,"""")</f>
        <v>kaninKengenPoint:"有り"</v>
      </c>
      <c r="O7" t="str" cm="1">
        <f t="array" aca="1" ref="O7" ca="1">CONCATENATE(INDIRECT(ADDRESS(1,15,1,0,"KeySet"),0),":","""",valueMaker!O7,"""")</f>
        <v>point:"276"</v>
      </c>
      <c r="P7" t="str" cm="1">
        <f t="array" aca="1" ref="P7" ca="1">CONCATENATE(INDIRECT(ADDRESS(1,16,1,0,"KeySet"),0),":","""",valueMaker!P7,"""")</f>
        <v>bikou:""</v>
      </c>
    </row>
    <row r="8" spans="1:16">
      <c r="A8" t="str" cm="1">
        <f t="array" aca="1" ref="A8" ca="1">CONCATENATE(INDIRECT(ADDRESS(1,1,1,0,"KeySet"),0),":","""",valueMaker!A8,"""")</f>
        <v>kainBangou:"TD10007"</v>
      </c>
      <c r="B8" t="str" cm="1">
        <f t="array" aca="1" ref="B8" ca="1">CONCATENATE(INDIRECT(ADDRESS(1,2,1,0,"KeySet"),0),":","""",valueMaker!B8,"""")</f>
        <v>kainMeiKanji:"陳珍麥"</v>
      </c>
      <c r="C8" t="str" cm="1">
        <f t="array" aca="1" ref="C8" ca="1">CONCATENATE(INDIRECT(ADDRESS(1,3,1,0,"KeySet"),0),":","""",valueMaker!C8,"""")</f>
        <v>kainMeiKana:"ﾁｪﾝ ｼﾞｪﾝ ﾏｲ"</v>
      </c>
      <c r="D8" t="str" cm="1">
        <f t="array" aca="1" ref="D8" ca="1">CONCATENATE(INDIRECT(ADDRESS(1,4,1,0,"KeySet"),0),":","""",valueMaker!D8,"""")</f>
        <v>kainMeiEn:"Chen Zhen Mai"</v>
      </c>
      <c r="E8" t="str" cm="1">
        <f t="array" aca="1" ref="E8" ca="1">CONCATENATE(INDIRECT(ADDRESS(1,5,1,0,"KeySet"),0),":","""",valueMaker!E8,"""")</f>
        <v>kainGender:"男性"</v>
      </c>
      <c r="F8" t="str" cm="1">
        <f t="array" aca="1" ref="F8" ca="1">CONCATENATE(INDIRECT(ADDRESS(1,6,1,0,"KeySet"),0),":","""",TEXT(valueMaker!F8,"yyyy/m/d"),"""")</f>
        <v>tanjyoubi:"2004/2/8"</v>
      </c>
      <c r="G8" t="str" cm="1">
        <f t="array" aca="1" ref="G8" ca="1">CONCATENATE(INDIRECT(ADDRESS(1,6,1,0,"KeySet"),0),":","""",TEXT(valueMaker!G8,"yyyy/m/d"),"""")</f>
        <v>tanjyoubi:"2023/12/18"</v>
      </c>
      <c r="H8" t="str" cm="1">
        <f t="array" aca="1" ref="H8" ca="1">CONCATENATE(INDIRECT(ADDRESS(1,6,1,0,"KeySet"),0),":","""",TEXT(valueMaker!H8,"yyyy/m/d"),"""")</f>
        <v>tanjyoubi:"2025/12/17"</v>
      </c>
      <c r="I8" t="str" cm="1">
        <f t="array" aca="1" ref="I8" ca="1">CONCATENATE(INDIRECT(ADDRESS(1,9,1,0,"KeySet"),0),":","""",valueMaker!I8,"""")</f>
        <v>denwaBangou:"090-3974-0823"</v>
      </c>
      <c r="J8" t="str" cm="1">
        <f t="array" aca="1" ref="J8" ca="1">CONCATENATE(INDIRECT(ADDRESS(1,10,1,0,"KeySet"),0),":","""",valueMaker!J8,"""")</f>
        <v>mailAddress:"Chen_Zhen_Mai_45278@outlook.jp.co"</v>
      </c>
      <c r="K8" t="str" cm="1">
        <f t="array" aca="1" ref="K8" ca="1">CONCATENATE(INDIRECT(ADDRESS(1,11,1,0,"KeySet"),0),":","""",valueMaker!K8,"""")</f>
        <v>kaninSyubetu:"普通"</v>
      </c>
      <c r="L8" t="str" cm="1">
        <f t="array" aca="1" ref="L8" ca="1">CONCATENATE(INDIRECT(ADDRESS(1,12,1,0,"KeySet"),0),":","""",valueMaker!L8,"""")</f>
        <v>kaninKengenWB:"有り"</v>
      </c>
      <c r="M8" t="str" cm="1">
        <f t="array" aca="1" ref="M8" ca="1">CONCATENATE(INDIRECT(ADDRESS(1,13,1,0,"KeySet"),0),":","""",valueMaker!M8,"""")</f>
        <v>wakibiri:"5%"</v>
      </c>
      <c r="N8" t="str" cm="1">
        <f t="array" aca="1" ref="N8" ca="1">CONCATENATE(INDIRECT(ADDRESS(1,14,1,0,"KeySet"),0),":","""",valueMaker!N8,"""")</f>
        <v>kaninKengenPoint:"有り"</v>
      </c>
      <c r="O8" t="str" cm="1">
        <f t="array" aca="1" ref="O8" ca="1">CONCATENATE(INDIRECT(ADDRESS(1,15,1,0,"KeySet"),0),":","""",valueMaker!O8,"""")</f>
        <v>point:"88"</v>
      </c>
      <c r="P8" t="str" cm="1">
        <f t="array" aca="1" ref="P8" ca="1">CONCATENATE(INDIRECT(ADDRESS(1,16,1,0,"KeySet"),0),":","""",valueMaker!P8,"""")</f>
        <v>bikou:""</v>
      </c>
    </row>
    <row r="9" spans="1:16">
      <c r="A9" t="str" cm="1">
        <f t="array" aca="1" ref="A9" ca="1">CONCATENATE(INDIRECT(ADDRESS(1,1,1,0,"KeySet"),0),":","""",valueMaker!A9,"""")</f>
        <v>kainBangou:"TD10008"</v>
      </c>
      <c r="B9" t="str" cm="1">
        <f t="array" aca="1" ref="B9" ca="1">CONCATENATE(INDIRECT(ADDRESS(1,2,1,0,"KeySet"),0),":","""",valueMaker!B9,"""")</f>
        <v>kainMeiKanji:"李藍尚"</v>
      </c>
      <c r="C9" t="str" cm="1">
        <f t="array" aca="1" ref="C9" ca="1">CONCATENATE(INDIRECT(ADDRESS(1,3,1,0,"KeySet"),0),":","""",valueMaker!C9,"""")</f>
        <v>kainMeiKana:"ﾘｰ ﾗﾝ ｼｬｰﾝ"</v>
      </c>
      <c r="D9" t="str" cm="1">
        <f t="array" aca="1" ref="D9" ca="1">CONCATENATE(INDIRECT(ADDRESS(1,4,1,0,"KeySet"),0),":","""",valueMaker!D9,"""")</f>
        <v>kainMeiEn:"Li Lan Shang"</v>
      </c>
      <c r="E9" t="str" cm="1">
        <f t="array" aca="1" ref="E9" ca="1">CONCATENATE(INDIRECT(ADDRESS(1,5,1,0,"KeySet"),0),":","""",valueMaker!E9,"""")</f>
        <v>kainGender:"女性"</v>
      </c>
      <c r="F9" t="str" cm="1">
        <f t="array" aca="1" ref="F9" ca="1">CONCATENATE(INDIRECT(ADDRESS(1,6,1,0,"KeySet"),0),":","""",TEXT(valueMaker!F9,"yyyy/m/d"),"""")</f>
        <v>tanjyoubi:"1996/1/19"</v>
      </c>
      <c r="G9" t="str" cm="1">
        <f t="array" aca="1" ref="G9" ca="1">CONCATENATE(INDIRECT(ADDRESS(1,6,1,0,"KeySet"),0),":","""",TEXT(valueMaker!G9,"yyyy/m/d"),"""")</f>
        <v>tanjyoubi:"2024/5/2"</v>
      </c>
      <c r="H9" t="str" cm="1">
        <f t="array" aca="1" ref="H9" ca="1">CONCATENATE(INDIRECT(ADDRESS(1,6,1,0,"KeySet"),0),":","""",TEXT(valueMaker!H9,"yyyy/m/d"),"""")</f>
        <v>tanjyoubi:"2026/5/2"</v>
      </c>
      <c r="I9" t="str" cm="1">
        <f t="array" aca="1" ref="I9" ca="1">CONCATENATE(INDIRECT(ADDRESS(1,9,1,0,"KeySet"),0),":","""",valueMaker!I9,"""")</f>
        <v>denwaBangou:"090-7108-4724"</v>
      </c>
      <c r="J9" t="str" cm="1">
        <f t="array" aca="1" ref="J9" ca="1">CONCATENATE(INDIRECT(ADDRESS(1,10,1,0,"KeySet"),0),":","""",valueMaker!J9,"""")</f>
        <v>mailAddress:"Li_Lan_Shang_45414@outlook.jp.co"</v>
      </c>
      <c r="K9" t="str" cm="1">
        <f t="array" aca="1" ref="K9" ca="1">CONCATENATE(INDIRECT(ADDRESS(1,11,1,0,"KeySet"),0),":","""",valueMaker!K9,"""")</f>
        <v>kaninSyubetu:"高級"</v>
      </c>
      <c r="L9" t="str" cm="1">
        <f t="array" aca="1" ref="L9" ca="1">CONCATENATE(INDIRECT(ADDRESS(1,12,1,0,"KeySet"),0),":","""",valueMaker!L9,"""")</f>
        <v>kaninKengenWB:"有り"</v>
      </c>
      <c r="M9" t="str" cm="1">
        <f t="array" aca="1" ref="M9" ca="1">CONCATENATE(INDIRECT(ADDRESS(1,13,1,0,"KeySet"),0),":","""",valueMaker!M9,"""")</f>
        <v>wakibiri:"10%"</v>
      </c>
      <c r="N9" t="str" cm="1">
        <f t="array" aca="1" ref="N9" ca="1">CONCATENATE(INDIRECT(ADDRESS(1,14,1,0,"KeySet"),0),":","""",valueMaker!N9,"""")</f>
        <v>kaninKengenPoint:"有り"</v>
      </c>
      <c r="O9" t="str" cm="1">
        <f t="array" aca="1" ref="O9" ca="1">CONCATENATE(INDIRECT(ADDRESS(1,15,1,0,"KeySet"),0),":","""",valueMaker!O9,"""")</f>
        <v>point:"422"</v>
      </c>
      <c r="P9" t="str" cm="1">
        <f t="array" aca="1" ref="P9" ca="1">CONCATENATE(INDIRECT(ADDRESS(1,16,1,0,"KeySet"),0),":","""",valueMaker!P9,"""")</f>
        <v>bikou:""</v>
      </c>
    </row>
    <row r="10" spans="1:16">
      <c r="A10" t="str" cm="1">
        <f t="array" aca="1" ref="A10" ca="1">CONCATENATE(INDIRECT(ADDRESS(1,1,1,0,"KeySet"),0),":","""",valueMaker!A10,"""")</f>
        <v>kainBangou:"TD10009"</v>
      </c>
      <c r="B10" t="str" cm="1">
        <f t="array" aca="1" ref="B10" ca="1">CONCATENATE(INDIRECT(ADDRESS(1,2,1,0,"KeySet"),0),":","""",valueMaker!B10,"""")</f>
        <v>kainMeiKanji:"趙彤存"</v>
      </c>
      <c r="C10" t="str" cm="1">
        <f t="array" aca="1" ref="C10" ca="1">CONCATENATE(INDIRECT(ADDRESS(1,3,1,0,"KeySet"),0),":","""",valueMaker!C10,"""")</f>
        <v>kainMeiKana:"ｼﾞｬｵ ﾄｰﾝ ﾂｩﾝ"</v>
      </c>
      <c r="D10" t="str" cm="1">
        <f t="array" aca="1" ref="D10" ca="1">CONCATENATE(INDIRECT(ADDRESS(1,4,1,0,"KeySet"),0),":","""",valueMaker!D10,"""")</f>
        <v>kainMeiEn:"Zhao Tong Cun"</v>
      </c>
      <c r="E10" t="str" cm="1">
        <f t="array" aca="1" ref="E10" ca="1">CONCATENATE(INDIRECT(ADDRESS(1,5,1,0,"KeySet"),0),":","""",valueMaker!E10,"""")</f>
        <v>kainGender:"男性"</v>
      </c>
      <c r="F10" t="str" cm="1">
        <f t="array" aca="1" ref="F10" ca="1">CONCATENATE(INDIRECT(ADDRESS(1,6,1,0,"KeySet"),0),":","""",TEXT(valueMaker!F10,"yyyy/m/d"),"""")</f>
        <v>tanjyoubi:"1989/2/12"</v>
      </c>
      <c r="G10" t="str" cm="1">
        <f t="array" aca="1" ref="G10" ca="1">CONCATENATE(INDIRECT(ADDRESS(1,6,1,0,"KeySet"),0),":","""",TEXT(valueMaker!G10,"yyyy/m/d"),"""")</f>
        <v>tanjyoubi:"2014/5/15"</v>
      </c>
      <c r="H10" t="str" cm="1">
        <f t="array" aca="1" ref="H10" ca="1">CONCATENATE(INDIRECT(ADDRESS(1,6,1,0,"KeySet"),0),":","""",TEXT(valueMaker!H10,"yyyy/m/d"),"""")</f>
        <v>tanjyoubi:"2016/5/14"</v>
      </c>
      <c r="I10" t="str" cm="1">
        <f t="array" aca="1" ref="I10" ca="1">CONCATENATE(INDIRECT(ADDRESS(1,9,1,0,"KeySet"),0),":","""",valueMaker!I10,"""")</f>
        <v>denwaBangou:"090-5842-0237"</v>
      </c>
      <c r="J10" t="str" cm="1">
        <f t="array" aca="1" ref="J10" ca="1">CONCATENATE(INDIRECT(ADDRESS(1,10,1,0,"KeySet"),0),":","""",valueMaker!J10,"""")</f>
        <v>mailAddress:"Zhao_Tong_Cun_41774@outlook.jp.co"</v>
      </c>
      <c r="K10" t="str" cm="1">
        <f t="array" aca="1" ref="K10" ca="1">CONCATENATE(INDIRECT(ADDRESS(1,11,1,0,"KeySet"),0),":","""",valueMaker!K10,"""")</f>
        <v>kaninSyubetu:"普通"</v>
      </c>
      <c r="L10" t="str" cm="1">
        <f t="array" aca="1" ref="L10" ca="1">CONCATENATE(INDIRECT(ADDRESS(1,12,1,0,"KeySet"),0),":","""",valueMaker!L10,"""")</f>
        <v>kaninKengenWB:"有り"</v>
      </c>
      <c r="M10" t="str" cm="1">
        <f t="array" aca="1" ref="M10" ca="1">CONCATENATE(INDIRECT(ADDRESS(1,13,1,0,"KeySet"),0),":","""",valueMaker!M10,"""")</f>
        <v>wakibiri:"5%"</v>
      </c>
      <c r="N10" t="str" cm="1">
        <f t="array" aca="1" ref="N10" ca="1">CONCATENATE(INDIRECT(ADDRESS(1,14,1,0,"KeySet"),0),":","""",valueMaker!N10,"""")</f>
        <v>kaninKengenPoint:"-"</v>
      </c>
      <c r="O10" t="str" cm="1">
        <f t="array" aca="1" ref="O10" ca="1">CONCATENATE(INDIRECT(ADDRESS(1,15,1,0,"KeySet"),0),":","""",valueMaker!O10,"""")</f>
        <v>point:"-"</v>
      </c>
      <c r="P10" t="str" cm="1">
        <f t="array" aca="1" ref="P10" ca="1">CONCATENATE(INDIRECT(ADDRESS(1,16,1,0,"KeySet"),0),":","""",valueMaker!P10,"""")</f>
        <v>bikou:""</v>
      </c>
    </row>
    <row r="11" spans="1:16">
      <c r="A11" t="str" cm="1">
        <f t="array" aca="1" ref="A11" ca="1">CONCATENATE(INDIRECT(ADDRESS(1,1,1,0,"KeySet"),0),":","""",valueMaker!A11,"""")</f>
        <v>kainBangou:"TD10010"</v>
      </c>
      <c r="B11" t="str" cm="1">
        <f t="array" aca="1" ref="B11" ca="1">CONCATENATE(INDIRECT(ADDRESS(1,2,1,0,"KeySet"),0),":","""",valueMaker!B11,"""")</f>
        <v>kainMeiKanji:"朱都耿"</v>
      </c>
      <c r="C11" t="str" cm="1">
        <f t="array" aca="1" ref="C11" ca="1">CONCATENATE(INDIRECT(ADDRESS(1,3,1,0,"KeySet"),0),":","""",valueMaker!C11,"""")</f>
        <v>kainMeiKana:"ｼﾞｭｳ ﾄﾞｳ ｸﾞｵﾝ"</v>
      </c>
      <c r="D11" t="str" cm="1">
        <f t="array" aca="1" ref="D11" ca="1">CONCATENATE(INDIRECT(ADDRESS(1,4,1,0,"KeySet"),0),":","""",valueMaker!D11,"""")</f>
        <v>kainMeiEn:"Zhu Dou Geng"</v>
      </c>
      <c r="E11" t="str">
        <f>A1</f>
        <v>kainBangou</v>
      </c>
      <c r="F11" t="str" cm="1">
        <f t="array" aca="1" ref="F11" ca="1">CONCATENATE(INDIRECT(ADDRESS(1,6,1,0,"KeySet"),0),":","""",TEXT(valueMaker!F11,"yyyy/m/d"),"""")</f>
        <v>tanjyoubi:"1995/3/13"</v>
      </c>
      <c r="G11" t="str" cm="1">
        <f t="array" aca="1" ref="G11" ca="1">CONCATENATE(INDIRECT(ADDRESS(1,6,1,0,"KeySet"),0),":","""",TEXT(valueMaker!G11,"yyyy/m/d"),"""")</f>
        <v>tanjyoubi:"2013/7/18"</v>
      </c>
      <c r="H11" t="str" cm="1">
        <f t="array" aca="1" ref="H11" ca="1">CONCATENATE(INDIRECT(ADDRESS(1,6,1,0,"KeySet"),0),":","""",TEXT(valueMaker!H11,"yyyy/m/d"),"""")</f>
        <v>tanjyoubi:"2015/7/18"</v>
      </c>
      <c r="I11" t="str" cm="1">
        <f t="array" aca="1" ref="I11" ca="1">CONCATENATE(INDIRECT(ADDRESS(1,9,1,0,"KeySet"),0),":","""",valueMaker!I11,"""")</f>
        <v>denwaBangou:"080-8767-3369"</v>
      </c>
      <c r="J11" t="str" cm="1">
        <f t="array" aca="1" ref="J11" ca="1">CONCATENATE(INDIRECT(ADDRESS(1,10,1,0,"KeySet"),0),":","""",valueMaker!J11,"""")</f>
        <v>mailAddress:"Zhu_Dou Geng_41473@outlook.jp.co"</v>
      </c>
      <c r="K11" t="str" cm="1">
        <f t="array" aca="1" ref="K11" ca="1">CONCATENATE(INDIRECT(ADDRESS(1,11,1,0,"KeySet"),0),":","""",valueMaker!K11,"""")</f>
        <v>kaninSyubetu:"高級"</v>
      </c>
      <c r="L11" t="str" cm="1">
        <f t="array" aca="1" ref="L11" ca="1">CONCATENATE(INDIRECT(ADDRESS(1,12,1,0,"KeySet"),0),":","""",valueMaker!L11,"""")</f>
        <v>kaninKengenWB:"-"</v>
      </c>
      <c r="M11" t="str" cm="1">
        <f t="array" aca="1" ref="M11" ca="1">CONCATENATE(INDIRECT(ADDRESS(1,13,1,0,"KeySet"),0),":","""",valueMaker!M11,"""")</f>
        <v>wakibiri:"-"</v>
      </c>
      <c r="N11" t="str" cm="1">
        <f t="array" aca="1" ref="N11" ca="1">CONCATENATE(INDIRECT(ADDRESS(1,14,1,0,"KeySet"),0),":","""",valueMaker!N11,"""")</f>
        <v>kaninKengenPoint:"有り"</v>
      </c>
      <c r="O11" t="str" cm="1">
        <f t="array" aca="1" ref="O11" ca="1">CONCATENATE(INDIRECT(ADDRESS(1,15,1,0,"KeySet"),0),":","""",valueMaker!O11,"""")</f>
        <v>point:"851"</v>
      </c>
      <c r="P11" t="str" cm="1">
        <f t="array" aca="1" ref="P11" ca="1">CONCATENATE(INDIRECT(ADDRESS(1,16,1,0,"KeySet"),0),":","""",valueMaker!P11,"""")</f>
        <v>bikou:""</v>
      </c>
    </row>
    <row r="12" spans="1:16">
      <c r="A12" t="str" cm="1">
        <f t="array" aca="1" ref="A12" ca="1">CONCATENATE(INDIRECT(ADDRESS(1,1,1,0,"KeySet"),0),":","""",valueMaker!A12,"""")</f>
        <v>kainBangou:"TD10011"</v>
      </c>
      <c r="B12" t="str" cm="1">
        <f t="array" aca="1" ref="B12" ca="1">CONCATENATE(INDIRECT(ADDRESS(1,2,1,0,"KeySet"),0),":","""",valueMaker!B12,"""")</f>
        <v>kainMeiKanji:"張謙毅"</v>
      </c>
      <c r="C12" t="str" cm="1">
        <f t="array" aca="1" ref="C12" ca="1">CONCATENATE(INDIRECT(ADDRESS(1,3,1,0,"KeySet"),0),":","""",valueMaker!C12,"""")</f>
        <v>kainMeiKana:"ｼﾞｬｰﾝ ﾁｴﾝ ｲｰ"</v>
      </c>
      <c r="D12" t="str" cm="1">
        <f t="array" aca="1" ref="D12" ca="1">CONCATENATE(INDIRECT(ADDRESS(1,4,1,0,"KeySet"),0),":","""",valueMaker!D12,"""")</f>
        <v>kainMeiEn:"Zhang Qian Yi"</v>
      </c>
      <c r="E12" t="str" cm="1">
        <f t="array" aca="1" ref="E12" ca="1">CONCATENATE(INDIRECT(ADDRESS(1,5,1,0,"KeySet"),0),":","""",valueMaker!E12,"""")</f>
        <v>kainGender:"男性"</v>
      </c>
      <c r="F12" t="str" cm="1">
        <f t="array" aca="1" ref="F12" ca="1">CONCATENATE(INDIRECT(ADDRESS(1,6,1,0,"KeySet"),0),":","""",TEXT(valueMaker!F12,"yyyy/m/d"),"""")</f>
        <v>tanjyoubi:"1975/1/13"</v>
      </c>
      <c r="G12" t="str" cm="1">
        <f t="array" aca="1" ref="G12" ca="1">CONCATENATE(INDIRECT(ADDRESS(1,6,1,0,"KeySet"),0),":","""",TEXT(valueMaker!G12,"yyyy/m/d"),"""")</f>
        <v>tanjyoubi:"2002/7/4"</v>
      </c>
      <c r="H12" t="str" cm="1">
        <f t="array" aca="1" ref="H12" ca="1">CONCATENATE(INDIRECT(ADDRESS(1,6,1,0,"KeySet"),0),":","""",TEXT(valueMaker!H12,"yyyy/m/d"),"""")</f>
        <v>tanjyoubi:"2004/7/3"</v>
      </c>
      <c r="I12" t="str" cm="1">
        <f t="array" aca="1" ref="I12" ca="1">CONCATENATE(INDIRECT(ADDRESS(1,9,1,0,"KeySet"),0),":","""",valueMaker!I12,"""")</f>
        <v>denwaBangou:"080-7448-7090"</v>
      </c>
      <c r="J12" t="str" cm="1">
        <f t="array" aca="1" ref="J12" ca="1">CONCATENATE(INDIRECT(ADDRESS(1,10,1,0,"KeySet"),0),":","""",valueMaker!J12,"""")</f>
        <v>mailAddress:"Zhang_Qian_Yi_37441@outlook.jp.co"</v>
      </c>
      <c r="K12" t="str" cm="1">
        <f t="array" aca="1" ref="K12" ca="1">CONCATENATE(INDIRECT(ADDRESS(1,11,1,0,"KeySet"),0),":","""",valueMaker!K12,"""")</f>
        <v>kaninSyubetu:"高級"</v>
      </c>
      <c r="L12" t="str" cm="1">
        <f t="array" aca="1" ref="L12" ca="1">CONCATENATE(INDIRECT(ADDRESS(1,12,1,0,"KeySet"),0),":","""",valueMaker!L12,"""")</f>
        <v>kaninKengenWB:"有り"</v>
      </c>
      <c r="M12" t="str" cm="1">
        <f t="array" aca="1" ref="M12" ca="1">CONCATENATE(INDIRECT(ADDRESS(1,13,1,0,"KeySet"),0),":","""",valueMaker!M12,"""")</f>
        <v>wakibiri:"10%"</v>
      </c>
      <c r="N12" t="str" cm="1">
        <f t="array" aca="1" ref="N12" ca="1">CONCATENATE(INDIRECT(ADDRESS(1,14,1,0,"KeySet"),0),":","""",valueMaker!N12,"""")</f>
        <v>kaninKengenPoint:"有り"</v>
      </c>
      <c r="O12" t="str" cm="1">
        <f t="array" aca="1" ref="O12" ca="1">CONCATENATE(INDIRECT(ADDRESS(1,15,1,0,"KeySet"),0),":","""",valueMaker!O12,"""")</f>
        <v>point:"756"</v>
      </c>
      <c r="P12" t="str" cm="1">
        <f t="array" aca="1" ref="P12" ca="1">CONCATENATE(INDIRECT(ADDRESS(1,16,1,0,"KeySet"),0),":","""",valueMaker!P12,"""")</f>
        <v>bikou:""</v>
      </c>
    </row>
    <row r="13" spans="1:16">
      <c r="A13" t="str" cm="1">
        <f t="array" aca="1" ref="A13" ca="1">CONCATENATE(INDIRECT(ADDRESS(1,1,1,0,"KeySet"),0),":","""",valueMaker!A13,"""")</f>
        <v>kainBangou:"TD10012"</v>
      </c>
      <c r="B13" t="str" cm="1">
        <f t="array" aca="1" ref="B13" ca="1">CONCATENATE(INDIRECT(ADDRESS(1,2,1,0,"KeySet"),0),":","""",valueMaker!B13,"""")</f>
        <v>kainMeiKanji:"朱物頃"</v>
      </c>
      <c r="C13" t="str" cm="1">
        <f t="array" aca="1" ref="C13" ca="1">CONCATENATE(INDIRECT(ADDRESS(1,3,1,0,"KeySet"),0),":","""",valueMaker!C13,"""")</f>
        <v>kainMeiKana:"ｼﾞｭｳ ｳｰ ﾁｰﾝ"</v>
      </c>
      <c r="D13" t="str" cm="1">
        <f t="array" aca="1" ref="D13" ca="1">CONCATENATE(INDIRECT(ADDRESS(1,4,1,0,"KeySet"),0),":","""",valueMaker!D13,"""")</f>
        <v>kainMeiEn:"Zhu Wu Qing"</v>
      </c>
      <c r="E13" t="str" cm="1">
        <f t="array" aca="1" ref="E13" ca="1">CONCATENATE(INDIRECT(ADDRESS(1,5,1,0,"KeySet"),0),":","""",valueMaker!E13,"""")</f>
        <v>kainGender:"男性"</v>
      </c>
      <c r="F13" t="str" cm="1">
        <f t="array" aca="1" ref="F13" ca="1">CONCATENATE(INDIRECT(ADDRESS(1,6,1,0,"KeySet"),0),":","""",TEXT(valueMaker!F13,"yyyy/m/d"),"""")</f>
        <v>tanjyoubi:"2003/9/13"</v>
      </c>
      <c r="G13" t="str" cm="1">
        <f t="array" aca="1" ref="G13" ca="1">CONCATENATE(INDIRECT(ADDRESS(1,6,1,0,"KeySet"),0),":","""",TEXT(valueMaker!G13,"yyyy/m/d"),"""")</f>
        <v>tanjyoubi:"2024/4/11"</v>
      </c>
      <c r="H13" t="str" cm="1">
        <f t="array" aca="1" ref="H13" ca="1">CONCATENATE(INDIRECT(ADDRESS(1,6,1,0,"KeySet"),0),":","""",TEXT(valueMaker!H13,"yyyy/m/d"),"""")</f>
        <v>tanjyoubi:"2025/4/11"</v>
      </c>
      <c r="I13" t="str" cm="1">
        <f t="array" aca="1" ref="I13" ca="1">CONCATENATE(INDIRECT(ADDRESS(1,9,1,0,"KeySet"),0),":","""",valueMaker!I13,"""")</f>
        <v>denwaBangou:"090-7874-7018"</v>
      </c>
      <c r="J13" t="str" cm="1">
        <f t="array" aca="1" ref="J13" ca="1">CONCATENATE(INDIRECT(ADDRESS(1,10,1,0,"KeySet"),0),":","""",valueMaker!J13,"""")</f>
        <v>mailAddress:"Zhu_Wu_Qing_45393@outlook.jp.co"</v>
      </c>
      <c r="K13" t="str" cm="1">
        <f t="array" aca="1" ref="K13" ca="1">CONCATENATE(INDIRECT(ADDRESS(1,11,1,0,"KeySet"),0),":","""",valueMaker!K13,"""")</f>
        <v>kaninSyubetu:"普通"</v>
      </c>
      <c r="L13" t="str" cm="1">
        <f t="array" aca="1" ref="L13" ca="1">CONCATENATE(INDIRECT(ADDRESS(1,12,1,0,"KeySet"),0),":","""",valueMaker!L13,"""")</f>
        <v>kaninKengenWB:"有り"</v>
      </c>
      <c r="M13" t="str" cm="1">
        <f t="array" aca="1" ref="M13" ca="1">CONCATENATE(INDIRECT(ADDRESS(1,13,1,0,"KeySet"),0),":","""",valueMaker!M13,"""")</f>
        <v>wakibiri:"5%"</v>
      </c>
      <c r="N13" t="str" cm="1">
        <f t="array" aca="1" ref="N13" ca="1">CONCATENATE(INDIRECT(ADDRESS(1,14,1,0,"KeySet"),0),":","""",valueMaker!N13,"""")</f>
        <v>kaninKengenPoint:"有り"</v>
      </c>
      <c r="O13" t="str" cm="1">
        <f t="array" aca="1" ref="O13" ca="1">CONCATENATE(INDIRECT(ADDRESS(1,15,1,0,"KeySet"),0),":","""",valueMaker!O13,"""")</f>
        <v>point:"518"</v>
      </c>
      <c r="P13" t="str" cm="1">
        <f t="array" aca="1" ref="P13" ca="1">CONCATENATE(INDIRECT(ADDRESS(1,16,1,0,"KeySet"),0),":","""",valueMaker!P13,"""")</f>
        <v>bikou:""</v>
      </c>
    </row>
    <row r="14" spans="1:16">
      <c r="A14" t="str" cm="1">
        <f t="array" aca="1" ref="A14" ca="1">CONCATENATE(INDIRECT(ADDRESS(1,1,1,0,"KeySet"),0),":","""",valueMaker!A14,"""")</f>
        <v>kainBangou:"TD10013"</v>
      </c>
      <c r="B14" t="str" cm="1">
        <f t="array" aca="1" ref="B14" ca="1">CONCATENATE(INDIRECT(ADDRESS(1,2,1,0,"KeySet"),0),":","""",valueMaker!B14,"""")</f>
        <v>kainMeiKanji:"謝永繼"</v>
      </c>
      <c r="C14" t="str" cm="1">
        <f t="array" aca="1" ref="C14" ca="1">CONCATENATE(INDIRECT(ADDRESS(1,3,1,0,"KeySet"),0),":","""",valueMaker!C14,"""")</f>
        <v>kainMeiKana:"ｼｴ ﾖｰﾝ ｼﾞｰ"</v>
      </c>
      <c r="D14" t="str" cm="1">
        <f t="array" aca="1" ref="D14" ca="1">CONCATENATE(INDIRECT(ADDRESS(1,4,1,0,"KeySet"),0),":","""",valueMaker!D14,"""")</f>
        <v>kainMeiEn:"Xie Yong Ji"</v>
      </c>
      <c r="E14" t="str" cm="1">
        <f t="array" aca="1" ref="E14" ca="1">CONCATENATE(INDIRECT(ADDRESS(1,5,1,0,"KeySet"),0),":","""",valueMaker!E14,"""")</f>
        <v>kainGender:"男性"</v>
      </c>
      <c r="F14" t="str" cm="1">
        <f t="array" aca="1" ref="F14" ca="1">CONCATENATE(INDIRECT(ADDRESS(1,6,1,0,"KeySet"),0),":","""",TEXT(valueMaker!F14,"yyyy/m/d"),"""")</f>
        <v>tanjyoubi:"1985/10/30"</v>
      </c>
      <c r="G14" t="str" cm="1">
        <f t="array" aca="1" ref="G14" ca="1">CONCATENATE(INDIRECT(ADDRESS(1,6,1,0,"KeySet"),0),":","""",TEXT(valueMaker!G14,"yyyy/m/d"),"""")</f>
        <v>tanjyoubi:"2020/5/14"</v>
      </c>
      <c r="H14" t="str" cm="1">
        <f t="array" aca="1" ref="H14" ca="1">CONCATENATE(INDIRECT(ADDRESS(1,6,1,0,"KeySet"),0),":","""",TEXT(valueMaker!H14,"yyyy/m/d"),"""")</f>
        <v>tanjyoubi:"2023/5/14"</v>
      </c>
      <c r="I14" t="str" cm="1">
        <f t="array" aca="1" ref="I14" ca="1">CONCATENATE(INDIRECT(ADDRESS(1,9,1,0,"KeySet"),0),":","""",valueMaker!I14,"""")</f>
        <v>denwaBangou:"090-4657-7338"</v>
      </c>
      <c r="J14" t="str" cm="1">
        <f t="array" aca="1" ref="J14" ca="1">CONCATENATE(INDIRECT(ADDRESS(1,10,1,0,"KeySet"),0),":","""",valueMaker!J14,"""")</f>
        <v>mailAddress:"Xie_Yong_Ji_43965@outlook.jp.co"</v>
      </c>
      <c r="K14" t="str" cm="1">
        <f t="array" aca="1" ref="K14" ca="1">CONCATENATE(INDIRECT(ADDRESS(1,11,1,0,"KeySet"),0),":","""",valueMaker!K14,"""")</f>
        <v>kaninSyubetu:"高級"</v>
      </c>
      <c r="L14" t="str" cm="1">
        <f t="array" aca="1" ref="L14" ca="1">CONCATENATE(INDIRECT(ADDRESS(1,12,1,0,"KeySet"),0),":","""",valueMaker!L14,"""")</f>
        <v>kaninKengenWB:"有り"</v>
      </c>
      <c r="M14" t="str" cm="1">
        <f t="array" aca="1" ref="M14" ca="1">CONCATENATE(INDIRECT(ADDRESS(1,13,1,0,"KeySet"),0),":","""",valueMaker!M14,"""")</f>
        <v>wakibiri:"10%"</v>
      </c>
      <c r="N14" t="str" cm="1">
        <f t="array" aca="1" ref="N14" ca="1">CONCATENATE(INDIRECT(ADDRESS(1,14,1,0,"KeySet"),0),":","""",valueMaker!N14,"""")</f>
        <v>kaninKengenPoint:"有り"</v>
      </c>
      <c r="O14" t="str" cm="1">
        <f t="array" aca="1" ref="O14" ca="1">CONCATENATE(INDIRECT(ADDRESS(1,15,1,0,"KeySet"),0),":","""",valueMaker!O14,"""")</f>
        <v>point:"708"</v>
      </c>
      <c r="P14" t="str" cm="1">
        <f t="array" aca="1" ref="P14" ca="1">CONCATENATE(INDIRECT(ADDRESS(1,16,1,0,"KeySet"),0),":","""",valueMaker!P14,"""")</f>
        <v>bikou:""</v>
      </c>
    </row>
    <row r="15" spans="1:16">
      <c r="A15" t="str" cm="1">
        <f t="array" aca="1" ref="A15" ca="1">CONCATENATE(INDIRECT(ADDRESS(1,1,1,0,"KeySet"),0),":","""",valueMaker!A15,"""")</f>
        <v>kainBangou:"TD10014"</v>
      </c>
      <c r="B15" t="str" cm="1">
        <f t="array" aca="1" ref="B15" ca="1">CONCATENATE(INDIRECT(ADDRESS(1,2,1,0,"KeySet"),0),":","""",valueMaker!B15,"""")</f>
        <v>kainMeiKanji:"王冠生"</v>
      </c>
      <c r="C15" t="str" cm="1">
        <f t="array" aca="1" ref="C15" ca="1">CONCATENATE(INDIRECT(ADDRESS(1,3,1,0,"KeySet"),0),":","""",valueMaker!C15,"""")</f>
        <v>kainMeiKana:"ﾜｰﾝ ｸﾞﾜﾝ ｼｭﾖﾝ"</v>
      </c>
      <c r="D15" t="str" cm="1">
        <f t="array" aca="1" ref="D15" ca="1">CONCATENATE(INDIRECT(ADDRESS(1,4,1,0,"KeySet"),0),":","""",valueMaker!D15,"""")</f>
        <v>kainMeiEn:"Wang Guan Sheng"</v>
      </c>
      <c r="E15" t="str" cm="1">
        <f t="array" aca="1" ref="E15" ca="1">CONCATENATE(INDIRECT(ADDRESS(1,5,1,0,"KeySet"),0),":","""",valueMaker!E15,"""")</f>
        <v>kainGender:"男性"</v>
      </c>
      <c r="F15" t="str" cm="1">
        <f t="array" aca="1" ref="F15" ca="1">CONCATENATE(INDIRECT(ADDRESS(1,6,1,0,"KeySet"),0),":","""",TEXT(valueMaker!F15,"yyyy/m/d"),"""")</f>
        <v>tanjyoubi:"1963/2/6"</v>
      </c>
      <c r="G15" t="str" cm="1">
        <f t="array" aca="1" ref="G15" ca="1">CONCATENATE(INDIRECT(ADDRESS(1,6,1,0,"KeySet"),0),":","""",TEXT(valueMaker!G15,"yyyy/m/d"),"""")</f>
        <v>tanjyoubi:"2008/9/16"</v>
      </c>
      <c r="H15" t="str" cm="1">
        <f t="array" aca="1" ref="H15" ca="1">CONCATENATE(INDIRECT(ADDRESS(1,6,1,0,"KeySet"),0),":","""",TEXT(valueMaker!H15,"yyyy/m/d"),"""")</f>
        <v>tanjyoubi:"2010/9/16"</v>
      </c>
      <c r="I15" t="str" cm="1">
        <f t="array" aca="1" ref="I15" ca="1">CONCATENATE(INDIRECT(ADDRESS(1,9,1,0,"KeySet"),0),":","""",valueMaker!I15,"""")</f>
        <v>denwaBangou:"080-6359-9990"</v>
      </c>
      <c r="J15" t="str" cm="1">
        <f t="array" aca="1" ref="J15" ca="1">CONCATENATE(INDIRECT(ADDRESS(1,10,1,0,"KeySet"),0),":","""",valueMaker!J15,"""")</f>
        <v>mailAddress:"Wang_Guan_Sheng_39707@outlook.jp.co"</v>
      </c>
      <c r="K15" t="str" cm="1">
        <f t="array" aca="1" ref="K15" ca="1">CONCATENATE(INDIRECT(ADDRESS(1,11,1,0,"KeySet"),0),":","""",valueMaker!K15,"""")</f>
        <v>kaninSyubetu:"高級"</v>
      </c>
      <c r="L15" t="str" cm="1">
        <f t="array" aca="1" ref="L15" ca="1">CONCATENATE(INDIRECT(ADDRESS(1,12,1,0,"KeySet"),0),":","""",valueMaker!L15,"""")</f>
        <v>kaninKengenWB:"-"</v>
      </c>
      <c r="M15" t="str" cm="1">
        <f t="array" aca="1" ref="M15" ca="1">CONCATENATE(INDIRECT(ADDRESS(1,13,1,0,"KeySet"),0),":","""",valueMaker!M15,"""")</f>
        <v>wakibiri:"-"</v>
      </c>
      <c r="N15" t="str" cm="1">
        <f t="array" aca="1" ref="N15" ca="1">CONCATENATE(INDIRECT(ADDRESS(1,14,1,0,"KeySet"),0),":","""",valueMaker!N15,"""")</f>
        <v>kaninKengenPoint:"有り"</v>
      </c>
      <c r="O15" t="str" cm="1">
        <f t="array" aca="1" ref="O15" ca="1">CONCATENATE(INDIRECT(ADDRESS(1,15,1,0,"KeySet"),0),":","""",valueMaker!O15,"""")</f>
        <v>point:"150"</v>
      </c>
      <c r="P15" t="str" cm="1">
        <f t="array" aca="1" ref="P15" ca="1">CONCATENATE(INDIRECT(ADDRESS(1,16,1,0,"KeySet"),0),":","""",valueMaker!P15,"""")</f>
        <v>bikou:""</v>
      </c>
    </row>
    <row r="16" spans="1:16">
      <c r="A16" t="str" cm="1">
        <f t="array" aca="1" ref="A16" ca="1">CONCATENATE(INDIRECT(ADDRESS(1,1,1,0,"KeySet"),0),":","""",valueMaker!A16,"""")</f>
        <v>kainBangou:"TD10015"</v>
      </c>
      <c r="B16" t="str" cm="1">
        <f t="array" aca="1" ref="B16" ca="1">CONCATENATE(INDIRECT(ADDRESS(1,2,1,0,"KeySet"),0),":","""",valueMaker!B16,"""")</f>
        <v>kainMeiKanji:"張霖瑋"</v>
      </c>
      <c r="C16" t="str" cm="1">
        <f t="array" aca="1" ref="C16" ca="1">CONCATENATE(INDIRECT(ADDRESS(1,3,1,0,"KeySet"),0),":","""",valueMaker!C16,"""")</f>
        <v>kainMeiKana:"ｼﾞｬｰﾝ ﾘﾝ ｳｴｲ"</v>
      </c>
      <c r="D16" t="str" cm="1">
        <f t="array" aca="1" ref="D16" ca="1">CONCATENATE(INDIRECT(ADDRESS(1,4,1,0,"KeySet"),0),":","""",valueMaker!D16,"""")</f>
        <v>kainMeiEn:"Zhang Lin Wei"</v>
      </c>
      <c r="E16" t="str" cm="1">
        <f t="array" aca="1" ref="E16" ca="1">CONCATENATE(INDIRECT(ADDRESS(1,5,1,0,"KeySet"),0),":","""",valueMaker!E16,"""")</f>
        <v>kainGender:"-"</v>
      </c>
      <c r="F16" t="str" cm="1">
        <f t="array" aca="1" ref="F16" ca="1">CONCATENATE(INDIRECT(ADDRESS(1,6,1,0,"KeySet"),0),":","""",TEXT(valueMaker!F16,"yyyy/m/d"),"""")</f>
        <v>tanjyoubi:"1990/7/12"</v>
      </c>
      <c r="G16" t="str" cm="1">
        <f t="array" aca="1" ref="G16" ca="1">CONCATENATE(INDIRECT(ADDRESS(1,6,1,0,"KeySet"),0),":","""",TEXT(valueMaker!G16,"yyyy/m/d"),"""")</f>
        <v>tanjyoubi:"2013/4/1"</v>
      </c>
      <c r="H16" t="str" cm="1">
        <f t="array" aca="1" ref="H16" ca="1">CONCATENATE(INDIRECT(ADDRESS(1,6,1,0,"KeySet"),0),":","""",TEXT(valueMaker!H16,"yyyy/m/d"),"""")</f>
        <v>tanjyoubi:"2016/3/31"</v>
      </c>
      <c r="I16" t="str" cm="1">
        <f t="array" aca="1" ref="I16" ca="1">CONCATENATE(INDIRECT(ADDRESS(1,9,1,0,"KeySet"),0),":","""",valueMaker!I16,"""")</f>
        <v>denwaBangou:"090-3723-6810"</v>
      </c>
      <c r="J16" t="str" cm="1">
        <f t="array" aca="1" ref="J16" ca="1">CONCATENATE(INDIRECT(ADDRESS(1,10,1,0,"KeySet"),0),":","""",valueMaker!J16,"""")</f>
        <v>mailAddress:"Zhang_Lin_Wei_41365@outlook.jp.co"</v>
      </c>
      <c r="K16" t="str" cm="1">
        <f t="array" aca="1" ref="K16" ca="1">CONCATENATE(INDIRECT(ADDRESS(1,11,1,0,"KeySet"),0),":","""",valueMaker!K16,"""")</f>
        <v>kaninSyubetu:"普通"</v>
      </c>
      <c r="L16" t="str" cm="1">
        <f t="array" aca="1" ref="L16" ca="1">CONCATENATE(INDIRECT(ADDRESS(1,12,1,0,"KeySet"),0),":","""",valueMaker!L16,"""")</f>
        <v>kaninKengenWB:"有り"</v>
      </c>
      <c r="M16" t="str" cm="1">
        <f t="array" aca="1" ref="M16" ca="1">CONCATENATE(INDIRECT(ADDRESS(1,13,1,0,"KeySet"),0),":","""",valueMaker!M16,"""")</f>
        <v>wakibiri:"5%"</v>
      </c>
      <c r="N16" t="str" cm="1">
        <f t="array" aca="1" ref="N16" ca="1">CONCATENATE(INDIRECT(ADDRESS(1,14,1,0,"KeySet"),0),":","""",valueMaker!N16,"""")</f>
        <v>kaninKengenPoint:"有り"</v>
      </c>
      <c r="O16" t="str" cm="1">
        <f t="array" aca="1" ref="O16" ca="1">CONCATENATE(INDIRECT(ADDRESS(1,15,1,0,"KeySet"),0),":","""",valueMaker!O16,"""")</f>
        <v>point:"541"</v>
      </c>
      <c r="P16" t="str" cm="1">
        <f t="array" aca="1" ref="P16" ca="1">CONCATENATE(INDIRECT(ADDRESS(1,16,1,0,"KeySet"),0),":","""",valueMaker!P16,"""")</f>
        <v>bikou:""</v>
      </c>
    </row>
    <row r="17" spans="1:16">
      <c r="A17" t="str" cm="1">
        <f t="array" aca="1" ref="A17" ca="1">CONCATENATE(INDIRECT(ADDRESS(1,1,1,0,"KeySet"),0),":","""",valueMaker!A17,"""")</f>
        <v>kainBangou:"TD10016"</v>
      </c>
      <c r="B17" t="str" cm="1">
        <f t="array" aca="1" ref="B17" ca="1">CONCATENATE(INDIRECT(ADDRESS(1,2,1,0,"KeySet"),0),":","""",valueMaker!B17,"""")</f>
        <v>kainMeiKanji:"胡憶捷"</v>
      </c>
      <c r="C17" t="str" cm="1">
        <f t="array" aca="1" ref="C17" ca="1">CONCATENATE(INDIRECT(ADDRESS(1,3,1,0,"KeySet"),0),":","""",valueMaker!C17,"""")</f>
        <v>kainMeiKana:"ﾎｩ ｲｰ ｼﾞｴ"</v>
      </c>
      <c r="D17" t="str" cm="1">
        <f t="array" aca="1" ref="D17" ca="1">CONCATENATE(INDIRECT(ADDRESS(1,4,1,0,"KeySet"),0),":","""",valueMaker!D17,"""")</f>
        <v>kainMeiEn:"Hu Yi Jie"</v>
      </c>
      <c r="E17" t="str" cm="1">
        <f t="array" aca="1" ref="E17" ca="1">CONCATENATE(INDIRECT(ADDRESS(1,5,1,0,"KeySet"),0),":","""",valueMaker!E17,"""")</f>
        <v>kainGender:"女性"</v>
      </c>
      <c r="F17" t="str" cm="1">
        <f t="array" aca="1" ref="F17" ca="1">CONCATENATE(INDIRECT(ADDRESS(1,6,1,0,"KeySet"),0),":","""",TEXT(valueMaker!F17,"yyyy/m/d"),"""")</f>
        <v>tanjyoubi:"1989/7/27"</v>
      </c>
      <c r="G17" t="str" cm="1">
        <f t="array" aca="1" ref="G17" ca="1">CONCATENATE(INDIRECT(ADDRESS(1,6,1,0,"KeySet"),0),":","""",TEXT(valueMaker!G17,"yyyy/m/d"),"""")</f>
        <v>tanjyoubi:"2008/6/24"</v>
      </c>
      <c r="H17" t="str" cm="1">
        <f t="array" aca="1" ref="H17" ca="1">CONCATENATE(INDIRECT(ADDRESS(1,6,1,0,"KeySet"),0),":","""",TEXT(valueMaker!H17,"yyyy/m/d"),"""")</f>
        <v>tanjyoubi:"2010/6/24"</v>
      </c>
      <c r="I17" t="str" cm="1">
        <f t="array" aca="1" ref="I17" ca="1">CONCATENATE(INDIRECT(ADDRESS(1,9,1,0,"KeySet"),0),":","""",valueMaker!I17,"""")</f>
        <v>denwaBangou:"080-0888-7755"</v>
      </c>
      <c r="J17" t="str" cm="1">
        <f t="array" aca="1" ref="J17" ca="1">CONCATENATE(INDIRECT(ADDRESS(1,10,1,0,"KeySet"),0),":","""",valueMaker!J17,"""")</f>
        <v>mailAddress:"Hu_Yi_Jie_39623@outlook.jp.co"</v>
      </c>
      <c r="K17" t="str" cm="1">
        <f t="array" aca="1" ref="K17" ca="1">CONCATENATE(INDIRECT(ADDRESS(1,11,1,0,"KeySet"),0),":","""",valueMaker!K17,"""")</f>
        <v>kaninSyubetu:"高級"</v>
      </c>
      <c r="L17" t="str" cm="1">
        <f t="array" aca="1" ref="L17" ca="1">CONCATENATE(INDIRECT(ADDRESS(1,12,1,0,"KeySet"),0),":","""",valueMaker!L17,"""")</f>
        <v>kaninKengenWB:"-"</v>
      </c>
      <c r="M17" t="str" cm="1">
        <f t="array" aca="1" ref="M17" ca="1">CONCATENATE(INDIRECT(ADDRESS(1,13,1,0,"KeySet"),0),":","""",valueMaker!M17,"""")</f>
        <v>wakibiri:"-"</v>
      </c>
      <c r="N17" t="str" cm="1">
        <f t="array" aca="1" ref="N17" ca="1">CONCATENATE(INDIRECT(ADDRESS(1,14,1,0,"KeySet"),0),":","""",valueMaker!N17,"""")</f>
        <v>kaninKengenPoint:"有り"</v>
      </c>
      <c r="O17" t="str" cm="1">
        <f t="array" aca="1" ref="O17" ca="1">CONCATENATE(INDIRECT(ADDRESS(1,15,1,0,"KeySet"),0),":","""",valueMaker!O17,"""")</f>
        <v>point:"556"</v>
      </c>
      <c r="P17" t="str" cm="1">
        <f t="array" aca="1" ref="P17" ca="1">CONCATENATE(INDIRECT(ADDRESS(1,16,1,0,"KeySet"),0),":","""",valueMaker!P17,"""")</f>
        <v>bikou:""</v>
      </c>
    </row>
    <row r="18" spans="1:16">
      <c r="A18" t="str" cm="1">
        <f t="array" aca="1" ref="A18" ca="1">CONCATENATE(INDIRECT(ADDRESS(1,1,1,0,"KeySet"),0),":","""",valueMaker!A18,"""")</f>
        <v>kainBangou:"TD10017"</v>
      </c>
      <c r="B18" t="str" cm="1">
        <f t="array" aca="1" ref="B18" ca="1">CONCATENATE(INDIRECT(ADDRESS(1,2,1,0,"KeySet"),0),":","""",valueMaker!B18,"""")</f>
        <v>kainMeiKanji:"陳台亭"</v>
      </c>
      <c r="C18" t="str" cm="1">
        <f t="array" aca="1" ref="C18" ca="1">CONCATENATE(INDIRECT(ADDRESS(1,3,1,0,"KeySet"),0),":","""",valueMaker!C18,"""")</f>
        <v>kainMeiKana:"ﾁｪﾝ ﾀｲ ﾃｨｰﾝ"</v>
      </c>
      <c r="D18" t="str" cm="1">
        <f t="array" aca="1" ref="D18" ca="1">CONCATENATE(INDIRECT(ADDRESS(1,4,1,0,"KeySet"),0),":","""",valueMaker!D18,"""")</f>
        <v>kainMeiEn:"Chen Tai Ting"</v>
      </c>
      <c r="E18" t="str" cm="1">
        <f t="array" aca="1" ref="E18" ca="1">CONCATENATE(INDIRECT(ADDRESS(1,5,1,0,"KeySet"),0),":","""",valueMaker!E18,"""")</f>
        <v>kainGender:"男性"</v>
      </c>
      <c r="F18" t="str" cm="1">
        <f t="array" aca="1" ref="F18" ca="1">CONCATENATE(INDIRECT(ADDRESS(1,6,1,0,"KeySet"),0),":","""",TEXT(valueMaker!F18,"yyyy/m/d"),"""")</f>
        <v>tanjyoubi:"1963/6/18"</v>
      </c>
      <c r="G18" t="str" cm="1">
        <f t="array" aca="1" ref="G18" ca="1">CONCATENATE(INDIRECT(ADDRESS(1,6,1,0,"KeySet"),0),":","""",TEXT(valueMaker!G18,"yyyy/m/d"),"""")</f>
        <v>tanjyoubi:"2019/3/31"</v>
      </c>
      <c r="H18" t="str" cm="1">
        <f t="array" aca="1" ref="H18" ca="1">CONCATENATE(INDIRECT(ADDRESS(1,6,1,0,"KeySet"),0),":","""",TEXT(valueMaker!H18,"yyyy/m/d"),"""")</f>
        <v>tanjyoubi:"2022/3/30"</v>
      </c>
      <c r="I18" t="str" cm="1">
        <f t="array" aca="1" ref="I18" ca="1">CONCATENATE(INDIRECT(ADDRESS(1,9,1,0,"KeySet"),0),":","""",valueMaker!I18,"""")</f>
        <v>denwaBangou:"080-7650-6825"</v>
      </c>
      <c r="J18" t="str" cm="1">
        <f t="array" aca="1" ref="J18" ca="1">CONCATENATE(INDIRECT(ADDRESS(1,10,1,0,"KeySet"),0),":","""",valueMaker!J18,"""")</f>
        <v>mailAddress:"Chen_Tai_Ting_43555@outlook.jp.co"</v>
      </c>
      <c r="K18" t="str" cm="1">
        <f t="array" aca="1" ref="K18" ca="1">CONCATENATE(INDIRECT(ADDRESS(1,11,1,0,"KeySet"),0),":","""",valueMaker!K18,"""")</f>
        <v>kaninSyubetu:"普通"</v>
      </c>
      <c r="L18" t="str" cm="1">
        <f t="array" aca="1" ref="L18" ca="1">CONCATENATE(INDIRECT(ADDRESS(1,12,1,0,"KeySet"),0),":","""",valueMaker!L18,"""")</f>
        <v>kaninKengenWB:"有り"</v>
      </c>
      <c r="M18" t="str" cm="1">
        <f t="array" aca="1" ref="M18" ca="1">CONCATENATE(INDIRECT(ADDRESS(1,13,1,0,"KeySet"),0),":","""",valueMaker!M18,"""")</f>
        <v>wakibiri:"5%"</v>
      </c>
      <c r="N18" t="str" cm="1">
        <f t="array" aca="1" ref="N18" ca="1">CONCATENATE(INDIRECT(ADDRESS(1,14,1,0,"KeySet"),0),":","""",valueMaker!N18,"""")</f>
        <v>kaninKengenPoint:"有り"</v>
      </c>
      <c r="O18" t="str" cm="1">
        <f t="array" aca="1" ref="O18" ca="1">CONCATENATE(INDIRECT(ADDRESS(1,15,1,0,"KeySet"),0),":","""",valueMaker!O18,"""")</f>
        <v>point:"277"</v>
      </c>
      <c r="P18" t="str" cm="1">
        <f t="array" aca="1" ref="P18" ca="1">CONCATENATE(INDIRECT(ADDRESS(1,16,1,0,"KeySet"),0),":","""",valueMaker!P18,"""")</f>
        <v>bikou:""</v>
      </c>
    </row>
    <row r="19" spans="1:16">
      <c r="A19" t="str" cm="1">
        <f t="array" aca="1" ref="A19" ca="1">CONCATENATE(INDIRECT(ADDRESS(1,1,1,0,"KeySet"),0),":","""",valueMaker!A19,"""")</f>
        <v>kainBangou:"TD10018"</v>
      </c>
      <c r="B19" t="str" cm="1">
        <f t="array" aca="1" ref="B19" ca="1">CONCATENATE(INDIRECT(ADDRESS(1,2,1,0,"KeySet"),0),":","""",valueMaker!B19,"""")</f>
        <v>kainMeiKanji:"吳冠俊"</v>
      </c>
      <c r="C19" t="str" cm="1">
        <f t="array" aca="1" ref="C19" ca="1">CONCATENATE(INDIRECT(ADDRESS(1,3,1,0,"KeySet"),0),":","""",valueMaker!C19,"""")</f>
        <v>kainMeiKana:"ｳｰ ｸﾞﾜﾝ ｼﾞｭｲﾝ"</v>
      </c>
      <c r="D19" t="str" cm="1">
        <f t="array" aca="1" ref="D19" ca="1">CONCATENATE(INDIRECT(ADDRESS(1,4,1,0,"KeySet"),0),":","""",valueMaker!D19,"""")</f>
        <v>kainMeiEn:"Wu Guan Jun"</v>
      </c>
      <c r="E19" t="str" cm="1">
        <f t="array" aca="1" ref="E19" ca="1">CONCATENATE(INDIRECT(ADDRESS(1,5,1,0,"KeySet"),0),":","""",valueMaker!E19,"""")</f>
        <v>kainGender:"女性"</v>
      </c>
      <c r="F19" t="str" cm="1">
        <f t="array" aca="1" ref="F19" ca="1">CONCATENATE(INDIRECT(ADDRESS(1,6,1,0,"KeySet"),0),":","""",TEXT(valueMaker!F19,"yyyy/m/d"),"""")</f>
        <v>tanjyoubi:"2000/3/3"</v>
      </c>
      <c r="G19" t="str" cm="1">
        <f t="array" aca="1" ref="G19" ca="1">CONCATENATE(INDIRECT(ADDRESS(1,6,1,0,"KeySet"),0),":","""",TEXT(valueMaker!G19,"yyyy/m/d"),"""")</f>
        <v>tanjyoubi:"2019/12/17"</v>
      </c>
      <c r="H19" t="str" cm="1">
        <f t="array" aca="1" ref="H19" ca="1">CONCATENATE(INDIRECT(ADDRESS(1,6,1,0,"KeySet"),0),":","""",TEXT(valueMaker!H19,"yyyy/m/d"),"""")</f>
        <v>tanjyoubi:"2020/12/16"</v>
      </c>
      <c r="I19" t="str" cm="1">
        <f t="array" aca="1" ref="I19" ca="1">CONCATENATE(INDIRECT(ADDRESS(1,9,1,0,"KeySet"),0),":","""",valueMaker!I19,"""")</f>
        <v>denwaBangou:"080-5598-9168"</v>
      </c>
      <c r="J19" t="str" cm="1">
        <f t="array" aca="1" ref="J19" ca="1">CONCATENATE(INDIRECT(ADDRESS(1,10,1,0,"KeySet"),0),":","""",valueMaker!J19,"""")</f>
        <v>mailAddress:"Wu_Guan_Jun_43816@outlook.jp.co"</v>
      </c>
      <c r="K19" t="str" cm="1">
        <f t="array" aca="1" ref="K19" ca="1">CONCATENATE(INDIRECT(ADDRESS(1,11,1,0,"KeySet"),0),":","""",valueMaker!K19,"""")</f>
        <v>kaninSyubetu:"普通"</v>
      </c>
      <c r="L19" t="str" cm="1">
        <f t="array" aca="1" ref="L19" ca="1">CONCATENATE(INDIRECT(ADDRESS(1,12,1,0,"KeySet"),0),":","""",valueMaker!L19,"""")</f>
        <v>kaninKengenWB:"有り"</v>
      </c>
      <c r="M19" t="str" cm="1">
        <f t="array" aca="1" ref="M19" ca="1">CONCATENATE(INDIRECT(ADDRESS(1,13,1,0,"KeySet"),0),":","""",valueMaker!M19,"""")</f>
        <v>wakibiri:"5%"</v>
      </c>
      <c r="N19" t="str" cm="1">
        <f t="array" aca="1" ref="N19" ca="1">CONCATENATE(INDIRECT(ADDRESS(1,14,1,0,"KeySet"),0),":","""",valueMaker!N19,"""")</f>
        <v>kaninKengenPoint:"-"</v>
      </c>
      <c r="O19" t="str" cm="1">
        <f t="array" aca="1" ref="O19" ca="1">CONCATENATE(INDIRECT(ADDRESS(1,15,1,0,"KeySet"),0),":","""",valueMaker!O19,"""")</f>
        <v>point:"-"</v>
      </c>
      <c r="P19" t="str" cm="1">
        <f t="array" aca="1" ref="P19" ca="1">CONCATENATE(INDIRECT(ADDRESS(1,16,1,0,"KeySet"),0),":","""",valueMaker!P19,"""")</f>
        <v>bikou:""</v>
      </c>
    </row>
    <row r="20" spans="1:16">
      <c r="A20" t="str" cm="1">
        <f t="array" aca="1" ref="A20" ca="1">CONCATENATE(INDIRECT(ADDRESS(1,1,1,0,"KeySet"),0),":","""",valueMaker!A20,"""")</f>
        <v>kainBangou:"TD10019"</v>
      </c>
      <c r="B20" t="str" cm="1">
        <f t="array" aca="1" ref="B20" ca="1">CONCATENATE(INDIRECT(ADDRESS(1,2,1,0,"KeySet"),0),":","""",valueMaker!B20,"""")</f>
        <v>kainMeiKanji:"陳領含"</v>
      </c>
      <c r="C20" t="str" cm="1">
        <f t="array" aca="1" ref="C20" ca="1">CONCATENATE(INDIRECT(ADDRESS(1,3,1,0,"KeySet"),0),":","""",valueMaker!C20,"""")</f>
        <v>kainMeiKana:"ﾁｪﾝ ﾘｰﾝ ﾊﾝ"</v>
      </c>
      <c r="D20" t="str" cm="1">
        <f t="array" aca="1" ref="D20" ca="1">CONCATENATE(INDIRECT(ADDRESS(1,4,1,0,"KeySet"),0),":","""",valueMaker!D20,"""")</f>
        <v>kainMeiEn:"Chen Ling Han"</v>
      </c>
      <c r="E20" t="str" cm="1">
        <f t="array" aca="1" ref="E20" ca="1">CONCATENATE(INDIRECT(ADDRESS(1,5,1,0,"KeySet"),0),":","""",valueMaker!E20,"""")</f>
        <v>kainGender:"女性"</v>
      </c>
      <c r="F20" t="str" cm="1">
        <f t="array" aca="1" ref="F20" ca="1">CONCATENATE(INDIRECT(ADDRESS(1,6,1,0,"KeySet"),0),":","""",TEXT(valueMaker!F20,"yyyy/m/d"),"""")</f>
        <v>tanjyoubi:"2002/7/28"</v>
      </c>
      <c r="G20" t="str" cm="1">
        <f t="array" aca="1" ref="G20" ca="1">CONCATENATE(INDIRECT(ADDRESS(1,6,1,0,"KeySet"),0),":","""",TEXT(valueMaker!G20,"yyyy/m/d"),"""")</f>
        <v>tanjyoubi:"2021/3/25"</v>
      </c>
      <c r="H20" t="str" cm="1">
        <f t="array" aca="1" ref="H20" ca="1">CONCATENATE(INDIRECT(ADDRESS(1,6,1,0,"KeySet"),0),":","""",TEXT(valueMaker!H20,"yyyy/m/d"),"""")</f>
        <v>tanjyoubi:"2023/3/25"</v>
      </c>
      <c r="I20" t="str" cm="1">
        <f t="array" aca="1" ref="I20" ca="1">CONCATENATE(INDIRECT(ADDRESS(1,9,1,0,"KeySet"),0),":","""",valueMaker!I20,"""")</f>
        <v>denwaBangou:"080-8787-3580"</v>
      </c>
      <c r="J20" t="str" cm="1">
        <f t="array" aca="1" ref="J20" ca="1">CONCATENATE(INDIRECT(ADDRESS(1,10,1,0,"KeySet"),0),":","""",valueMaker!J20,"""")</f>
        <v>mailAddress:"Chen_Ling_Han_44280@outlook.jp.co"</v>
      </c>
      <c r="K20" t="str" cm="1">
        <f t="array" aca="1" ref="K20" ca="1">CONCATENATE(INDIRECT(ADDRESS(1,11,1,0,"KeySet"),0),":","""",valueMaker!K20,"""")</f>
        <v>kaninSyubetu:"普通"</v>
      </c>
      <c r="L20" t="str" cm="1">
        <f t="array" aca="1" ref="L20" ca="1">CONCATENATE(INDIRECT(ADDRESS(1,12,1,0,"KeySet"),0),":","""",valueMaker!L20,"""")</f>
        <v>kaninKengenWB:"有り"</v>
      </c>
      <c r="M20" t="str" cm="1">
        <f t="array" aca="1" ref="M20" ca="1">CONCATENATE(INDIRECT(ADDRESS(1,13,1,0,"KeySet"),0),":","""",valueMaker!M20,"""")</f>
        <v>wakibiri:"5%"</v>
      </c>
      <c r="N20" t="str" cm="1">
        <f t="array" aca="1" ref="N20" ca="1">CONCATENATE(INDIRECT(ADDRESS(1,14,1,0,"KeySet"),0),":","""",valueMaker!N20,"""")</f>
        <v>kaninKengenPoint:"有り"</v>
      </c>
      <c r="O20" t="str" cm="1">
        <f t="array" aca="1" ref="O20" ca="1">CONCATENATE(INDIRECT(ADDRESS(1,15,1,0,"KeySet"),0),":","""",valueMaker!O20,"""")</f>
        <v>point:"286"</v>
      </c>
      <c r="P20" t="str" cm="1">
        <f t="array" aca="1" ref="P20" ca="1">CONCATENATE(INDIRECT(ADDRESS(1,16,1,0,"KeySet"),0),":","""",valueMaker!P20,"""")</f>
        <v>bikou:""</v>
      </c>
    </row>
    <row r="21" spans="1:16">
      <c r="A21" t="str" cm="1">
        <f t="array" aca="1" ref="A21" ca="1">CONCATENATE(INDIRECT(ADDRESS(1,1,1,0,"KeySet"),0),":","""",valueMaker!A21,"""")</f>
        <v>kainBangou:"TD10020"</v>
      </c>
      <c r="B21" t="str" cm="1">
        <f t="array" aca="1" ref="B21" ca="1">CONCATENATE(INDIRECT(ADDRESS(1,2,1,0,"KeySet"),0),":","""",valueMaker!B21,"""")</f>
        <v>kainMeiKanji:"王晟創"</v>
      </c>
      <c r="C21" t="str" cm="1">
        <f t="array" aca="1" ref="C21" ca="1">CONCATENATE(INDIRECT(ADDRESS(1,3,1,0,"KeySet"),0),":","""",valueMaker!C21,"""")</f>
        <v>kainMeiKana:"ﾜｰﾝ ｼｭﾖﾝ ﾁｭﾜｰﾝ"</v>
      </c>
      <c r="D21" t="str" cm="1">
        <f t="array" aca="1" ref="D21" ca="1">CONCATENATE(INDIRECT(ADDRESS(1,4,1,0,"KeySet"),0),":","""",valueMaker!D21,"""")</f>
        <v>kainMeiEn:"Wang Sheng Chuang"</v>
      </c>
      <c r="E21" t="str" cm="1">
        <f t="array" aca="1" ref="E21" ca="1">CONCATENATE(INDIRECT(ADDRESS(1,5,1,0,"KeySet"),0),":","""",valueMaker!E21,"""")</f>
        <v>kainGender:"女性"</v>
      </c>
      <c r="F21" t="str" cm="1">
        <f t="array" aca="1" ref="F21" ca="1">CONCATENATE(INDIRECT(ADDRESS(1,6,1,0,"KeySet"),0),":","""",TEXT(valueMaker!F21,"yyyy/m/d"),"""")</f>
        <v>tanjyoubi:"1965/5/2"</v>
      </c>
      <c r="G21" t="str" cm="1">
        <f t="array" aca="1" ref="G21" ca="1">CONCATENATE(INDIRECT(ADDRESS(1,6,1,0,"KeySet"),0),":","""",TEXT(valueMaker!G21,"yyyy/m/d"),"""")</f>
        <v>tanjyoubi:"2004/6/2"</v>
      </c>
      <c r="H21" t="str" cm="1">
        <f t="array" aca="1" ref="H21" ca="1">CONCATENATE(INDIRECT(ADDRESS(1,6,1,0,"KeySet"),0),":","""",TEXT(valueMaker!H21,"yyyy/m/d"),"""")</f>
        <v>tanjyoubi:"2007/6/2"</v>
      </c>
      <c r="I21" t="str" cm="1">
        <f t="array" aca="1" ref="I21" ca="1">CONCATENATE(INDIRECT(ADDRESS(1,9,1,0,"KeySet"),0),":","""",valueMaker!I21,"""")</f>
        <v>denwaBangou:"090-0887-5283"</v>
      </c>
      <c r="J21" t="str" cm="1">
        <f t="array" aca="1" ref="J21" ca="1">CONCATENATE(INDIRECT(ADDRESS(1,10,1,0,"KeySet"),0),":","""",valueMaker!J21,"""")</f>
        <v>mailAddress:"Wang_Sheng_Chuang_38140@outlook.jp.co"</v>
      </c>
      <c r="K21" t="str" cm="1">
        <f t="array" aca="1" ref="K21" ca="1">CONCATENATE(INDIRECT(ADDRESS(1,11,1,0,"KeySet"),0),":","""",valueMaker!K21,"""")</f>
        <v>kaninSyubetu:"高級"</v>
      </c>
      <c r="L21" t="str" cm="1">
        <f t="array" aca="1" ref="L21" ca="1">CONCATENATE(INDIRECT(ADDRESS(1,12,1,0,"KeySet"),0),":","""",valueMaker!L21,"""")</f>
        <v>kaninKengenWB:"有り"</v>
      </c>
      <c r="M21" t="str" cm="1">
        <f t="array" aca="1" ref="M21" ca="1">CONCATENATE(INDIRECT(ADDRESS(1,13,1,0,"KeySet"),0),":","""",valueMaker!M21,"""")</f>
        <v>wakibiri:"10%"</v>
      </c>
      <c r="N21" t="str" cm="1">
        <f t="array" aca="1" ref="N21" ca="1">CONCATENATE(INDIRECT(ADDRESS(1,14,1,0,"KeySet"),0),":","""",valueMaker!N21,"""")</f>
        <v>kaninKengenPoint:"-"</v>
      </c>
      <c r="O21" t="str" cm="1">
        <f t="array" aca="1" ref="O21" ca="1">CONCATENATE(INDIRECT(ADDRESS(1,15,1,0,"KeySet"),0),":","""",valueMaker!O21,"""")</f>
        <v>point:"-"</v>
      </c>
      <c r="P21" t="str" cm="1">
        <f t="array" aca="1" ref="P21" ca="1">CONCATENATE(INDIRECT(ADDRESS(1,16,1,0,"KeySet"),0),":","""",valueMaker!P21,"""")</f>
        <v>bikou:""</v>
      </c>
    </row>
    <row r="22" spans="1:16">
      <c r="A22" t="str" cm="1">
        <f t="array" aca="1" ref="A22" ca="1">CONCATENATE(INDIRECT(ADDRESS(1,1,1,0,"KeySet"),0),":","""",valueMaker!A22,"""")</f>
        <v>kainBangou:"TD10021"</v>
      </c>
      <c r="B22" t="str" cm="1">
        <f t="array" aca="1" ref="B22" ca="1">CONCATENATE(INDIRECT(ADDRESS(1,2,1,0,"KeySet"),0),":","""",valueMaker!B22,"""")</f>
        <v>kainMeiKanji:"胡飛湖"</v>
      </c>
      <c r="C22" t="str" cm="1">
        <f t="array" aca="1" ref="C22" ca="1">CONCATENATE(INDIRECT(ADDRESS(1,3,1,0,"KeySet"),0),":","""",valueMaker!C22,"""")</f>
        <v>kainMeiKana:"ﾎｩ ﾌｪｲ ﾎｩ"</v>
      </c>
      <c r="D22" t="str" cm="1">
        <f t="array" aca="1" ref="D22" ca="1">CONCATENATE(INDIRECT(ADDRESS(1,4,1,0,"KeySet"),0),":","""",valueMaker!D22,"""")</f>
        <v>kainMeiEn:"Hu Fei Hu"</v>
      </c>
      <c r="E22" t="str" cm="1">
        <f t="array" aca="1" ref="E22" ca="1">CONCATENATE(INDIRECT(ADDRESS(1,5,1,0,"KeySet"),0),":","""",valueMaker!E22,"""")</f>
        <v>kainGender:"-"</v>
      </c>
      <c r="F22" t="str" cm="1">
        <f t="array" aca="1" ref="F22" ca="1">CONCATENATE(INDIRECT(ADDRESS(1,6,1,0,"KeySet"),0),":","""",TEXT(valueMaker!F22,"yyyy/m/d"),"""")</f>
        <v>tanjyoubi:"1991/10/20"</v>
      </c>
      <c r="G22" t="str" cm="1">
        <f t="array" aca="1" ref="G22" ca="1">CONCATENATE(INDIRECT(ADDRESS(1,6,1,0,"KeySet"),0),":","""",TEXT(valueMaker!G22,"yyyy/m/d"),"""")</f>
        <v>tanjyoubi:"2015/7/31"</v>
      </c>
      <c r="H22" t="str" cm="1">
        <f t="array" aca="1" ref="H22" ca="1">CONCATENATE(INDIRECT(ADDRESS(1,6,1,0,"KeySet"),0),":","""",TEXT(valueMaker!H22,"yyyy/m/d"),"""")</f>
        <v>tanjyoubi:"2016/7/30"</v>
      </c>
      <c r="I22" t="str" cm="1">
        <f t="array" aca="1" ref="I22" ca="1">CONCATENATE(INDIRECT(ADDRESS(1,9,1,0,"KeySet"),0),":","""",valueMaker!I22,"""")</f>
        <v>denwaBangou:"080-8073-6828"</v>
      </c>
      <c r="J22" t="str" cm="1">
        <f t="array" aca="1" ref="J22" ca="1">CONCATENATE(INDIRECT(ADDRESS(1,10,1,0,"KeySet"),0),":","""",valueMaker!J22,"""")</f>
        <v>mailAddress:"Hu_Fei_Hu_42216@outlook.jp.co"</v>
      </c>
      <c r="K22" t="str" cm="1">
        <f t="array" aca="1" ref="K22" ca="1">CONCATENATE(INDIRECT(ADDRESS(1,11,1,0,"KeySet"),0),":","""",valueMaker!K22,"""")</f>
        <v>kaninSyubetu:"普通"</v>
      </c>
      <c r="L22" t="str" cm="1">
        <f t="array" aca="1" ref="L22" ca="1">CONCATENATE(INDIRECT(ADDRESS(1,12,1,0,"KeySet"),0),":","""",valueMaker!L22,"""")</f>
        <v>kaninKengenWB:"有り"</v>
      </c>
      <c r="M22" t="str" cm="1">
        <f t="array" aca="1" ref="M22" ca="1">CONCATENATE(INDIRECT(ADDRESS(1,13,1,0,"KeySet"),0),":","""",valueMaker!M22,"""")</f>
        <v>wakibiri:"5%"</v>
      </c>
      <c r="N22" t="str" cm="1">
        <f t="array" aca="1" ref="N22" ca="1">CONCATENATE(INDIRECT(ADDRESS(1,14,1,0,"KeySet"),0),":","""",valueMaker!N22,"""")</f>
        <v>kaninKengenPoint:"有り"</v>
      </c>
      <c r="O22" t="str" cm="1">
        <f t="array" aca="1" ref="O22" ca="1">CONCATENATE(INDIRECT(ADDRESS(1,15,1,0,"KeySet"),0),":","""",valueMaker!O22,"""")</f>
        <v>point:"418"</v>
      </c>
      <c r="P22" t="str" cm="1">
        <f t="array" aca="1" ref="P22" ca="1">CONCATENATE(INDIRECT(ADDRESS(1,16,1,0,"KeySet"),0),":","""",valueMaker!P22,"""")</f>
        <v>bikou:""</v>
      </c>
    </row>
    <row r="23" spans="1:16">
      <c r="A23" t="str" cm="1">
        <f t="array" aca="1" ref="A23" ca="1">CONCATENATE(INDIRECT(ADDRESS(1,1,1,0,"KeySet"),0),":","""",valueMaker!A23,"""")</f>
        <v>kainBangou:"TD10022"</v>
      </c>
      <c r="B23" t="str" cm="1">
        <f t="array" aca="1" ref="B23" ca="1">CONCATENATE(INDIRECT(ADDRESS(1,2,1,0,"KeySet"),0),":","""",valueMaker!B23,"""")</f>
        <v>kainMeiKanji:"劉祖彥"</v>
      </c>
      <c r="C23" t="str" cm="1">
        <f t="array" aca="1" ref="C23" ca="1">CONCATENATE(INDIRECT(ADDRESS(1,3,1,0,"KeySet"),0),":","""",valueMaker!C23,"""")</f>
        <v>kainMeiKana:"ﾘｳ ｽﾞｩ ｲｴﾝ"</v>
      </c>
      <c r="D23" t="str" cm="1">
        <f t="array" aca="1" ref="D23" ca="1">CONCATENATE(INDIRECT(ADDRESS(1,4,1,0,"KeySet"),0),":","""",valueMaker!D23,"""")</f>
        <v>kainMeiEn:"Liu Zu Yan"</v>
      </c>
      <c r="E23" t="str" cm="1">
        <f t="array" aca="1" ref="E23" ca="1">CONCATENATE(INDIRECT(ADDRESS(1,5,1,0,"KeySet"),0),":","""",valueMaker!E23,"""")</f>
        <v>kainGender:"女性"</v>
      </c>
      <c r="F23" t="str" cm="1">
        <f t="array" aca="1" ref="F23" ca="1">CONCATENATE(INDIRECT(ADDRESS(1,6,1,0,"KeySet"),0),":","""",TEXT(valueMaker!F23,"yyyy/m/d"),"""")</f>
        <v>tanjyoubi:"1976/7/24"</v>
      </c>
      <c r="G23" t="str" cm="1">
        <f t="array" aca="1" ref="G23" ca="1">CONCATENATE(INDIRECT(ADDRESS(1,6,1,0,"KeySet"),0),":","""",TEXT(valueMaker!G23,"yyyy/m/d"),"""")</f>
        <v>tanjyoubi:"2013/2/5"</v>
      </c>
      <c r="H23" t="str" cm="1">
        <f t="array" aca="1" ref="H23" ca="1">CONCATENATE(INDIRECT(ADDRESS(1,6,1,0,"KeySet"),0),":","""",TEXT(valueMaker!H23,"yyyy/m/d"),"""")</f>
        <v>tanjyoubi:"2014/2/5"</v>
      </c>
      <c r="I23" t="str" cm="1">
        <f t="array" aca="1" ref="I23" ca="1">CONCATENATE(INDIRECT(ADDRESS(1,9,1,0,"KeySet"),0),":","""",valueMaker!I23,"""")</f>
        <v>denwaBangou:"090-7997-8024"</v>
      </c>
      <c r="J23" t="str" cm="1">
        <f t="array" aca="1" ref="J23" ca="1">CONCATENATE(INDIRECT(ADDRESS(1,10,1,0,"KeySet"),0),":","""",valueMaker!J23,"""")</f>
        <v>mailAddress:"Liu_Zu_Yan_41310@outlook.jp.co"</v>
      </c>
      <c r="K23" t="str" cm="1">
        <f t="array" aca="1" ref="K23" ca="1">CONCATENATE(INDIRECT(ADDRESS(1,11,1,0,"KeySet"),0),":","""",valueMaker!K23,"""")</f>
        <v>kaninSyubetu:"普通"</v>
      </c>
      <c r="L23" t="str" cm="1">
        <f t="array" aca="1" ref="L23" ca="1">CONCATENATE(INDIRECT(ADDRESS(1,12,1,0,"KeySet"),0),":","""",valueMaker!L23,"""")</f>
        <v>kaninKengenWB:"有り"</v>
      </c>
      <c r="M23" t="str" cm="1">
        <f t="array" aca="1" ref="M23" ca="1">CONCATENATE(INDIRECT(ADDRESS(1,13,1,0,"KeySet"),0),":","""",valueMaker!M23,"""")</f>
        <v>wakibiri:"5%"</v>
      </c>
      <c r="N23" t="str" cm="1">
        <f t="array" aca="1" ref="N23" ca="1">CONCATENATE(INDIRECT(ADDRESS(1,14,1,0,"KeySet"),0),":","""",valueMaker!N23,"""")</f>
        <v>kaninKengenPoint:"有り"</v>
      </c>
      <c r="O23" t="str" cm="1">
        <f t="array" aca="1" ref="O23" ca="1">CONCATENATE(INDIRECT(ADDRESS(1,15,1,0,"KeySet"),0),":","""",valueMaker!O23,"""")</f>
        <v>point:"93"</v>
      </c>
      <c r="P23" t="str" cm="1">
        <f t="array" aca="1" ref="P23" ca="1">CONCATENATE(INDIRECT(ADDRESS(1,16,1,0,"KeySet"),0),":","""",valueMaker!P23,"""")</f>
        <v>bikou:""</v>
      </c>
    </row>
    <row r="24" spans="1:16">
      <c r="A24" t="str" cm="1">
        <f t="array" aca="1" ref="A24" ca="1">CONCATENATE(INDIRECT(ADDRESS(1,1,1,0,"KeySet"),0),":","""",valueMaker!A24,"""")</f>
        <v>kainBangou:"TD10023"</v>
      </c>
      <c r="B24" t="str" cm="1">
        <f t="array" aca="1" ref="B24" ca="1">CONCATENATE(INDIRECT(ADDRESS(1,2,1,0,"KeySet"),0),":","""",valueMaker!B24,"""")</f>
        <v>kainMeiKanji:"馬事彩"</v>
      </c>
      <c r="C24" t="str" cm="1">
        <f t="array" aca="1" ref="C24" ca="1">CONCATENATE(INDIRECT(ADDRESS(1,3,1,0,"KeySet"),0),":","""",valueMaker!C24,"""")</f>
        <v>kainMeiKana:"ﾏｰ ｼｰ ﾂｧｲ"</v>
      </c>
      <c r="D24" t="str" cm="1">
        <f t="array" aca="1" ref="D24" ca="1">CONCATENATE(INDIRECT(ADDRESS(1,4,1,0,"KeySet"),0),":","""",valueMaker!D24,"""")</f>
        <v>kainMeiEn:"Ma Shi Cai"</v>
      </c>
      <c r="E24" t="str" cm="1">
        <f t="array" aca="1" ref="E24" ca="1">CONCATENATE(INDIRECT(ADDRESS(1,5,1,0,"KeySet"),0),":","""",valueMaker!E24,"""")</f>
        <v>kainGender:"女性"</v>
      </c>
      <c r="F24" t="str" cm="1">
        <f t="array" aca="1" ref="F24" ca="1">CONCATENATE(INDIRECT(ADDRESS(1,6,1,0,"KeySet"),0),":","""",TEXT(valueMaker!F24,"yyyy/m/d"),"""")</f>
        <v>tanjyoubi:"2003/3/17"</v>
      </c>
      <c r="G24" t="str" cm="1">
        <f t="array" aca="1" ref="G24" ca="1">CONCATENATE(INDIRECT(ADDRESS(1,6,1,0,"KeySet"),0),":","""",TEXT(valueMaker!G24,"yyyy/m/d"),"""")</f>
        <v>tanjyoubi:"2024/3/9"</v>
      </c>
      <c r="H24" t="str" cm="1">
        <f t="array" aca="1" ref="H24" ca="1">CONCATENATE(INDIRECT(ADDRESS(1,6,1,0,"KeySet"),0),":","""",TEXT(valueMaker!H24,"yyyy/m/d"),"""")</f>
        <v>tanjyoubi:"2025/3/9"</v>
      </c>
      <c r="I24" t="str" cm="1">
        <f t="array" aca="1" ref="I24" ca="1">CONCATENATE(INDIRECT(ADDRESS(1,9,1,0,"KeySet"),0),":","""",valueMaker!I24,"""")</f>
        <v>denwaBangou:"080-7503-9595"</v>
      </c>
      <c r="J24" t="str" cm="1">
        <f t="array" aca="1" ref="J24" ca="1">CONCATENATE(INDIRECT(ADDRESS(1,10,1,0,"KeySet"),0),":","""",valueMaker!J24,"""")</f>
        <v>mailAddress:"Ma_Shi_Cai_45360@outlook.jp.co"</v>
      </c>
      <c r="K24" t="str" cm="1">
        <f t="array" aca="1" ref="K24" ca="1">CONCATENATE(INDIRECT(ADDRESS(1,11,1,0,"KeySet"),0),":","""",valueMaker!K24,"""")</f>
        <v>kaninSyubetu:"普通"</v>
      </c>
      <c r="L24" t="str" cm="1">
        <f t="array" aca="1" ref="L24" ca="1">CONCATENATE(INDIRECT(ADDRESS(1,12,1,0,"KeySet"),0),":","""",valueMaker!L24,"""")</f>
        <v>kaninKengenWB:"有り"</v>
      </c>
      <c r="M24" t="str" cm="1">
        <f t="array" aca="1" ref="M24" ca="1">CONCATENATE(INDIRECT(ADDRESS(1,13,1,0,"KeySet"),0),":","""",valueMaker!M24,"""")</f>
        <v>wakibiri:"5%"</v>
      </c>
      <c r="N24" t="str" cm="1">
        <f t="array" aca="1" ref="N24" ca="1">CONCATENATE(INDIRECT(ADDRESS(1,14,1,0,"KeySet"),0),":","""",valueMaker!N24,"""")</f>
        <v>kaninKengenPoint:"-"</v>
      </c>
      <c r="O24" t="str" cm="1">
        <f t="array" aca="1" ref="O24" ca="1">CONCATENATE(INDIRECT(ADDRESS(1,15,1,0,"KeySet"),0),":","""",valueMaker!O24,"""")</f>
        <v>point:"-"</v>
      </c>
      <c r="P24" t="str" cm="1">
        <f t="array" aca="1" ref="P24" ca="1">CONCATENATE(INDIRECT(ADDRESS(1,16,1,0,"KeySet"),0),":","""",valueMaker!P24,"""")</f>
        <v>bikou:""</v>
      </c>
    </row>
    <row r="25" spans="1:16">
      <c r="A25" t="str" cm="1">
        <f t="array" aca="1" ref="A25" ca="1">CONCATENATE(INDIRECT(ADDRESS(1,1,1,0,"KeySet"),0),":","""",valueMaker!A25,"""")</f>
        <v>kainBangou:"TD10024"</v>
      </c>
      <c r="B25" t="str" cm="1">
        <f t="array" aca="1" ref="B25" ca="1">CONCATENATE(INDIRECT(ADDRESS(1,2,1,0,"KeySet"),0),":","""",valueMaker!B25,"""")</f>
        <v>kainMeiKanji:"張泰聚"</v>
      </c>
      <c r="C25" t="str" cm="1">
        <f t="array" aca="1" ref="C25" ca="1">CONCATENATE(INDIRECT(ADDRESS(1,3,1,0,"KeySet"),0),":","""",valueMaker!C25,"""")</f>
        <v>kainMeiKana:"ｼﾞｬｰﾝ ﾀｲ ｼﾞｭｲ"</v>
      </c>
      <c r="D25" t="str" cm="1">
        <f t="array" aca="1" ref="D25" ca="1">CONCATENATE(INDIRECT(ADDRESS(1,4,1,0,"KeySet"),0),":","""",valueMaker!D25,"""")</f>
        <v>kainMeiEn:"Zhang Tai Ju"</v>
      </c>
      <c r="E25" t="str" cm="1">
        <f t="array" aca="1" ref="E25" ca="1">CONCATENATE(INDIRECT(ADDRESS(1,5,1,0,"KeySet"),0),":","""",valueMaker!E25,"""")</f>
        <v>kainGender:"女性"</v>
      </c>
      <c r="F25" t="str" cm="1">
        <f t="array" aca="1" ref="F25" ca="1">CONCATENATE(INDIRECT(ADDRESS(1,6,1,0,"KeySet"),0),":","""",TEXT(valueMaker!F25,"yyyy/m/d"),"""")</f>
        <v>tanjyoubi:"1969/8/10"</v>
      </c>
      <c r="G25" t="str" cm="1">
        <f t="array" aca="1" ref="G25" ca="1">CONCATENATE(INDIRECT(ADDRESS(1,6,1,0,"KeySet"),0),":","""",TEXT(valueMaker!G25,"yyyy/m/d"),"""")</f>
        <v>tanjyoubi:"2009/12/26"</v>
      </c>
      <c r="H25" t="str" cm="1">
        <f t="array" aca="1" ref="H25" ca="1">CONCATENATE(INDIRECT(ADDRESS(1,6,1,0,"KeySet"),0),":","""",TEXT(valueMaker!H25,"yyyy/m/d"),"""")</f>
        <v>tanjyoubi:"2011/12/26"</v>
      </c>
      <c r="I25" t="str" cm="1">
        <f t="array" aca="1" ref="I25" ca="1">CONCATENATE(INDIRECT(ADDRESS(1,9,1,0,"KeySet"),0),":","""",valueMaker!I25,"""")</f>
        <v>denwaBangou:"080-5632-4490"</v>
      </c>
      <c r="J25" t="str" cm="1">
        <f t="array" aca="1" ref="J25" ca="1">CONCATENATE(INDIRECT(ADDRESS(1,10,1,0,"KeySet"),0),":","""",valueMaker!J25,"""")</f>
        <v>mailAddress:"Zhang_Tai_Ju_40173@outlook.jp.co"</v>
      </c>
      <c r="K25" t="str" cm="1">
        <f t="array" aca="1" ref="K25" ca="1">CONCATENATE(INDIRECT(ADDRESS(1,11,1,0,"KeySet"),0),":","""",valueMaker!K25,"""")</f>
        <v>kaninSyubetu:"普通"</v>
      </c>
      <c r="L25" t="str" cm="1">
        <f t="array" aca="1" ref="L25" ca="1">CONCATENATE(INDIRECT(ADDRESS(1,12,1,0,"KeySet"),0),":","""",valueMaker!L25,"""")</f>
        <v>kaninKengenWB:"有り"</v>
      </c>
      <c r="M25" t="str" cm="1">
        <f t="array" aca="1" ref="M25" ca="1">CONCATENATE(INDIRECT(ADDRESS(1,13,1,0,"KeySet"),0),":","""",valueMaker!M25,"""")</f>
        <v>wakibiri:"5%"</v>
      </c>
      <c r="N25" t="str" cm="1">
        <f t="array" aca="1" ref="N25" ca="1">CONCATENATE(INDIRECT(ADDRESS(1,14,1,0,"KeySet"),0),":","""",valueMaker!N25,"""")</f>
        <v>kaninKengenPoint:"-"</v>
      </c>
      <c r="O25" t="str" cm="1">
        <f t="array" aca="1" ref="O25" ca="1">CONCATENATE(INDIRECT(ADDRESS(1,15,1,0,"KeySet"),0),":","""",valueMaker!O25,"""")</f>
        <v>point:"-"</v>
      </c>
      <c r="P25" t="str" cm="1">
        <f t="array" aca="1" ref="P25" ca="1">CONCATENATE(INDIRECT(ADDRESS(1,16,1,0,"KeySet"),0),":","""",valueMaker!P25,"""")</f>
        <v>bikou:""</v>
      </c>
    </row>
    <row r="26" spans="1:16">
      <c r="A26" t="str" cm="1">
        <f t="array" aca="1" ref="A26" ca="1">CONCATENATE(INDIRECT(ADDRESS(1,1,1,0,"KeySet"),0),":","""",valueMaker!A26,"""")</f>
        <v>kainBangou:""</v>
      </c>
      <c r="B26" t="str" cm="1">
        <f t="array" aca="1" ref="B26" ca="1">CONCATENATE(INDIRECT(ADDRESS(1,2,1,0,"KeySet"),0),":","""",valueMaker!B26,"""")</f>
        <v>kainMeiKanji:""</v>
      </c>
      <c r="C26" t="str" cm="1">
        <f t="array" aca="1" ref="C26" ca="1">CONCATENATE(INDIRECT(ADDRESS(1,3,1,0,"KeySet"),0),":","""",valueMaker!C26,"""")</f>
        <v>kainMeiKana:""</v>
      </c>
      <c r="D26" t="str" cm="1">
        <f t="array" aca="1" ref="D26" ca="1">CONCATENATE(INDIRECT(ADDRESS(1,4,1,0,"KeySet"),0),":","""",valueMaker!D26,"""")</f>
        <v>kainMeiEn:""</v>
      </c>
      <c r="E26" t="str" cm="1">
        <f t="array" aca="1" ref="E26" ca="1">CONCATENATE(INDIRECT(ADDRESS(1,5,1,0,"KeySet"),0),":","""",valueMaker!E26,"""")</f>
        <v>kainGender:""</v>
      </c>
      <c r="F26" t="str" cm="1">
        <f t="array" aca="1" ref="F26" ca="1">CONCATENATE(INDIRECT(ADDRESS(1,6,1,0,"KeySet"),0),":","""",TEXT(valueMaker!F26,"yyyy/m/d"),"""")</f>
        <v>tanjyoubi:"1900/1/0"</v>
      </c>
      <c r="G26" t="str" cm="1">
        <f t="array" aca="1" ref="G26" ca="1">CONCATENATE(INDIRECT(ADDRESS(1,6,1,0,"KeySet"),0),":","""",TEXT(valueMaker!G26,"yyyy/m/d"),"""")</f>
        <v>tanjyoubi:"1900/1/0"</v>
      </c>
      <c r="H26" t="str" cm="1">
        <f t="array" aca="1" ref="H26" ca="1">CONCATENATE(INDIRECT(ADDRESS(1,6,1,0,"KeySet"),0),":","""",TEXT(valueMaker!H26,"yyyy/m/d"),"""")</f>
        <v>tanjyoubi:"1900/1/0"</v>
      </c>
      <c r="I26" t="str" cm="1">
        <f t="array" aca="1" ref="I26" ca="1">CONCATENATE(INDIRECT(ADDRESS(1,9,1,0,"KeySet"),0),":","""",valueMaker!I26,"""")</f>
        <v>denwaBangou:""</v>
      </c>
      <c r="J26" t="str" cm="1">
        <f t="array" aca="1" ref="J26" ca="1">CONCATENATE(INDIRECT(ADDRESS(1,10,1,0,"KeySet"),0),":","""",valueMaker!J26,"""")</f>
        <v>mailAddress:""</v>
      </c>
      <c r="K26" t="str" cm="1">
        <f t="array" aca="1" ref="K26" ca="1">CONCATENATE(INDIRECT(ADDRESS(1,11,1,0,"KeySet"),0),":","""",valueMaker!K26,"""")</f>
        <v>kaninSyubetu:""</v>
      </c>
      <c r="L26" t="str" cm="1">
        <f t="array" aca="1" ref="L26" ca="1">CONCATENATE(INDIRECT(ADDRESS(1,12,1,0,"KeySet"),0),":","""",valueMaker!L26,"""")</f>
        <v>kaninKengenWB:""</v>
      </c>
      <c r="M26" t="str" cm="1">
        <f t="array" aca="1" ref="M26" ca="1">CONCATENATE(INDIRECT(ADDRESS(1,13,1,0,"KeySet"),0),":","""",valueMaker!M26,"""")</f>
        <v>wakibiri:""</v>
      </c>
      <c r="N26" t="str" cm="1">
        <f t="array" aca="1" ref="N26" ca="1">CONCATENATE(INDIRECT(ADDRESS(1,14,1,0,"KeySet"),0),":","""",valueMaker!N26,"""")</f>
        <v>kaninKengenPoint:""</v>
      </c>
      <c r="O26" t="str" cm="1">
        <f t="array" aca="1" ref="O26" ca="1">CONCATENATE(INDIRECT(ADDRESS(1,15,1,0,"KeySet"),0),":","""",valueMaker!O26,"""")</f>
        <v>point:""</v>
      </c>
      <c r="P26" t="str" cm="1">
        <f t="array" aca="1" ref="P26" ca="1">CONCATENATE(INDIRECT(ADDRESS(1,16,1,0,"KeySet"),0),":","""",valueMaker!P26,"""")</f>
        <v>bikou:""</v>
      </c>
    </row>
    <row r="27" spans="1:16">
      <c r="A27" t="str" cm="1">
        <f t="array" aca="1" ref="A27" ca="1">CONCATENATE(INDIRECT(ADDRESS(1,1,1,0,"KeySet"),0),":","""",valueMaker!A27,"""")</f>
        <v>kainBangou:"TD10026"</v>
      </c>
      <c r="B27" t="str" cm="1">
        <f t="array" aca="1" ref="B27" ca="1">CONCATENATE(INDIRECT(ADDRESS(1,2,1,0,"KeySet"),0),":","""",valueMaker!B27,"""")</f>
        <v>kainMeiKanji:"吳茂韋"</v>
      </c>
      <c r="C27" t="str" cm="1">
        <f t="array" aca="1" ref="C27" ca="1">CONCATENATE(INDIRECT(ADDRESS(1,3,1,0,"KeySet"),0),":","""",valueMaker!C27,"""")</f>
        <v>kainMeiKana:"ｳｰ ﾏｵ ｳｴｲ"</v>
      </c>
      <c r="D27" t="str" cm="1">
        <f t="array" aca="1" ref="D27" ca="1">CONCATENATE(INDIRECT(ADDRESS(1,4,1,0,"KeySet"),0),":","""",valueMaker!D27,"""")</f>
        <v>kainMeiEn:"Wu Mao Wei"</v>
      </c>
      <c r="E27" t="str" cm="1">
        <f t="array" aca="1" ref="E27" ca="1">CONCATENATE(INDIRECT(ADDRESS(1,5,1,0,"KeySet"),0),":","""",valueMaker!E27,"""")</f>
        <v>kainGender:"男性"</v>
      </c>
      <c r="F27" t="str" cm="1">
        <f t="array" aca="1" ref="F27" ca="1">CONCATENATE(INDIRECT(ADDRESS(1,6,1,0,"KeySet"),0),":","""",TEXT(valueMaker!F27,"yyyy/m/d"),"""")</f>
        <v>tanjyoubi:"1992/6/8"</v>
      </c>
      <c r="G27" t="str" cm="1">
        <f t="array" aca="1" ref="G27" ca="1">CONCATENATE(INDIRECT(ADDRESS(1,6,1,0,"KeySet"),0),":","""",TEXT(valueMaker!G27,"yyyy/m/d"),"""")</f>
        <v>tanjyoubi:"2021/1/11"</v>
      </c>
      <c r="H27" t="str" cm="1">
        <f t="array" aca="1" ref="H27" ca="1">CONCATENATE(INDIRECT(ADDRESS(1,6,1,0,"KeySet"),0),":","""",TEXT(valueMaker!H27,"yyyy/m/d"),"""")</f>
        <v>tanjyoubi:"2024/1/11"</v>
      </c>
      <c r="I27" t="str" cm="1">
        <f t="array" aca="1" ref="I27" ca="1">CONCATENATE(INDIRECT(ADDRESS(1,9,1,0,"KeySet"),0),":","""",valueMaker!I27,"""")</f>
        <v>denwaBangou:"090-1915-2955"</v>
      </c>
      <c r="J27" t="str" cm="1">
        <f t="array" aca="1" ref="J27" ca="1">CONCATENATE(INDIRECT(ADDRESS(1,10,1,0,"KeySet"),0),":","""",valueMaker!J27,"""")</f>
        <v>mailAddress:"Wu_Mao_Wei_44207@outlook.jp.co"</v>
      </c>
      <c r="K27" t="str" cm="1">
        <f t="array" aca="1" ref="K27" ca="1">CONCATENATE(INDIRECT(ADDRESS(1,11,1,0,"KeySet"),0),":","""",valueMaker!K27,"""")</f>
        <v>kaninSyubetu:"高級"</v>
      </c>
      <c r="L27" t="str" cm="1">
        <f t="array" aca="1" ref="L27" ca="1">CONCATENATE(INDIRECT(ADDRESS(1,12,1,0,"KeySet"),0),":","""",valueMaker!L27,"""")</f>
        <v>kaninKengenWB:"有り"</v>
      </c>
      <c r="M27" t="str" cm="1">
        <f t="array" aca="1" ref="M27" ca="1">CONCATENATE(INDIRECT(ADDRESS(1,13,1,0,"KeySet"),0),":","""",valueMaker!M27,"""")</f>
        <v>wakibiri:"10%"</v>
      </c>
      <c r="N27" t="str" cm="1">
        <f t="array" aca="1" ref="N27" ca="1">CONCATENATE(INDIRECT(ADDRESS(1,14,1,0,"KeySet"),0),":","""",valueMaker!N27,"""")</f>
        <v>kaninKengenPoint:"有り"</v>
      </c>
      <c r="O27" t="str" cm="1">
        <f t="array" aca="1" ref="O27" ca="1">CONCATENATE(INDIRECT(ADDRESS(1,15,1,0,"KeySet"),0),":","""",valueMaker!O27,"""")</f>
        <v>point:"293"</v>
      </c>
      <c r="P27" t="str" cm="1">
        <f t="array" aca="1" ref="P27" ca="1">CONCATENATE(INDIRECT(ADDRESS(1,16,1,0,"KeySet"),0),":","""",valueMaker!P27,"""")</f>
        <v>bikou:""</v>
      </c>
    </row>
    <row r="28" spans="1:16">
      <c r="A28" t="str" cm="1">
        <f t="array" aca="1" ref="A28" ca="1">CONCATENATE(INDIRECT(ADDRESS(1,1,1,0,"KeySet"),0),":","""",valueMaker!A28,"""")</f>
        <v>kainBangou:"TD10027"</v>
      </c>
      <c r="B28" t="str" cm="1">
        <f t="array" aca="1" ref="B28" ca="1">CONCATENATE(INDIRECT(ADDRESS(1,2,1,0,"KeySet"),0),":","""",valueMaker!B28,"""")</f>
        <v>kainMeiKanji:"王孝宏"</v>
      </c>
      <c r="C28" t="str" cm="1">
        <f t="array" aca="1" ref="C28" ca="1">CONCATENATE(INDIRECT(ADDRESS(1,3,1,0,"KeySet"),0),":","""",valueMaker!C28,"""")</f>
        <v>kainMeiKana:"ﾜｰﾝ ｼﾔｵ ﾎｰﾝ"</v>
      </c>
      <c r="D28" t="str" cm="1">
        <f t="array" aca="1" ref="D28" ca="1">CONCATENATE(INDIRECT(ADDRESS(1,4,1,0,"KeySet"),0),":","""",valueMaker!D28,"""")</f>
        <v>kainMeiEn:"Wang Xiao Hong"</v>
      </c>
      <c r="E28" t="str" cm="1">
        <f t="array" aca="1" ref="E28" ca="1">CONCATENATE(INDIRECT(ADDRESS(1,5,1,0,"KeySet"),0),":","""",valueMaker!E28,"""")</f>
        <v>kainGender:"女性"</v>
      </c>
      <c r="F28" t="str" cm="1">
        <f t="array" aca="1" ref="F28" ca="1">CONCATENATE(INDIRECT(ADDRESS(1,6,1,0,"KeySet"),0),":","""",TEXT(valueMaker!F28,"yyyy/m/d"),"""")</f>
        <v>tanjyoubi:"1996/10/30"</v>
      </c>
      <c r="G28" t="str" cm="1">
        <f t="array" aca="1" ref="G28" ca="1">CONCATENATE(INDIRECT(ADDRESS(1,6,1,0,"KeySet"),0),":","""",TEXT(valueMaker!G28,"yyyy/m/d"),"""")</f>
        <v>tanjyoubi:"2021/8/17"</v>
      </c>
      <c r="H28" t="str" cm="1">
        <f t="array" aca="1" ref="H28" ca="1">CONCATENATE(INDIRECT(ADDRESS(1,6,1,0,"KeySet"),0),":","""",TEXT(valueMaker!H28,"yyyy/m/d"),"""")</f>
        <v>tanjyoubi:"2022/8/17"</v>
      </c>
      <c r="I28" t="str" cm="1">
        <f t="array" aca="1" ref="I28" ca="1">CONCATENATE(INDIRECT(ADDRESS(1,9,1,0,"KeySet"),0),":","""",valueMaker!I28,"""")</f>
        <v>denwaBangou:"090-8176-0728"</v>
      </c>
      <c r="J28" t="str" cm="1">
        <f t="array" aca="1" ref="J28" ca="1">CONCATENATE(INDIRECT(ADDRESS(1,10,1,0,"KeySet"),0),":","""",valueMaker!J28,"""")</f>
        <v>mailAddress:"Wang_Xiao_Hong_44425@outlook.jp.co"</v>
      </c>
      <c r="K28" t="str" cm="1">
        <f t="array" aca="1" ref="K28" ca="1">CONCATENATE(INDIRECT(ADDRESS(1,11,1,0,"KeySet"),0),":","""",valueMaker!K28,"""")</f>
        <v>kaninSyubetu:"普通"</v>
      </c>
      <c r="L28" t="str" cm="1">
        <f t="array" aca="1" ref="L28" ca="1">CONCATENATE(INDIRECT(ADDRESS(1,12,1,0,"KeySet"),0),":","""",valueMaker!L28,"""")</f>
        <v>kaninKengenWB:"-"</v>
      </c>
      <c r="M28" t="str" cm="1">
        <f t="array" aca="1" ref="M28" ca="1">CONCATENATE(INDIRECT(ADDRESS(1,13,1,0,"KeySet"),0),":","""",valueMaker!M28,"""")</f>
        <v>wakibiri:"-"</v>
      </c>
      <c r="N28" t="str" cm="1">
        <f t="array" aca="1" ref="N28" ca="1">CONCATENATE(INDIRECT(ADDRESS(1,14,1,0,"KeySet"),0),":","""",valueMaker!N28,"""")</f>
        <v>kaninKengenPoint:"有り"</v>
      </c>
      <c r="O28" t="str" cm="1">
        <f t="array" aca="1" ref="O28" ca="1">CONCATENATE(INDIRECT(ADDRESS(1,15,1,0,"KeySet"),0),":","""",valueMaker!O28,"""")</f>
        <v>point:"180"</v>
      </c>
      <c r="P28" t="str" cm="1">
        <f t="array" aca="1" ref="P28" ca="1">CONCATENATE(INDIRECT(ADDRESS(1,16,1,0,"KeySet"),0),":","""",valueMaker!P28,"""")</f>
        <v>bikou:""</v>
      </c>
    </row>
    <row r="29" spans="1:16">
      <c r="A29" t="str" cm="1">
        <f t="array" aca="1" ref="A29" ca="1">CONCATENATE(INDIRECT(ADDRESS(1,1,1,0,"KeySet"),0),":","""",valueMaker!A29,"""")</f>
        <v>kainBangou:"TD10028"</v>
      </c>
      <c r="B29" t="str" cm="1">
        <f t="array" aca="1" ref="B29" ca="1">CONCATENATE(INDIRECT(ADDRESS(1,2,1,0,"KeySet"),0),":","""",valueMaker!B29,"""")</f>
        <v>kainMeiKanji:"朱泓索"</v>
      </c>
      <c r="C29" t="str" cm="1">
        <f t="array" aca="1" ref="C29" ca="1">CONCATENATE(INDIRECT(ADDRESS(1,3,1,0,"KeySet"),0),":","""",valueMaker!C29,"""")</f>
        <v>kainMeiKana:"ｼﾞｭｳ ﾎｰﾝ ｽｩｵ"</v>
      </c>
      <c r="D29" t="str" cm="1">
        <f t="array" aca="1" ref="D29" ca="1">CONCATENATE(INDIRECT(ADDRESS(1,4,1,0,"KeySet"),0),":","""",valueMaker!D29,"""")</f>
        <v>kainMeiEn:"Zhu Hong Suo"</v>
      </c>
      <c r="E29" t="str" cm="1">
        <f t="array" aca="1" ref="E29" ca="1">CONCATENATE(INDIRECT(ADDRESS(1,5,1,0,"KeySet"),0),":","""",valueMaker!E29,"""")</f>
        <v>kainGender:"男性"</v>
      </c>
      <c r="F29" t="str" cm="1">
        <f t="array" aca="1" ref="F29" ca="1">CONCATENATE(INDIRECT(ADDRESS(1,6,1,0,"KeySet"),0),":","""",TEXT(valueMaker!F29,"yyyy/m/d"),"""")</f>
        <v>tanjyoubi:"1966/3/19"</v>
      </c>
      <c r="G29" t="str" cm="1">
        <f t="array" aca="1" ref="G29" ca="1">CONCATENATE(INDIRECT(ADDRESS(1,6,1,0,"KeySet"),0),":","""",TEXT(valueMaker!G29,"yyyy/m/d"),"""")</f>
        <v>tanjyoubi:"2013/11/11"</v>
      </c>
      <c r="H29" t="str" cm="1">
        <f t="array" aca="1" ref="H29" ca="1">CONCATENATE(INDIRECT(ADDRESS(1,6,1,0,"KeySet"),0),":","""",TEXT(valueMaker!H29,"yyyy/m/d"),"""")</f>
        <v>tanjyoubi:"2014/11/11"</v>
      </c>
      <c r="I29" t="str" cm="1">
        <f t="array" aca="1" ref="I29" ca="1">CONCATENATE(INDIRECT(ADDRESS(1,9,1,0,"KeySet"),0),":","""",valueMaker!I29,"""")</f>
        <v>denwaBangou:"080-3993-3878"</v>
      </c>
      <c r="J29" t="str" cm="1">
        <f t="array" aca="1" ref="J29" ca="1">CONCATENATE(INDIRECT(ADDRESS(1,10,1,0,"KeySet"),0),":","""",valueMaker!J29,"""")</f>
        <v>mailAddress:"Zhu_Hong_Suo_41589@outlook.jp.co"</v>
      </c>
      <c r="K29" t="str" cm="1">
        <f t="array" aca="1" ref="K29" ca="1">CONCATENATE(INDIRECT(ADDRESS(1,11,1,0,"KeySet"),0),":","""",valueMaker!K29,"""")</f>
        <v>kaninSyubetu:"高級"</v>
      </c>
      <c r="L29" t="str" cm="1">
        <f t="array" aca="1" ref="L29" ca="1">CONCATENATE(INDIRECT(ADDRESS(1,12,1,0,"KeySet"),0),":","""",valueMaker!L29,"""")</f>
        <v>kaninKengenWB:"-"</v>
      </c>
      <c r="M29" t="str" cm="1">
        <f t="array" aca="1" ref="M29" ca="1">CONCATENATE(INDIRECT(ADDRESS(1,13,1,0,"KeySet"),0),":","""",valueMaker!M29,"""")</f>
        <v>wakibiri:"-"</v>
      </c>
      <c r="N29" t="str" cm="1">
        <f t="array" aca="1" ref="N29" ca="1">CONCATENATE(INDIRECT(ADDRESS(1,14,1,0,"KeySet"),0),":","""",valueMaker!N29,"""")</f>
        <v>kaninKengenPoint:"有り"</v>
      </c>
      <c r="O29" t="str" cm="1">
        <f t="array" aca="1" ref="O29" ca="1">CONCATENATE(INDIRECT(ADDRESS(1,15,1,0,"KeySet"),0),":","""",valueMaker!O29,"""")</f>
        <v>point:"622"</v>
      </c>
      <c r="P29" t="str" cm="1">
        <f t="array" aca="1" ref="P29" ca="1">CONCATENATE(INDIRECT(ADDRESS(1,16,1,0,"KeySet"),0),":","""",valueMaker!P29,"""")</f>
        <v>bikou:""</v>
      </c>
    </row>
    <row r="30" spans="1:16">
      <c r="A30" t="str" cm="1">
        <f t="array" aca="1" ref="A30" ca="1">CONCATENATE(INDIRECT(ADDRESS(1,1,1,0,"KeySet"),0),":","""",valueMaker!A30,"""")</f>
        <v>kainBangou:"TD10029"</v>
      </c>
      <c r="B30" t="str" cm="1">
        <f t="array" aca="1" ref="B30" ca="1">CONCATENATE(INDIRECT(ADDRESS(1,2,1,0,"KeySet"),0),":","""",valueMaker!B30,"""")</f>
        <v>kainMeiKanji:"周木納"</v>
      </c>
      <c r="C30" t="str" cm="1">
        <f t="array" aca="1" ref="C30" ca="1">CONCATENATE(INDIRECT(ADDRESS(1,3,1,0,"KeySet"),0),":","""",valueMaker!C30,"""")</f>
        <v>kainMeiKana:"ｼﾞｮｳ ﾑｩ ﾅｰ"</v>
      </c>
      <c r="D30" t="str" cm="1">
        <f t="array" aca="1" ref="D30" ca="1">CONCATENATE(INDIRECT(ADDRESS(1,4,1,0,"KeySet"),0),":","""",valueMaker!D30,"""")</f>
        <v>kainMeiEn:"Zhou Mu Na"</v>
      </c>
      <c r="E30" t="str" cm="1">
        <f t="array" aca="1" ref="E30" ca="1">CONCATENATE(INDIRECT(ADDRESS(1,5,1,0,"KeySet"),0),":","""",valueMaker!E30,"""")</f>
        <v>kainGender:"男性"</v>
      </c>
      <c r="F30" t="str" cm="1">
        <f t="array" aca="1" ref="F30" ca="1">CONCATENATE(INDIRECT(ADDRESS(1,6,1,0,"KeySet"),0),":","""",TEXT(valueMaker!F30,"yyyy/m/d"),"""")</f>
        <v>tanjyoubi:"1999/4/6"</v>
      </c>
      <c r="G30" t="str" cm="1">
        <f t="array" aca="1" ref="G30" ca="1">CONCATENATE(INDIRECT(ADDRESS(1,6,1,0,"KeySet"),0),":","""",TEXT(valueMaker!G30,"yyyy/m/d"),"""")</f>
        <v>tanjyoubi:"2022/2/4"</v>
      </c>
      <c r="H30" t="str" cm="1">
        <f t="array" aca="1" ref="H30" ca="1">CONCATENATE(INDIRECT(ADDRESS(1,6,1,0,"KeySet"),0),":","""",TEXT(valueMaker!H30,"yyyy/m/d"),"""")</f>
        <v>tanjyoubi:"2025/2/3"</v>
      </c>
      <c r="I30" t="str" cm="1">
        <f t="array" aca="1" ref="I30" ca="1">CONCATENATE(INDIRECT(ADDRESS(1,9,1,0,"KeySet"),0),":","""",valueMaker!I30,"""")</f>
        <v>denwaBangou:"080-6456-3257"</v>
      </c>
      <c r="J30" t="str" cm="1">
        <f t="array" aca="1" ref="J30" ca="1">CONCATENATE(INDIRECT(ADDRESS(1,10,1,0,"KeySet"),0),":","""",valueMaker!J30,"""")</f>
        <v>mailAddress:"Zhou_Mu_Na_44596@outlook.jp.co"</v>
      </c>
      <c r="K30" t="str" cm="1">
        <f t="array" aca="1" ref="K30" ca="1">CONCATENATE(INDIRECT(ADDRESS(1,11,1,0,"KeySet"),0),":","""",valueMaker!K30,"""")</f>
        <v>kaninSyubetu:"高級"</v>
      </c>
      <c r="L30" t="str" cm="1">
        <f t="array" aca="1" ref="L30" ca="1">CONCATENATE(INDIRECT(ADDRESS(1,12,1,0,"KeySet"),0),":","""",valueMaker!L30,"""")</f>
        <v>kaninKengenWB:"有り"</v>
      </c>
      <c r="M30" t="str" cm="1">
        <f t="array" aca="1" ref="M30" ca="1">CONCATENATE(INDIRECT(ADDRESS(1,13,1,0,"KeySet"),0),":","""",valueMaker!M30,"""")</f>
        <v>wakibiri:"10%"</v>
      </c>
      <c r="N30" t="str" cm="1">
        <f t="array" aca="1" ref="N30" ca="1">CONCATENATE(INDIRECT(ADDRESS(1,14,1,0,"KeySet"),0),":","""",valueMaker!N30,"""")</f>
        <v>kaninKengenPoint:"-"</v>
      </c>
      <c r="O30" t="str" cm="1">
        <f t="array" aca="1" ref="O30" ca="1">CONCATENATE(INDIRECT(ADDRESS(1,15,1,0,"KeySet"),0),":","""",valueMaker!O30,"""")</f>
        <v>point:"-"</v>
      </c>
      <c r="P30" t="str" cm="1">
        <f t="array" aca="1" ref="P30" ca="1">CONCATENATE(INDIRECT(ADDRESS(1,16,1,0,"KeySet"),0),":","""",valueMaker!P30,"""")</f>
        <v>bikou:""</v>
      </c>
    </row>
    <row r="31" spans="1:16">
      <c r="A31" t="str" cm="1">
        <f t="array" aca="1" ref="A31" ca="1">CONCATENATE(INDIRECT(ADDRESS(1,1,1,0,"KeySet"),0),":","""",valueMaker!A31,"""")</f>
        <v>kainBangou:"TD10030"</v>
      </c>
      <c r="B31" t="str" cm="1">
        <f t="array" aca="1" ref="B31" ca="1">CONCATENATE(INDIRECT(ADDRESS(1,2,1,0,"KeySet"),0),":","""",valueMaker!B31,"""")</f>
        <v>kainMeiKanji:"周曲佳"</v>
      </c>
      <c r="C31" t="str" cm="1">
        <f t="array" aca="1" ref="C31" ca="1">CONCATENATE(INDIRECT(ADDRESS(1,3,1,0,"KeySet"),0),":","""",valueMaker!C31,"""")</f>
        <v>kainMeiKana:"ｼﾞｮｳ ﾁｭｲ ｼﾞｱ"</v>
      </c>
      <c r="D31" t="str" cm="1">
        <f t="array" aca="1" ref="D31" ca="1">CONCATENATE(INDIRECT(ADDRESS(1,4,1,0,"KeySet"),0),":","""",valueMaker!D31,"""")</f>
        <v>kainMeiEn:"Zhou Qu Jia"</v>
      </c>
      <c r="E31" t="str" cm="1">
        <f t="array" aca="1" ref="E31" ca="1">CONCATENATE(INDIRECT(ADDRESS(1,5,1,0,"KeySet"),0),":","""",valueMaker!E31,"""")</f>
        <v>kainGender:"女性"</v>
      </c>
      <c r="F31" t="str" cm="1">
        <f t="array" aca="1" ref="F31" ca="1">CONCATENATE(INDIRECT(ADDRESS(1,6,1,0,"KeySet"),0),":","""",TEXT(valueMaker!F31,"yyyy/m/d"),"""")</f>
        <v>tanjyoubi:"1985/6/13"</v>
      </c>
      <c r="G31" t="str" cm="1">
        <f t="array" aca="1" ref="G31" ca="1">CONCATENATE(INDIRECT(ADDRESS(1,6,1,0,"KeySet"),0),":","""",TEXT(valueMaker!G31,"yyyy/m/d"),"""")</f>
        <v>tanjyoubi:"2006/3/22"</v>
      </c>
      <c r="H31" t="str" cm="1">
        <f t="array" aca="1" ref="H31" ca="1">CONCATENATE(INDIRECT(ADDRESS(1,6,1,0,"KeySet"),0),":","""",TEXT(valueMaker!H31,"yyyy/m/d"),"""")</f>
        <v>tanjyoubi:"2007/3/22"</v>
      </c>
      <c r="I31" t="str" cm="1">
        <f t="array" aca="1" ref="I31" ca="1">CONCATENATE(INDIRECT(ADDRESS(1,9,1,0,"KeySet"),0),":","""",valueMaker!I31,"""")</f>
        <v>denwaBangou:"080-8190-0097"</v>
      </c>
      <c r="J31" t="str" cm="1">
        <f t="array" aca="1" ref="J31" ca="1">CONCATENATE(INDIRECT(ADDRESS(1,10,1,0,"KeySet"),0),":","""",valueMaker!J31,"""")</f>
        <v>mailAddress:"Zhou_Qu_Jia_38798@outlook.jp.co"</v>
      </c>
      <c r="K31" t="str" cm="1">
        <f t="array" aca="1" ref="K31" ca="1">CONCATENATE(INDIRECT(ADDRESS(1,11,1,0,"KeySet"),0),":","""",valueMaker!K31,"""")</f>
        <v>kaninSyubetu:"普通"</v>
      </c>
      <c r="L31" t="str" cm="1">
        <f t="array" aca="1" ref="L31" ca="1">CONCATENATE(INDIRECT(ADDRESS(1,12,1,0,"KeySet"),0),":","""",valueMaker!L31,"""")</f>
        <v>kaninKengenWB:"有り"</v>
      </c>
      <c r="M31" t="str" cm="1">
        <f t="array" aca="1" ref="M31" ca="1">CONCATENATE(INDIRECT(ADDRESS(1,13,1,0,"KeySet"),0),":","""",valueMaker!M31,"""")</f>
        <v>wakibiri:"5%"</v>
      </c>
      <c r="N31" t="str" cm="1">
        <f t="array" aca="1" ref="N31" ca="1">CONCATENATE(INDIRECT(ADDRESS(1,14,1,0,"KeySet"),0),":","""",valueMaker!N31,"""")</f>
        <v>kaninKengenPoint:"-"</v>
      </c>
      <c r="O31" t="str" cm="1">
        <f t="array" aca="1" ref="O31" ca="1">CONCATENATE(INDIRECT(ADDRESS(1,15,1,0,"KeySet"),0),":","""",valueMaker!O31,"""")</f>
        <v>point:"-"</v>
      </c>
      <c r="P31" t="str" cm="1">
        <f t="array" aca="1" ref="P31" ca="1">CONCATENATE(INDIRECT(ADDRESS(1,16,1,0,"KeySet"),0),":","""",valueMaker!P31,"""")</f>
        <v>bikou:""</v>
      </c>
    </row>
    <row r="32" spans="1:16">
      <c r="A32" t="str" cm="1">
        <f t="array" aca="1" ref="A32" ca="1">CONCATENATE(INDIRECT(ADDRESS(1,1,1,0,"KeySet"),0),":","""",valueMaker!A32,"""")</f>
        <v>kainBangou:"TD10031"</v>
      </c>
      <c r="B32" t="str" cm="1">
        <f t="array" aca="1" ref="B32" ca="1">CONCATENATE(INDIRECT(ADDRESS(1,2,1,0,"KeySet"),0),":","""",valueMaker!B32,"""")</f>
        <v>kainMeiKanji:"謝菡晨"</v>
      </c>
      <c r="C32" t="str" cm="1">
        <f t="array" aca="1" ref="C32" ca="1">CONCATENATE(INDIRECT(ADDRESS(1,3,1,0,"KeySet"),0),":","""",valueMaker!C32,"""")</f>
        <v>kainMeiKana:"ｼｴ ﾊﾝ ﾁｪﾝ"</v>
      </c>
      <c r="D32" t="str" cm="1">
        <f t="array" aca="1" ref="D32" ca="1">CONCATENATE(INDIRECT(ADDRESS(1,4,1,0,"KeySet"),0),":","""",valueMaker!D32,"""")</f>
        <v>kainMeiEn:"Xie Han Chen"</v>
      </c>
      <c r="E32" t="str" cm="1">
        <f t="array" aca="1" ref="E32" ca="1">CONCATENATE(INDIRECT(ADDRESS(1,5,1,0,"KeySet"),0),":","""",valueMaker!E32,"""")</f>
        <v>kainGender:"男性"</v>
      </c>
      <c r="F32" t="str" cm="1">
        <f t="array" aca="1" ref="F32" ca="1">CONCATENATE(INDIRECT(ADDRESS(1,6,1,0,"KeySet"),0),":","""",TEXT(valueMaker!F32,"yyyy/m/d"),"""")</f>
        <v>tanjyoubi:"1974/6/1"</v>
      </c>
      <c r="G32" t="str" cm="1">
        <f t="array" aca="1" ref="G32" ca="1">CONCATENATE(INDIRECT(ADDRESS(1,6,1,0,"KeySet"),0),":","""",TEXT(valueMaker!G32,"yyyy/m/d"),"""")</f>
        <v>tanjyoubi:"2021/5/26"</v>
      </c>
      <c r="H32" t="str" cm="1">
        <f t="array" aca="1" ref="H32" ca="1">CONCATENATE(INDIRECT(ADDRESS(1,6,1,0,"KeySet"),0),":","""",TEXT(valueMaker!H32,"yyyy/m/d"),"""")</f>
        <v>tanjyoubi:"2024/5/25"</v>
      </c>
      <c r="I32" t="str" cm="1">
        <f t="array" aca="1" ref="I32" ca="1">CONCATENATE(INDIRECT(ADDRESS(1,9,1,0,"KeySet"),0),":","""",valueMaker!I32,"""")</f>
        <v>denwaBangou:"080-9428-6742"</v>
      </c>
      <c r="J32" t="str" cm="1">
        <f t="array" aca="1" ref="J32" ca="1">CONCATENATE(INDIRECT(ADDRESS(1,10,1,0,"KeySet"),0),":","""",valueMaker!J32,"""")</f>
        <v>mailAddress:"Xie_Han_Chen_44342@outlook.jp.co"</v>
      </c>
      <c r="K32" t="str" cm="1">
        <f t="array" aca="1" ref="K32" ca="1">CONCATENATE(INDIRECT(ADDRESS(1,11,1,0,"KeySet"),0),":","""",valueMaker!K32,"""")</f>
        <v>kaninSyubetu:"普通"</v>
      </c>
      <c r="L32" t="str" cm="1">
        <f t="array" aca="1" ref="L32" ca="1">CONCATENATE(INDIRECT(ADDRESS(1,12,1,0,"KeySet"),0),":","""",valueMaker!L32,"""")</f>
        <v>kaninKengenWB:"有り"</v>
      </c>
      <c r="M32" t="str" cm="1">
        <f t="array" aca="1" ref="M32" ca="1">CONCATENATE(INDIRECT(ADDRESS(1,13,1,0,"KeySet"),0),":","""",valueMaker!M32,"""")</f>
        <v>wakibiri:"5%"</v>
      </c>
      <c r="N32" t="str" cm="1">
        <f t="array" aca="1" ref="N32" ca="1">CONCATENATE(INDIRECT(ADDRESS(1,14,1,0,"KeySet"),0),":","""",valueMaker!N32,"""")</f>
        <v>kaninKengenPoint:"有り"</v>
      </c>
      <c r="O32" t="str" cm="1">
        <f t="array" aca="1" ref="O32" ca="1">CONCATENATE(INDIRECT(ADDRESS(1,15,1,0,"KeySet"),0),":","""",valueMaker!O32,"""")</f>
        <v>point:"795"</v>
      </c>
      <c r="P32" t="str" cm="1">
        <f t="array" aca="1" ref="P32" ca="1">CONCATENATE(INDIRECT(ADDRESS(1,16,1,0,"KeySet"),0),":","""",valueMaker!P32,"""")</f>
        <v>bikou:""</v>
      </c>
    </row>
    <row r="33" spans="1:16">
      <c r="A33" t="str" cm="1">
        <f t="array" aca="1" ref="A33" ca="1">CONCATENATE(INDIRECT(ADDRESS(1,1,1,0,"KeySet"),0),":","""",valueMaker!A33,"""")</f>
        <v>kainBangou:"TD10032"</v>
      </c>
      <c r="B33" t="str" cm="1">
        <f t="array" aca="1" ref="B33" ca="1">CONCATENATE(INDIRECT(ADDRESS(1,2,1,0,"KeySet"),0),":","""",valueMaker!B33,"""")</f>
        <v>kainMeiKanji:"楊銀營"</v>
      </c>
      <c r="C33" t="str" cm="1">
        <f t="array" aca="1" ref="C33" ca="1">CONCATENATE(INDIRECT(ADDRESS(1,3,1,0,"KeySet"),0),":","""",valueMaker!C33,"""")</f>
        <v>kainMeiKana:"ﾔｰﾝ ｲﾝ ｲｰﾝ"</v>
      </c>
      <c r="D33" t="str" cm="1">
        <f t="array" aca="1" ref="D33" ca="1">CONCATENATE(INDIRECT(ADDRESS(1,4,1,0,"KeySet"),0),":","""",valueMaker!D33,"""")</f>
        <v>kainMeiEn:"Yang Yin Ying"</v>
      </c>
      <c r="E33" t="str" cm="1">
        <f t="array" aca="1" ref="E33" ca="1">CONCATENATE(INDIRECT(ADDRESS(1,5,1,0,"KeySet"),0),":","""",valueMaker!E33,"""")</f>
        <v>kainGender:"女性"</v>
      </c>
      <c r="F33" t="str" cm="1">
        <f t="array" aca="1" ref="F33" ca="1">CONCATENATE(INDIRECT(ADDRESS(1,6,1,0,"KeySet"),0),":","""",TEXT(valueMaker!F33,"yyyy/m/d"),"""")</f>
        <v>tanjyoubi:"1989/7/9"</v>
      </c>
      <c r="G33" t="str" cm="1">
        <f t="array" aca="1" ref="G33" ca="1">CONCATENATE(INDIRECT(ADDRESS(1,6,1,0,"KeySet"),0),":","""",TEXT(valueMaker!G33,"yyyy/m/d"),"""")</f>
        <v>tanjyoubi:"2012/4/26"</v>
      </c>
      <c r="H33" t="str" cm="1">
        <f t="array" aca="1" ref="H33" ca="1">CONCATENATE(INDIRECT(ADDRESS(1,6,1,0,"KeySet"),0),":","""",TEXT(valueMaker!H33,"yyyy/m/d"),"""")</f>
        <v>tanjyoubi:"2015/4/26"</v>
      </c>
      <c r="I33" t="str" cm="1">
        <f t="array" aca="1" ref="I33" ca="1">CONCATENATE(INDIRECT(ADDRESS(1,9,1,0,"KeySet"),0),":","""",valueMaker!I33,"""")</f>
        <v>denwaBangou:"090-0624-0665"</v>
      </c>
      <c r="J33" t="str" cm="1">
        <f t="array" aca="1" ref="J33" ca="1">CONCATENATE(INDIRECT(ADDRESS(1,10,1,0,"KeySet"),0),":","""",valueMaker!J33,"""")</f>
        <v>mailAddress:"Yang_Yin_Ying_41025@outlook.jp.co"</v>
      </c>
      <c r="K33" t="str" cm="1">
        <f t="array" aca="1" ref="K33" ca="1">CONCATENATE(INDIRECT(ADDRESS(1,11,1,0,"KeySet"),0),":","""",valueMaker!K33,"""")</f>
        <v>kaninSyubetu:"普通"</v>
      </c>
      <c r="L33" t="str" cm="1">
        <f t="array" aca="1" ref="L33" ca="1">CONCATENATE(INDIRECT(ADDRESS(1,12,1,0,"KeySet"),0),":","""",valueMaker!L33,"""")</f>
        <v>kaninKengenWB:"有り"</v>
      </c>
      <c r="M33" t="str" cm="1">
        <f t="array" aca="1" ref="M33" ca="1">CONCATENATE(INDIRECT(ADDRESS(1,13,1,0,"KeySet"),0),":","""",valueMaker!M33,"""")</f>
        <v>wakibiri:"5%"</v>
      </c>
      <c r="N33" t="str" cm="1">
        <f t="array" aca="1" ref="N33" ca="1">CONCATENATE(INDIRECT(ADDRESS(1,14,1,0,"KeySet"),0),":","""",valueMaker!N33,"""")</f>
        <v>kaninKengenPoint:"有り"</v>
      </c>
      <c r="O33" t="str" cm="1">
        <f t="array" aca="1" ref="O33" ca="1">CONCATENATE(INDIRECT(ADDRESS(1,15,1,0,"KeySet"),0),":","""",valueMaker!O33,"""")</f>
        <v>point:"521"</v>
      </c>
      <c r="P33" t="str" cm="1">
        <f t="array" aca="1" ref="P33" ca="1">CONCATENATE(INDIRECT(ADDRESS(1,16,1,0,"KeySet"),0),":","""",valueMaker!P33,"""")</f>
        <v>bikou:""</v>
      </c>
    </row>
    <row r="34" spans="1:16">
      <c r="A34" t="str" cm="1">
        <f t="array" aca="1" ref="A34" ca="1">CONCATENATE(INDIRECT(ADDRESS(1,1,1,0,"KeySet"),0),":","""",valueMaker!A34,"""")</f>
        <v>kainBangou:"TD10033"</v>
      </c>
      <c r="B34" t="str" cm="1">
        <f t="array" aca="1" ref="B34" ca="1">CONCATENATE(INDIRECT(ADDRESS(1,2,1,0,"KeySet"),0),":","""",valueMaker!B34,"""")</f>
        <v>kainMeiKanji:"朱浦盟"</v>
      </c>
      <c r="C34" t="str" cm="1">
        <f t="array" aca="1" ref="C34" ca="1">CONCATENATE(INDIRECT(ADDRESS(1,3,1,0,"KeySet"),0),":","""",valueMaker!C34,"""")</f>
        <v>kainMeiKana:"ｼﾞｭｳ ﾌﾟｩ ﾑｵﾝ"</v>
      </c>
      <c r="D34" t="str" cm="1">
        <f t="array" aca="1" ref="D34" ca="1">CONCATENATE(INDIRECT(ADDRESS(1,4,1,0,"KeySet"),0),":","""",valueMaker!D34,"""")</f>
        <v>kainMeiEn:"Zhu Pu Meng"</v>
      </c>
      <c r="E34" t="str" cm="1">
        <f t="array" aca="1" ref="E34" ca="1">CONCATENATE(INDIRECT(ADDRESS(1,5,1,0,"KeySet"),0),":","""",valueMaker!E34,"""")</f>
        <v>kainGender:"男性"</v>
      </c>
      <c r="F34" t="str" cm="1">
        <f t="array" aca="1" ref="F34" ca="1">CONCATENATE(INDIRECT(ADDRESS(1,6,1,0,"KeySet"),0),":","""",TEXT(valueMaker!F34,"yyyy/m/d"),"""")</f>
        <v>tanjyoubi:"1989/1/15"</v>
      </c>
      <c r="G34" t="str" cm="1">
        <f t="array" aca="1" ref="G34" ca="1">CONCATENATE(INDIRECT(ADDRESS(1,6,1,0,"KeySet"),0),":","""",TEXT(valueMaker!G34,"yyyy/m/d"),"""")</f>
        <v>tanjyoubi:"2017/2/4"</v>
      </c>
      <c r="H34" t="str" cm="1">
        <f t="array" aca="1" ref="H34" ca="1">CONCATENATE(INDIRECT(ADDRESS(1,6,1,0,"KeySet"),0),":","""",TEXT(valueMaker!H34,"yyyy/m/d"),"""")</f>
        <v>tanjyoubi:"2019/2/4"</v>
      </c>
      <c r="I34" t="str" cm="1">
        <f t="array" aca="1" ref="I34" ca="1">CONCATENATE(INDIRECT(ADDRESS(1,9,1,0,"KeySet"),0),":","""",valueMaker!I34,"""")</f>
        <v>denwaBangou:"090-6302-8153"</v>
      </c>
      <c r="J34" t="str" cm="1">
        <f t="array" aca="1" ref="J34" ca="1">CONCATENATE(INDIRECT(ADDRESS(1,10,1,0,"KeySet"),0),":","""",valueMaker!J34,"""")</f>
        <v>mailAddress:"Zhu_Pu_Meng_42770@outlook.jp.co"</v>
      </c>
      <c r="K34" t="str" cm="1">
        <f t="array" aca="1" ref="K34" ca="1">CONCATENATE(INDIRECT(ADDRESS(1,11,1,0,"KeySet"),0),":","""",valueMaker!K34,"""")</f>
        <v>kaninSyubetu:"高級"</v>
      </c>
      <c r="L34" t="str" cm="1">
        <f t="array" aca="1" ref="L34" ca="1">CONCATENATE(INDIRECT(ADDRESS(1,12,1,0,"KeySet"),0),":","""",valueMaker!L34,"""")</f>
        <v>kaninKengenWB:"有り"</v>
      </c>
      <c r="M34" t="str" cm="1">
        <f t="array" aca="1" ref="M34" ca="1">CONCATENATE(INDIRECT(ADDRESS(1,13,1,0,"KeySet"),0),":","""",valueMaker!M34,"""")</f>
        <v>wakibiri:"10%"</v>
      </c>
      <c r="N34" t="str" cm="1">
        <f t="array" aca="1" ref="N34" ca="1">CONCATENATE(INDIRECT(ADDRESS(1,14,1,0,"KeySet"),0),":","""",valueMaker!N34,"""")</f>
        <v>kaninKengenPoint:"有り"</v>
      </c>
      <c r="O34" t="str" cm="1">
        <f t="array" aca="1" ref="O34" ca="1">CONCATENATE(INDIRECT(ADDRESS(1,15,1,0,"KeySet"),0),":","""",valueMaker!O34,"""")</f>
        <v>point:"122"</v>
      </c>
      <c r="P34" t="str" cm="1">
        <f t="array" aca="1" ref="P34" ca="1">CONCATENATE(INDIRECT(ADDRESS(1,16,1,0,"KeySet"),0),":","""",valueMaker!P34,"""")</f>
        <v>bikou:""</v>
      </c>
    </row>
    <row r="35" spans="1:16">
      <c r="A35" t="str" cm="1">
        <f t="array" aca="1" ref="A35" ca="1">CONCATENATE(INDIRECT(ADDRESS(1,1,1,0,"KeySet"),0),":","""",valueMaker!A35,"""")</f>
        <v>kainBangou:"TD10034"</v>
      </c>
      <c r="B35" t="str" cm="1">
        <f t="array" aca="1" ref="B35" ca="1">CONCATENATE(INDIRECT(ADDRESS(1,2,1,0,"KeySet"),0),":","""",valueMaker!B35,"""")</f>
        <v>kainMeiKanji:"李祖萱"</v>
      </c>
      <c r="C35" t="str" cm="1">
        <f t="array" aca="1" ref="C35" ca="1">CONCATENATE(INDIRECT(ADDRESS(1,3,1,0,"KeySet"),0),":","""",valueMaker!C35,"""")</f>
        <v>kainMeiKana:"ﾘｰ ｽﾞｩ ｼｭｴﾝ"</v>
      </c>
      <c r="D35" t="str" cm="1">
        <f t="array" aca="1" ref="D35" ca="1">CONCATENATE(INDIRECT(ADDRESS(1,4,1,0,"KeySet"),0),":","""",valueMaker!D35,"""")</f>
        <v>kainMeiEn:"Li Zu Xuan"</v>
      </c>
      <c r="E35" t="str" cm="1">
        <f t="array" aca="1" ref="E35" ca="1">CONCATENATE(INDIRECT(ADDRESS(1,5,1,0,"KeySet"),0),":","""",valueMaker!E35,"""")</f>
        <v>kainGender:"男性"</v>
      </c>
      <c r="F35" t="str" cm="1">
        <f t="array" aca="1" ref="F35" ca="1">CONCATENATE(INDIRECT(ADDRESS(1,6,1,0,"KeySet"),0),":","""",TEXT(valueMaker!F35,"yyyy/m/d"),"""")</f>
        <v>tanjyoubi:"1976/10/16"</v>
      </c>
      <c r="G35" t="str" cm="1">
        <f t="array" aca="1" ref="G35" ca="1">CONCATENATE(INDIRECT(ADDRESS(1,6,1,0,"KeySet"),0),":","""",TEXT(valueMaker!G35,"yyyy/m/d"),"""")</f>
        <v>tanjyoubi:"2014/8/26"</v>
      </c>
      <c r="H35" t="str" cm="1">
        <f t="array" aca="1" ref="H35" ca="1">CONCATENATE(INDIRECT(ADDRESS(1,6,1,0,"KeySet"),0),":","""",TEXT(valueMaker!H35,"yyyy/m/d"),"""")</f>
        <v>tanjyoubi:"2017/8/25"</v>
      </c>
      <c r="I35" t="str" cm="1">
        <f t="array" aca="1" ref="I35" ca="1">CONCATENATE(INDIRECT(ADDRESS(1,9,1,0,"KeySet"),0),":","""",valueMaker!I35,"""")</f>
        <v>denwaBangou:"090-7869-7487"</v>
      </c>
      <c r="J35" t="str" cm="1">
        <f t="array" aca="1" ref="J35" ca="1">CONCATENATE(INDIRECT(ADDRESS(1,10,1,0,"KeySet"),0),":","""",valueMaker!J35,"""")</f>
        <v>mailAddress:"Li_Zu_Xuan_41877@outlook.jp.co"</v>
      </c>
      <c r="K35" t="str" cm="1">
        <f t="array" aca="1" ref="K35" ca="1">CONCATENATE(INDIRECT(ADDRESS(1,11,1,0,"KeySet"),0),":","""",valueMaker!K35,"""")</f>
        <v>kaninSyubetu:"普通"</v>
      </c>
      <c r="L35" t="str" cm="1">
        <f t="array" aca="1" ref="L35" ca="1">CONCATENATE(INDIRECT(ADDRESS(1,12,1,0,"KeySet"),0),":","""",valueMaker!L35,"""")</f>
        <v>kaninKengenWB:"有り"</v>
      </c>
      <c r="M35" t="str" cm="1">
        <f t="array" aca="1" ref="M35" ca="1">CONCATENATE(INDIRECT(ADDRESS(1,13,1,0,"KeySet"),0),":","""",valueMaker!M35,"""")</f>
        <v>wakibiri:"5%"</v>
      </c>
      <c r="N35" t="str" cm="1">
        <f t="array" aca="1" ref="N35" ca="1">CONCATENATE(INDIRECT(ADDRESS(1,14,1,0,"KeySet"),0),":","""",valueMaker!N35,"""")</f>
        <v>kaninKengenPoint:"有り"</v>
      </c>
      <c r="O35" t="str" cm="1">
        <f t="array" aca="1" ref="O35" ca="1">CONCATENATE(INDIRECT(ADDRESS(1,15,1,0,"KeySet"),0),":","""",valueMaker!O35,"""")</f>
        <v>point:"176"</v>
      </c>
      <c r="P35" t="str" cm="1">
        <f t="array" aca="1" ref="P35" ca="1">CONCATENATE(INDIRECT(ADDRESS(1,16,1,0,"KeySet"),0),":","""",valueMaker!P35,"""")</f>
        <v>bikou:""</v>
      </c>
    </row>
    <row r="36" spans="1:16">
      <c r="A36" t="str" cm="1">
        <f t="array" aca="1" ref="A36" ca="1">CONCATENATE(INDIRECT(ADDRESS(1,1,1,0,"KeySet"),0),":","""",valueMaker!A36,"""")</f>
        <v>kainBangou:"TD10035"</v>
      </c>
      <c r="B36" t="str" cm="1">
        <f t="array" aca="1" ref="B36" ca="1">CONCATENATE(INDIRECT(ADDRESS(1,2,1,0,"KeySet"),0),":","""",valueMaker!B36,"""")</f>
        <v>kainMeiKanji:"宋碼紀"</v>
      </c>
      <c r="C36" t="str" cm="1">
        <f t="array" aca="1" ref="C36" ca="1">CONCATENATE(INDIRECT(ADDRESS(1,3,1,0,"KeySet"),0),":","""",valueMaker!C36,"""")</f>
        <v>kainMeiKana:"ｿｰﾝ ﾏｰ ｼﾞｰ"</v>
      </c>
      <c r="D36" t="str" cm="1">
        <f t="array" aca="1" ref="D36" ca="1">CONCATENATE(INDIRECT(ADDRESS(1,4,1,0,"KeySet"),0),":","""",valueMaker!D36,"""")</f>
        <v>kainMeiEn:"Song Ma Ji"</v>
      </c>
      <c r="E36" t="str" cm="1">
        <f t="array" aca="1" ref="E36" ca="1">CONCATENATE(INDIRECT(ADDRESS(1,5,1,0,"KeySet"),0),":","""",valueMaker!E36,"""")</f>
        <v>kainGender:"-"</v>
      </c>
      <c r="F36" t="str" cm="1">
        <f t="array" aca="1" ref="F36" ca="1">CONCATENATE(INDIRECT(ADDRESS(1,6,1,0,"KeySet"),0),":","""",TEXT(valueMaker!F36,"yyyy/m/d"),"""")</f>
        <v>tanjyoubi:"2005/3/1"</v>
      </c>
      <c r="G36" t="str" cm="1">
        <f t="array" aca="1" ref="G36" ca="1">CONCATENATE(INDIRECT(ADDRESS(1,6,1,0,"KeySet"),0),":","""",TEXT(valueMaker!G36,"yyyy/m/d"),"""")</f>
        <v>tanjyoubi:"2024/5/29"</v>
      </c>
      <c r="H36" t="str" cm="1">
        <f t="array" aca="1" ref="H36" ca="1">CONCATENATE(INDIRECT(ADDRESS(1,6,1,0,"KeySet"),0),":","""",TEXT(valueMaker!H36,"yyyy/m/d"),"""")</f>
        <v>tanjyoubi:"2027/5/29"</v>
      </c>
      <c r="I36" t="str" cm="1">
        <f t="array" aca="1" ref="I36" ca="1">CONCATENATE(INDIRECT(ADDRESS(1,9,1,0,"KeySet"),0),":","""",valueMaker!I36,"""")</f>
        <v>denwaBangou:"080-5506-7463"</v>
      </c>
      <c r="J36" t="str" cm="1">
        <f t="array" aca="1" ref="J36" ca="1">CONCATENATE(INDIRECT(ADDRESS(1,10,1,0,"KeySet"),0),":","""",valueMaker!J36,"""")</f>
        <v>mailAddress:"Song_Ma_Ji_45441@outlook.jp.co"</v>
      </c>
      <c r="K36" t="str" cm="1">
        <f t="array" aca="1" ref="K36" ca="1">CONCATENATE(INDIRECT(ADDRESS(1,11,1,0,"KeySet"),0),":","""",valueMaker!K36,"""")</f>
        <v>kaninSyubetu:"普通"</v>
      </c>
      <c r="L36" t="str" cm="1">
        <f t="array" aca="1" ref="L36" ca="1">CONCATENATE(INDIRECT(ADDRESS(1,12,1,0,"KeySet"),0),":","""",valueMaker!L36,"""")</f>
        <v>kaninKengenWB:"有り"</v>
      </c>
      <c r="M36" t="str" cm="1">
        <f t="array" aca="1" ref="M36" ca="1">CONCATENATE(INDIRECT(ADDRESS(1,13,1,0,"KeySet"),0),":","""",valueMaker!M36,"""")</f>
        <v>wakibiri:"5%"</v>
      </c>
      <c r="N36" t="str" cm="1">
        <f t="array" aca="1" ref="N36" ca="1">CONCATENATE(INDIRECT(ADDRESS(1,14,1,0,"KeySet"),0),":","""",valueMaker!N36,"""")</f>
        <v>kaninKengenPoint:"-"</v>
      </c>
      <c r="O36" t="str" cm="1">
        <f t="array" aca="1" ref="O36" ca="1">CONCATENATE(INDIRECT(ADDRESS(1,15,1,0,"KeySet"),0),":","""",valueMaker!O36,"""")</f>
        <v>point:"-"</v>
      </c>
      <c r="P36" t="str" cm="1">
        <f t="array" aca="1" ref="P36" ca="1">CONCATENATE(INDIRECT(ADDRESS(1,16,1,0,"KeySet"),0),":","""",valueMaker!P36,"""")</f>
        <v>bikou:""</v>
      </c>
    </row>
    <row r="37" spans="1:16">
      <c r="A37" t="str" cm="1">
        <f t="array" aca="1" ref="A37" ca="1">CONCATENATE(INDIRECT(ADDRESS(1,1,1,0,"KeySet"),0),":","""",valueMaker!A37,"""")</f>
        <v>kainBangou:"TD10036"</v>
      </c>
      <c r="B37" t="str" cm="1">
        <f t="array" aca="1" ref="B37" ca="1">CONCATENATE(INDIRECT(ADDRESS(1,2,1,0,"KeySet"),0),":","""",valueMaker!B37,"""")</f>
        <v>kainMeiKanji:"黃台亭"</v>
      </c>
      <c r="C37" t="str" cm="1">
        <f t="array" aca="1" ref="C37" ca="1">CONCATENATE(INDIRECT(ADDRESS(1,3,1,0,"KeySet"),0),":","""",valueMaker!C37,"""")</f>
        <v>kainMeiKana:"ﾎﾜｰﾝ ﾀｲ ﾃｨｰﾝ"</v>
      </c>
      <c r="D37" t="str" cm="1">
        <f t="array" aca="1" ref="D37" ca="1">CONCATENATE(INDIRECT(ADDRESS(1,4,1,0,"KeySet"),0),":","""",valueMaker!D37,"""")</f>
        <v>kainMeiEn:"Huang Tai Ting"</v>
      </c>
      <c r="E37" t="str" cm="1">
        <f t="array" aca="1" ref="E37" ca="1">CONCATENATE(INDIRECT(ADDRESS(1,5,1,0,"KeySet"),0),":","""",valueMaker!E37,"""")</f>
        <v>kainGender:"女性"</v>
      </c>
      <c r="F37" t="str" cm="1">
        <f t="array" aca="1" ref="F37" ca="1">CONCATENATE(INDIRECT(ADDRESS(1,6,1,0,"KeySet"),0),":","""",TEXT(valueMaker!F37,"yyyy/m/d"),"""")</f>
        <v>tanjyoubi:"1984/1/2"</v>
      </c>
      <c r="G37" t="str" cm="1">
        <f t="array" aca="1" ref="G37" ca="1">CONCATENATE(INDIRECT(ADDRESS(1,6,1,0,"KeySet"),0),":","""",TEXT(valueMaker!G37,"yyyy/m/d"),"""")</f>
        <v>tanjyoubi:"2015/11/30"</v>
      </c>
      <c r="H37" t="str" cm="1">
        <f t="array" aca="1" ref="H37" ca="1">CONCATENATE(INDIRECT(ADDRESS(1,6,1,0,"KeySet"),0),":","""",TEXT(valueMaker!H37,"yyyy/m/d"),"""")</f>
        <v>tanjyoubi:"2017/11/29"</v>
      </c>
      <c r="I37" t="str" cm="1">
        <f t="array" aca="1" ref="I37" ca="1">CONCATENATE(INDIRECT(ADDRESS(1,9,1,0,"KeySet"),0),":","""",valueMaker!I37,"""")</f>
        <v>denwaBangou:"090-7934-0861"</v>
      </c>
      <c r="J37" t="str" cm="1">
        <f t="array" aca="1" ref="J37" ca="1">CONCATENATE(INDIRECT(ADDRESS(1,10,1,0,"KeySet"),0),":","""",valueMaker!J37,"""")</f>
        <v>mailAddress:"Huang_Tai_Ting_42338@outlook.jp.co"</v>
      </c>
      <c r="K37" t="str" cm="1">
        <f t="array" aca="1" ref="K37" ca="1">CONCATENATE(INDIRECT(ADDRESS(1,11,1,0,"KeySet"),0),":","""",valueMaker!K37,"""")</f>
        <v>kaninSyubetu:"高級"</v>
      </c>
      <c r="L37" t="str" cm="1">
        <f t="array" aca="1" ref="L37" ca="1">CONCATENATE(INDIRECT(ADDRESS(1,12,1,0,"KeySet"),0),":","""",valueMaker!L37,"""")</f>
        <v>kaninKengenWB:"有り"</v>
      </c>
      <c r="M37" t="str" cm="1">
        <f t="array" aca="1" ref="M37" ca="1">CONCATENATE(INDIRECT(ADDRESS(1,13,1,0,"KeySet"),0),":","""",valueMaker!M37,"""")</f>
        <v>wakibiri:"10%"</v>
      </c>
      <c r="N37" t="str" cm="1">
        <f t="array" aca="1" ref="N37" ca="1">CONCATENATE(INDIRECT(ADDRESS(1,14,1,0,"KeySet"),0),":","""",valueMaker!N37,"""")</f>
        <v>kaninKengenPoint:"有り"</v>
      </c>
      <c r="O37" t="str" cm="1">
        <f t="array" aca="1" ref="O37" ca="1">CONCATENATE(INDIRECT(ADDRESS(1,15,1,0,"KeySet"),0),":","""",valueMaker!O37,"""")</f>
        <v>point:"996"</v>
      </c>
      <c r="P37" t="str" cm="1">
        <f t="array" aca="1" ref="P37" ca="1">CONCATENATE(INDIRECT(ADDRESS(1,16,1,0,"KeySet"),0),":","""",valueMaker!P37,"""")</f>
        <v>bikou:""</v>
      </c>
    </row>
    <row r="38" spans="1:16">
      <c r="A38" t="str" cm="1">
        <f t="array" aca="1" ref="A38" ca="1">CONCATENATE(INDIRECT(ADDRESS(1,1,1,0,"KeySet"),0),":","""",valueMaker!A38,"""")</f>
        <v>kainBangou:"TD10037"</v>
      </c>
      <c r="B38" t="str" cm="1">
        <f t="array" aca="1" ref="B38" ca="1">CONCATENATE(INDIRECT(ADDRESS(1,2,1,0,"KeySet"),0),":","""",valueMaker!B38,"""")</f>
        <v>kainMeiKanji:"郭科航"</v>
      </c>
      <c r="C38" t="str" cm="1">
        <f t="array" aca="1" ref="C38" ca="1">CONCATENATE(INDIRECT(ADDRESS(1,3,1,0,"KeySet"),0),":","""",valueMaker!C38,"""")</f>
        <v>kainMeiKana:"ｸﾞｵ ｺｰｧ ﾊｰﾝ"</v>
      </c>
      <c r="D38" t="str" cm="1">
        <f t="array" aca="1" ref="D38" ca="1">CONCATENATE(INDIRECT(ADDRESS(1,4,1,0,"KeySet"),0),":","""",valueMaker!D38,"""")</f>
        <v>kainMeiEn:"Guo Ke Hang"</v>
      </c>
      <c r="E38" t="str" cm="1">
        <f t="array" aca="1" ref="E38" ca="1">CONCATENATE(INDIRECT(ADDRESS(1,5,1,0,"KeySet"),0),":","""",valueMaker!E38,"""")</f>
        <v>kainGender:"女性"</v>
      </c>
      <c r="F38" t="str" cm="1">
        <f t="array" aca="1" ref="F38" ca="1">CONCATENATE(INDIRECT(ADDRESS(1,6,1,0,"KeySet"),0),":","""",TEXT(valueMaker!F38,"yyyy/m/d"),"""")</f>
        <v>tanjyoubi:"1993/12/7"</v>
      </c>
      <c r="G38" t="str" cm="1">
        <f t="array" aca="1" ref="G38" ca="1">CONCATENATE(INDIRECT(ADDRESS(1,6,1,0,"KeySet"),0),":","""",TEXT(valueMaker!G38,"yyyy/m/d"),"""")</f>
        <v>tanjyoubi:"2017/7/20"</v>
      </c>
      <c r="H38" t="str" cm="1">
        <f t="array" aca="1" ref="H38" ca="1">CONCATENATE(INDIRECT(ADDRESS(1,6,1,0,"KeySet"),0),":","""",TEXT(valueMaker!H38,"yyyy/m/d"),"""")</f>
        <v>tanjyoubi:"2019/7/20"</v>
      </c>
      <c r="I38" t="str" cm="1">
        <f t="array" aca="1" ref="I38" ca="1">CONCATENATE(INDIRECT(ADDRESS(1,9,1,0,"KeySet"),0),":","""",valueMaker!I38,"""")</f>
        <v>denwaBangou:"090-3103-6677"</v>
      </c>
      <c r="J38" t="str" cm="1">
        <f t="array" aca="1" ref="J38" ca="1">CONCATENATE(INDIRECT(ADDRESS(1,10,1,0,"KeySet"),0),":","""",valueMaker!J38,"""")</f>
        <v>mailAddress:"Guo_Ke_Hang_42936@outlook.jp.co"</v>
      </c>
      <c r="K38" t="str" cm="1">
        <f t="array" aca="1" ref="K38" ca="1">CONCATENATE(INDIRECT(ADDRESS(1,11,1,0,"KeySet"),0),":","""",valueMaker!K38,"""")</f>
        <v>kaninSyubetu:"高級"</v>
      </c>
      <c r="L38" t="str" cm="1">
        <f t="array" aca="1" ref="L38" ca="1">CONCATENATE(INDIRECT(ADDRESS(1,12,1,0,"KeySet"),0),":","""",valueMaker!L38,"""")</f>
        <v>kaninKengenWB:"有り"</v>
      </c>
      <c r="M38" t="str" cm="1">
        <f t="array" aca="1" ref="M38" ca="1">CONCATENATE(INDIRECT(ADDRESS(1,13,1,0,"KeySet"),0),":","""",valueMaker!M38,"""")</f>
        <v>wakibiri:"10%"</v>
      </c>
      <c r="N38" t="str" cm="1">
        <f t="array" aca="1" ref="N38" ca="1">CONCATENATE(INDIRECT(ADDRESS(1,14,1,0,"KeySet"),0),":","""",valueMaker!N38,"""")</f>
        <v>kaninKengenPoint:"有り"</v>
      </c>
      <c r="O38" t="str" cm="1">
        <f t="array" aca="1" ref="O38" ca="1">CONCATENATE(INDIRECT(ADDRESS(1,15,1,0,"KeySet"),0),":","""",valueMaker!O38,"""")</f>
        <v>point:"806"</v>
      </c>
      <c r="P38" t="str" cm="1">
        <f t="array" aca="1" ref="P38" ca="1">CONCATENATE(INDIRECT(ADDRESS(1,16,1,0,"KeySet"),0),":","""",valueMaker!P38,"""")</f>
        <v>bikou:""</v>
      </c>
    </row>
    <row r="39" spans="1:16">
      <c r="A39" t="str" cm="1">
        <f t="array" aca="1" ref="A39" ca="1">CONCATENATE(INDIRECT(ADDRESS(1,1,1,0,"KeySet"),0),":","""",valueMaker!A39,"""")</f>
        <v>kainBangou:"TD10038"</v>
      </c>
      <c r="B39" t="str" cm="1">
        <f t="array" aca="1" ref="B39" ca="1">CONCATENATE(INDIRECT(ADDRESS(1,2,1,0,"KeySet"),0),":","""",valueMaker!B39,"""")</f>
        <v>kainMeiKanji:"劉慶睿"</v>
      </c>
      <c r="C39" t="str" cm="1">
        <f t="array" aca="1" ref="C39" ca="1">CONCATENATE(INDIRECT(ADDRESS(1,3,1,0,"KeySet"),0),":","""",valueMaker!C39,"""")</f>
        <v>kainMeiKana:"ﾘｳ ﾁｰﾝ ｩﾙｲ"</v>
      </c>
      <c r="D39" t="str" cm="1">
        <f t="array" aca="1" ref="D39" ca="1">CONCATENATE(INDIRECT(ADDRESS(1,4,1,0,"KeySet"),0),":","""",valueMaker!D39,"""")</f>
        <v>kainMeiEn:"Liu Qing Rui"</v>
      </c>
      <c r="E39" t="str" cm="1">
        <f t="array" aca="1" ref="E39" ca="1">CONCATENATE(INDIRECT(ADDRESS(1,5,1,0,"KeySet"),0),":","""",valueMaker!E39,"""")</f>
        <v>kainGender:"女性"</v>
      </c>
      <c r="F39" t="str" cm="1">
        <f t="array" aca="1" ref="F39" ca="1">CONCATENATE(INDIRECT(ADDRESS(1,6,1,0,"KeySet"),0),":","""",TEXT(valueMaker!F39,"yyyy/m/d"),"""")</f>
        <v>tanjyoubi:"1988/11/10"</v>
      </c>
      <c r="G39" t="str" cm="1">
        <f t="array" aca="1" ref="G39" ca="1">CONCATENATE(INDIRECT(ADDRESS(1,6,1,0,"KeySet"),0),":","""",TEXT(valueMaker!G39,"yyyy/m/d"),"""")</f>
        <v>tanjyoubi:"2014/2/13"</v>
      </c>
      <c r="H39" t="str" cm="1">
        <f t="array" aca="1" ref="H39" ca="1">CONCATENATE(INDIRECT(ADDRESS(1,6,1,0,"KeySet"),0),":","""",TEXT(valueMaker!H39,"yyyy/m/d"),"""")</f>
        <v>tanjyoubi:"2016/2/13"</v>
      </c>
      <c r="I39" t="str" cm="1">
        <f t="array" aca="1" ref="I39" ca="1">CONCATENATE(INDIRECT(ADDRESS(1,9,1,0,"KeySet"),0),":","""",valueMaker!I39,"""")</f>
        <v>denwaBangou:"080-3525-7025"</v>
      </c>
      <c r="J39" t="str" cm="1">
        <f t="array" aca="1" ref="J39" ca="1">CONCATENATE(INDIRECT(ADDRESS(1,10,1,0,"KeySet"),0),":","""",valueMaker!J39,"""")</f>
        <v>mailAddress:"Liu_Qing_Rui_41683@outlook.jp.co"</v>
      </c>
      <c r="K39" t="str" cm="1">
        <f t="array" aca="1" ref="K39" ca="1">CONCATENATE(INDIRECT(ADDRESS(1,11,1,0,"KeySet"),0),":","""",valueMaker!K39,"""")</f>
        <v>kaninSyubetu:"普通"</v>
      </c>
      <c r="L39" t="str" cm="1">
        <f t="array" aca="1" ref="L39" ca="1">CONCATENATE(INDIRECT(ADDRESS(1,12,1,0,"KeySet"),0),":","""",valueMaker!L39,"""")</f>
        <v>kaninKengenWB:"有り"</v>
      </c>
      <c r="M39" t="str" cm="1">
        <f t="array" aca="1" ref="M39" ca="1">CONCATENATE(INDIRECT(ADDRESS(1,13,1,0,"KeySet"),0),":","""",valueMaker!M39,"""")</f>
        <v>wakibiri:"5%"</v>
      </c>
      <c r="N39" t="str" cm="1">
        <f t="array" aca="1" ref="N39" ca="1">CONCATENATE(INDIRECT(ADDRESS(1,14,1,0,"KeySet"),0),":","""",valueMaker!N39,"""")</f>
        <v>kaninKengenPoint:"有り"</v>
      </c>
      <c r="O39" t="str" cm="1">
        <f t="array" aca="1" ref="O39" ca="1">CONCATENATE(INDIRECT(ADDRESS(1,15,1,0,"KeySet"),0),":","""",valueMaker!O39,"""")</f>
        <v>point:"25"</v>
      </c>
      <c r="P39" t="str" cm="1">
        <f t="array" aca="1" ref="P39" ca="1">CONCATENATE(INDIRECT(ADDRESS(1,16,1,0,"KeySet"),0),":","""",valueMaker!P39,"""")</f>
        <v>bikou:""</v>
      </c>
    </row>
    <row r="40" spans="1:16">
      <c r="A40" t="str" cm="1">
        <f t="array" aca="1" ref="A40" ca="1">CONCATENATE(INDIRECT(ADDRESS(1,1,1,0,"KeySet"),0),":","""",valueMaker!A40,"""")</f>
        <v>kainBangou:"TD10039"</v>
      </c>
      <c r="B40" t="str" cm="1">
        <f t="array" aca="1" ref="B40" ca="1">CONCATENATE(INDIRECT(ADDRESS(1,2,1,0,"KeySet"),0),":","""",valueMaker!B40,"""")</f>
        <v>kainMeiKanji:"梁彥達"</v>
      </c>
      <c r="C40" t="str" cm="1">
        <f t="array" aca="1" ref="C40" ca="1">CONCATENATE(INDIRECT(ADDRESS(1,3,1,0,"KeySet"),0),":","""",valueMaker!C40,"""")</f>
        <v>kainMeiKana:"ﾘﾔｰﾝ ｲｴﾝ ﾀﾞｰ"</v>
      </c>
      <c r="D40" t="str" cm="1">
        <f t="array" aca="1" ref="D40" ca="1">CONCATENATE(INDIRECT(ADDRESS(1,4,1,0,"KeySet"),0),":","""",valueMaker!D40,"""")</f>
        <v>kainMeiEn:"Liang Yan Da"</v>
      </c>
      <c r="E40" t="str" cm="1">
        <f t="array" aca="1" ref="E40" ca="1">CONCATENATE(INDIRECT(ADDRESS(1,5,1,0,"KeySet"),0),":","""",valueMaker!E40,"""")</f>
        <v>kainGender:"男性"</v>
      </c>
      <c r="F40" t="str" cm="1">
        <f t="array" aca="1" ref="F40" ca="1">CONCATENATE(INDIRECT(ADDRESS(1,6,1,0,"KeySet"),0),":","""",TEXT(valueMaker!F40,"yyyy/m/d"),"""")</f>
        <v>tanjyoubi:"1974/4/14"</v>
      </c>
      <c r="G40" t="str" cm="1">
        <f t="array" aca="1" ref="G40" ca="1">CONCATENATE(INDIRECT(ADDRESS(1,6,1,0,"KeySet"),0),":","""",TEXT(valueMaker!G40,"yyyy/m/d"),"""")</f>
        <v>tanjyoubi:"2022/5/26"</v>
      </c>
      <c r="H40" t="str" cm="1">
        <f t="array" aca="1" ref="H40" ca="1">CONCATENATE(INDIRECT(ADDRESS(1,6,1,0,"KeySet"),0),":","""",TEXT(valueMaker!H40,"yyyy/m/d"),"""")</f>
        <v>tanjyoubi:"2025/5/25"</v>
      </c>
      <c r="I40" t="str" cm="1">
        <f t="array" aca="1" ref="I40" ca="1">CONCATENATE(INDIRECT(ADDRESS(1,9,1,0,"KeySet"),0),":","""",valueMaker!I40,"""")</f>
        <v>denwaBangou:"080-3502-4395"</v>
      </c>
      <c r="J40" t="str" cm="1">
        <f t="array" aca="1" ref="J40" ca="1">CONCATENATE(INDIRECT(ADDRESS(1,10,1,0,"KeySet"),0),":","""",valueMaker!J40,"""")</f>
        <v>mailAddress:"Liang_Yan_Da_44707@outlook.jp.co"</v>
      </c>
      <c r="K40" t="str" cm="1">
        <f t="array" aca="1" ref="K40" ca="1">CONCATENATE(INDIRECT(ADDRESS(1,11,1,0,"KeySet"),0),":","""",valueMaker!K40,"""")</f>
        <v>kaninSyubetu:"高級"</v>
      </c>
      <c r="L40" t="str" cm="1">
        <f t="array" aca="1" ref="L40" ca="1">CONCATENATE(INDIRECT(ADDRESS(1,12,1,0,"KeySet"),0),":","""",valueMaker!L40,"""")</f>
        <v>kaninKengenWB:"有り"</v>
      </c>
      <c r="M40" t="str" cm="1">
        <f t="array" aca="1" ref="M40" ca="1">CONCATENATE(INDIRECT(ADDRESS(1,13,1,0,"KeySet"),0),":","""",valueMaker!M40,"""")</f>
        <v>wakibiri:"10%"</v>
      </c>
      <c r="N40" t="str" cm="1">
        <f t="array" aca="1" ref="N40" ca="1">CONCATENATE(INDIRECT(ADDRESS(1,14,1,0,"KeySet"),0),":","""",valueMaker!N40,"""")</f>
        <v>kaninKengenPoint:"有り"</v>
      </c>
      <c r="O40" t="str" cm="1">
        <f t="array" aca="1" ref="O40" ca="1">CONCATENATE(INDIRECT(ADDRESS(1,15,1,0,"KeySet"),0),":","""",valueMaker!O40,"""")</f>
        <v>point:"530"</v>
      </c>
      <c r="P40" t="str" cm="1">
        <f t="array" aca="1" ref="P40" ca="1">CONCATENATE(INDIRECT(ADDRESS(1,16,1,0,"KeySet"),0),":","""",valueMaker!P40,"""")</f>
        <v>bikou:""</v>
      </c>
    </row>
    <row r="41" spans="1:16">
      <c r="A41" t="str" cm="1">
        <f t="array" aca="1" ref="A41" ca="1">CONCATENATE(INDIRECT(ADDRESS(1,1,1,0,"KeySet"),0),":","""",valueMaker!A41,"""")</f>
        <v>kainBangou:"TD10040"</v>
      </c>
      <c r="B41" t="str" cm="1">
        <f t="array" aca="1" ref="B41" ca="1">CONCATENATE(INDIRECT(ADDRESS(1,2,1,0,"KeySet"),0),":","""",valueMaker!B41,"""")</f>
        <v>kainMeiKanji:"孫西博"</v>
      </c>
      <c r="C41" t="str" cm="1">
        <f t="array" aca="1" ref="C41" ca="1">CONCATENATE(INDIRECT(ADDRESS(1,3,1,0,"KeySet"),0),":","""",valueMaker!C41,"""")</f>
        <v>kainMeiKana:"ｽｩﾝ ｼｲ ﾎﾞｰ"</v>
      </c>
      <c r="D41" t="str" cm="1">
        <f t="array" aca="1" ref="D41" ca="1">CONCATENATE(INDIRECT(ADDRESS(1,4,1,0,"KeySet"),0),":","""",valueMaker!D41,"""")</f>
        <v>kainMeiEn:"Sun Xi Bo"</v>
      </c>
      <c r="E41" t="str" cm="1">
        <f t="array" aca="1" ref="E41" ca="1">CONCATENATE(INDIRECT(ADDRESS(1,5,1,0,"KeySet"),0),":","""",valueMaker!E41,"""")</f>
        <v>kainGender:"女性"</v>
      </c>
      <c r="F41" t="str" cm="1">
        <f t="array" aca="1" ref="F41" ca="1">CONCATENATE(INDIRECT(ADDRESS(1,6,1,0,"KeySet"),0),":","""",TEXT(valueMaker!F41,"yyyy/m/d"),"""")</f>
        <v>tanjyoubi:"1965/3/7"</v>
      </c>
      <c r="G41" t="str" cm="1">
        <f t="array" aca="1" ref="G41" ca="1">CONCATENATE(INDIRECT(ADDRESS(1,6,1,0,"KeySet"),0),":","""",TEXT(valueMaker!G41,"yyyy/m/d"),"""")</f>
        <v>tanjyoubi:"1993/8/9"</v>
      </c>
      <c r="H41" t="str" cm="1">
        <f t="array" aca="1" ref="H41" ca="1">CONCATENATE(INDIRECT(ADDRESS(1,6,1,0,"KeySet"),0),":","""",TEXT(valueMaker!H41,"yyyy/m/d"),"""")</f>
        <v>tanjyoubi:"1994/8/9"</v>
      </c>
      <c r="I41" t="str" cm="1">
        <f t="array" aca="1" ref="I41" ca="1">CONCATENATE(INDIRECT(ADDRESS(1,9,1,0,"KeySet"),0),":","""",valueMaker!I41,"""")</f>
        <v>denwaBangou:"090-5084-4446"</v>
      </c>
      <c r="J41" t="str" cm="1">
        <f t="array" aca="1" ref="J41" ca="1">CONCATENATE(INDIRECT(ADDRESS(1,10,1,0,"KeySet"),0),":","""",valueMaker!J41,"""")</f>
        <v>mailAddress:"Sun_Xi_Bo_34190@outlook.jp.co"</v>
      </c>
      <c r="K41" t="str" cm="1">
        <f t="array" aca="1" ref="K41" ca="1">CONCATENATE(INDIRECT(ADDRESS(1,11,1,0,"KeySet"),0),":","""",valueMaker!K41,"""")</f>
        <v>kaninSyubetu:"高級"</v>
      </c>
      <c r="L41" t="str" cm="1">
        <f t="array" aca="1" ref="L41" ca="1">CONCATENATE(INDIRECT(ADDRESS(1,12,1,0,"KeySet"),0),":","""",valueMaker!L41,"""")</f>
        <v>kaninKengenWB:"有り"</v>
      </c>
      <c r="M41" t="str" cm="1">
        <f t="array" aca="1" ref="M41" ca="1">CONCATENATE(INDIRECT(ADDRESS(1,13,1,0,"KeySet"),0),":","""",valueMaker!M41,"""")</f>
        <v>wakibiri:"10%"</v>
      </c>
      <c r="N41" t="str" cm="1">
        <f t="array" aca="1" ref="N41" ca="1">CONCATENATE(INDIRECT(ADDRESS(1,14,1,0,"KeySet"),0),":","""",valueMaker!N41,"""")</f>
        <v>kaninKengenPoint:"有り"</v>
      </c>
      <c r="O41" t="str" cm="1">
        <f t="array" aca="1" ref="O41" ca="1">CONCATENATE(INDIRECT(ADDRESS(1,15,1,0,"KeySet"),0),":","""",valueMaker!O41,"""")</f>
        <v>point:"632"</v>
      </c>
      <c r="P41" t="str" cm="1">
        <f t="array" aca="1" ref="P41" ca="1">CONCATENATE(INDIRECT(ADDRESS(1,16,1,0,"KeySet"),0),":","""",valueMaker!P41,"""")</f>
        <v>bikou:""</v>
      </c>
    </row>
    <row r="42" spans="1:16">
      <c r="A42" t="str" cm="1">
        <f t="array" aca="1" ref="A42" ca="1">CONCATENATE(INDIRECT(ADDRESS(1,1,1,0,"KeySet"),0),":","""",valueMaker!A42,"""")</f>
        <v>kainBangou:"TD10041"</v>
      </c>
      <c r="B42" t="str" cm="1">
        <f t="array" aca="1" ref="B42" ca="1">CONCATENATE(INDIRECT(ADDRESS(1,2,1,0,"KeySet"),0),":","""",valueMaker!B42,"""")</f>
        <v>kainMeiKanji:"張壯臻"</v>
      </c>
      <c r="C42" t="str" cm="1">
        <f t="array" aca="1" ref="C42" ca="1">CONCATENATE(INDIRECT(ADDRESS(1,3,1,0,"KeySet"),0),":","""",valueMaker!C42,"""")</f>
        <v>kainMeiKana:"ｼﾞｬｰﾝ ｼﾞｭﾜｰﾝ ｼﾞｪﾝ"</v>
      </c>
      <c r="D42" t="str" cm="1">
        <f t="array" aca="1" ref="D42" ca="1">CONCATENATE(INDIRECT(ADDRESS(1,4,1,0,"KeySet"),0),":","""",valueMaker!D42,"""")</f>
        <v>kainMeiEn:"Zhang Zhuang Zhen"</v>
      </c>
      <c r="E42" t="str" cm="1">
        <f t="array" aca="1" ref="E42" ca="1">CONCATENATE(INDIRECT(ADDRESS(1,5,1,0,"KeySet"),0),":","""",valueMaker!E42,"""")</f>
        <v>kainGender:"男性"</v>
      </c>
      <c r="F42" t="str" cm="1">
        <f t="array" aca="1" ref="F42" ca="1">CONCATENATE(INDIRECT(ADDRESS(1,6,1,0,"KeySet"),0),":","""",TEXT(valueMaker!F42,"yyyy/m/d"),"""")</f>
        <v>tanjyoubi:"1978/5/31"</v>
      </c>
      <c r="G42" t="str" cm="1">
        <f t="array" aca="1" ref="G42" ca="1">CONCATENATE(INDIRECT(ADDRESS(1,6,1,0,"KeySet"),0),":","""",TEXT(valueMaker!G42,"yyyy/m/d"),"""")</f>
        <v>tanjyoubi:"2013/6/2"</v>
      </c>
      <c r="H42" t="str" cm="1">
        <f t="array" aca="1" ref="H42" ca="1">CONCATENATE(INDIRECT(ADDRESS(1,6,1,0,"KeySet"),0),":","""",TEXT(valueMaker!H42,"yyyy/m/d"),"""")</f>
        <v>tanjyoubi:"2015/6/2"</v>
      </c>
      <c r="I42" t="str" cm="1">
        <f t="array" aca="1" ref="I42" ca="1">CONCATENATE(INDIRECT(ADDRESS(1,9,1,0,"KeySet"),0),":","""",valueMaker!I42,"""")</f>
        <v>denwaBangou:"080-6432-1018"</v>
      </c>
      <c r="J42" t="str" cm="1">
        <f t="array" aca="1" ref="J42" ca="1">CONCATENATE(INDIRECT(ADDRESS(1,10,1,0,"KeySet"),0),":","""",valueMaker!J42,"""")</f>
        <v>mailAddress:"Zhang_Zhuang_Zhen_41427@outlook.jp.co"</v>
      </c>
      <c r="K42" t="str" cm="1">
        <f t="array" aca="1" ref="K42" ca="1">CONCATENATE(INDIRECT(ADDRESS(1,11,1,0,"KeySet"),0),":","""",valueMaker!K42,"""")</f>
        <v>kaninSyubetu:"普通"</v>
      </c>
      <c r="L42" t="str" cm="1">
        <f t="array" aca="1" ref="L42" ca="1">CONCATENATE(INDIRECT(ADDRESS(1,12,1,0,"KeySet"),0),":","""",valueMaker!L42,"""")</f>
        <v>kaninKengenWB:"有り"</v>
      </c>
      <c r="M42" t="str" cm="1">
        <f t="array" aca="1" ref="M42" ca="1">CONCATENATE(INDIRECT(ADDRESS(1,13,1,0,"KeySet"),0),":","""",valueMaker!M42,"""")</f>
        <v>wakibiri:"5%"</v>
      </c>
      <c r="N42" t="str" cm="1">
        <f t="array" aca="1" ref="N42" ca="1">CONCATENATE(INDIRECT(ADDRESS(1,14,1,0,"KeySet"),0),":","""",valueMaker!N42,"""")</f>
        <v>kaninKengenPoint:"有り"</v>
      </c>
      <c r="O42" t="str" cm="1">
        <f t="array" aca="1" ref="O42" ca="1">CONCATENATE(INDIRECT(ADDRESS(1,15,1,0,"KeySet"),0),":","""",valueMaker!O42,"""")</f>
        <v>point:"287"</v>
      </c>
      <c r="P42" t="str" cm="1">
        <f t="array" aca="1" ref="P42" ca="1">CONCATENATE(INDIRECT(ADDRESS(1,16,1,0,"KeySet"),0),":","""",valueMaker!P42,"""")</f>
        <v>bikou:""</v>
      </c>
    </row>
    <row r="43" spans="1:16">
      <c r="A43" t="str" cm="1">
        <f t="array" aca="1" ref="A43" ca="1">CONCATENATE(INDIRECT(ADDRESS(1,1,1,0,"KeySet"),0),":","""",valueMaker!A43,"""")</f>
        <v>kainBangou:"TD10042"</v>
      </c>
      <c r="B43" t="str" cm="1">
        <f t="array" aca="1" ref="B43" ca="1">CONCATENATE(INDIRECT(ADDRESS(1,2,1,0,"KeySet"),0),":","""",valueMaker!B43,"""")</f>
        <v>kainMeiKanji:"孫貴渲"</v>
      </c>
      <c r="C43" t="str" cm="1">
        <f t="array" aca="1" ref="C43" ca="1">CONCATENATE(INDIRECT(ADDRESS(1,3,1,0,"KeySet"),0),":","""",valueMaker!C43,"""")</f>
        <v>kainMeiKana:"ｽｩﾝ ｸﾞｲ ｼｭｴﾝ"</v>
      </c>
      <c r="D43" t="str" cm="1">
        <f t="array" aca="1" ref="D43" ca="1">CONCATENATE(INDIRECT(ADDRESS(1,4,1,0,"KeySet"),0),":","""",valueMaker!D43,"""")</f>
        <v>kainMeiEn:"Sun Gui Xuan"</v>
      </c>
      <c r="E43" t="str" cm="1">
        <f t="array" aca="1" ref="E43" ca="1">CONCATENATE(INDIRECT(ADDRESS(1,5,1,0,"KeySet"),0),":","""",valueMaker!E43,"""")</f>
        <v>kainGender:"男性"</v>
      </c>
      <c r="F43" t="str" cm="1">
        <f t="array" aca="1" ref="F43" ca="1">CONCATENATE(INDIRECT(ADDRESS(1,6,1,0,"KeySet"),0),":","""",TEXT(valueMaker!F43,"yyyy/m/d"),"""")</f>
        <v>tanjyoubi:"1969/5/23"</v>
      </c>
      <c r="G43" t="str" cm="1">
        <f t="array" aca="1" ref="G43" ca="1">CONCATENATE(INDIRECT(ADDRESS(1,6,1,0,"KeySet"),0),":","""",TEXT(valueMaker!G43,"yyyy/m/d"),"""")</f>
        <v>tanjyoubi:"2008/10/14"</v>
      </c>
      <c r="H43" t="str" cm="1">
        <f t="array" aca="1" ref="H43" ca="1">CONCATENATE(INDIRECT(ADDRESS(1,6,1,0,"KeySet"),0),":","""",TEXT(valueMaker!H43,"yyyy/m/d"),"""")</f>
        <v>tanjyoubi:"2010/10/14"</v>
      </c>
      <c r="I43" t="str" cm="1">
        <f t="array" aca="1" ref="I43" ca="1">CONCATENATE(INDIRECT(ADDRESS(1,9,1,0,"KeySet"),0),":","""",valueMaker!I43,"""")</f>
        <v>denwaBangou:"080-5825-8033"</v>
      </c>
      <c r="J43" t="str" cm="1">
        <f t="array" aca="1" ref="J43" ca="1">CONCATENATE(INDIRECT(ADDRESS(1,10,1,0,"KeySet"),0),":","""",valueMaker!J43,"""")</f>
        <v>mailAddress:"Sun_Gui_Xuan_39735@outlook.jp.co"</v>
      </c>
      <c r="K43" t="str" cm="1">
        <f t="array" aca="1" ref="K43" ca="1">CONCATENATE(INDIRECT(ADDRESS(1,11,1,0,"KeySet"),0),":","""",valueMaker!K43,"""")</f>
        <v>kaninSyubetu:"普通"</v>
      </c>
      <c r="L43" t="str" cm="1">
        <f t="array" aca="1" ref="L43" ca="1">CONCATENATE(INDIRECT(ADDRESS(1,12,1,0,"KeySet"),0),":","""",valueMaker!L43,"""")</f>
        <v>kaninKengenWB:"有り"</v>
      </c>
      <c r="M43" t="str" cm="1">
        <f t="array" aca="1" ref="M43" ca="1">CONCATENATE(INDIRECT(ADDRESS(1,13,1,0,"KeySet"),0),":","""",valueMaker!M43,"""")</f>
        <v>wakibiri:"5%"</v>
      </c>
      <c r="N43" t="str" cm="1">
        <f t="array" aca="1" ref="N43" ca="1">CONCATENATE(INDIRECT(ADDRESS(1,14,1,0,"KeySet"),0),":","""",valueMaker!N43,"""")</f>
        <v>kaninKengenPoint:"有り"</v>
      </c>
      <c r="O43" t="str" cm="1">
        <f t="array" aca="1" ref="O43" ca="1">CONCATENATE(INDIRECT(ADDRESS(1,15,1,0,"KeySet"),0),":","""",valueMaker!O43,"""")</f>
        <v>point:"524"</v>
      </c>
      <c r="P43" t="str" cm="1">
        <f t="array" aca="1" ref="P43" ca="1">CONCATENATE(INDIRECT(ADDRESS(1,16,1,0,"KeySet"),0),":","""",valueMaker!P43,"""")</f>
        <v>bikou:""</v>
      </c>
    </row>
    <row r="44" spans="1:16">
      <c r="A44" t="str" cm="1">
        <f t="array" aca="1" ref="A44" ca="1">CONCATENATE(INDIRECT(ADDRESS(1,1,1,0,"KeySet"),0),":","""",valueMaker!A44,"""")</f>
        <v>kainBangou:"TD10043"</v>
      </c>
      <c r="B44" t="str" cm="1">
        <f t="array" aca="1" ref="B44" ca="1">CONCATENATE(INDIRECT(ADDRESS(1,2,1,0,"KeySet"),0),":","""",valueMaker!B44,"""")</f>
        <v>kainMeiKanji:"何樂萊"</v>
      </c>
      <c r="C44" t="str" cm="1">
        <f t="array" aca="1" ref="C44" ca="1">CONCATENATE(INDIRECT(ADDRESS(1,3,1,0,"KeySet"),0),":","""",valueMaker!C44,"""")</f>
        <v>kainMeiKana:"ﾎｰｧ ﾛｰｧ ﾗｲ"</v>
      </c>
      <c r="D44" t="str" cm="1">
        <f t="array" aca="1" ref="D44" ca="1">CONCATENATE(INDIRECT(ADDRESS(1,4,1,0,"KeySet"),0),":","""",valueMaker!D44,"""")</f>
        <v>kainMeiEn:"He Le Lai"</v>
      </c>
      <c r="E44" t="str" cm="1">
        <f t="array" aca="1" ref="E44" ca="1">CONCATENATE(INDIRECT(ADDRESS(1,5,1,0,"KeySet"),0),":","""",valueMaker!E44,"""")</f>
        <v>kainGender:"男性"</v>
      </c>
      <c r="F44" t="str" cm="1">
        <f t="array" aca="1" ref="F44" ca="1">CONCATENATE(INDIRECT(ADDRESS(1,6,1,0,"KeySet"),0),":","""",TEXT(valueMaker!F44,"yyyy/m/d"),"""")</f>
        <v>tanjyoubi:"1962/3/18"</v>
      </c>
      <c r="G44" t="str" cm="1">
        <f t="array" aca="1" ref="G44" ca="1">CONCATENATE(INDIRECT(ADDRESS(1,6,1,0,"KeySet"),0),":","""",TEXT(valueMaker!G44,"yyyy/m/d"),"""")</f>
        <v>tanjyoubi:"2001/10/7"</v>
      </c>
      <c r="H44" t="str" cm="1">
        <f t="array" aca="1" ref="H44" ca="1">CONCATENATE(INDIRECT(ADDRESS(1,6,1,0,"KeySet"),0),":","""",TEXT(valueMaker!H44,"yyyy/m/d"),"""")</f>
        <v>tanjyoubi:"2003/10/7"</v>
      </c>
      <c r="I44" t="str" cm="1">
        <f t="array" aca="1" ref="I44" ca="1">CONCATENATE(INDIRECT(ADDRESS(1,9,1,0,"KeySet"),0),":","""",valueMaker!I44,"""")</f>
        <v>denwaBangou:"080-3548-0086"</v>
      </c>
      <c r="J44" t="str" cm="1">
        <f t="array" aca="1" ref="J44" ca="1">CONCATENATE(INDIRECT(ADDRESS(1,10,1,0,"KeySet"),0),":","""",valueMaker!J44,"""")</f>
        <v>mailAddress:"He_Le Lai_37171@outlook.jp.co"</v>
      </c>
      <c r="K44" t="str" cm="1">
        <f t="array" aca="1" ref="K44" ca="1">CONCATENATE(INDIRECT(ADDRESS(1,11,1,0,"KeySet"),0),":","""",valueMaker!K44,"""")</f>
        <v>kaninSyubetu:"普通"</v>
      </c>
      <c r="L44" t="str" cm="1">
        <f t="array" aca="1" ref="L44" ca="1">CONCATENATE(INDIRECT(ADDRESS(1,12,1,0,"KeySet"),0),":","""",valueMaker!L44,"""")</f>
        <v>kaninKengenWB:"有り"</v>
      </c>
      <c r="M44" t="str" cm="1">
        <f t="array" aca="1" ref="M44" ca="1">CONCATENATE(INDIRECT(ADDRESS(1,13,1,0,"KeySet"),0),":","""",valueMaker!M44,"""")</f>
        <v>wakibiri:"5%"</v>
      </c>
      <c r="N44" t="str" cm="1">
        <f t="array" aca="1" ref="N44" ca="1">CONCATENATE(INDIRECT(ADDRESS(1,14,1,0,"KeySet"),0),":","""",valueMaker!N44,"""")</f>
        <v>kaninKengenPoint:"有り"</v>
      </c>
      <c r="O44" t="str" cm="1">
        <f t="array" aca="1" ref="O44" ca="1">CONCATENATE(INDIRECT(ADDRESS(1,15,1,0,"KeySet"),0),":","""",valueMaker!O44,"""")</f>
        <v>point:"386"</v>
      </c>
      <c r="P44" t="str" cm="1">
        <f t="array" aca="1" ref="P44" ca="1">CONCATENATE(INDIRECT(ADDRESS(1,16,1,0,"KeySet"),0),":","""",valueMaker!P44,"""")</f>
        <v>bikou:""</v>
      </c>
    </row>
    <row r="45" spans="1:16">
      <c r="A45" t="str" cm="1">
        <f t="array" aca="1" ref="A45" ca="1">CONCATENATE(INDIRECT(ADDRESS(1,1,1,0,"KeySet"),0),":","""",valueMaker!A45,"""")</f>
        <v>kainBangou:"TD10044"</v>
      </c>
      <c r="B45" t="str" cm="1">
        <f t="array" aca="1" ref="B45" ca="1">CONCATENATE(INDIRECT(ADDRESS(1,2,1,0,"KeySet"),0),":","""",valueMaker!B45,"""")</f>
        <v>kainMeiKanji:"梁逸傲"</v>
      </c>
      <c r="C45" t="str" cm="1">
        <f t="array" aca="1" ref="C45" ca="1">CONCATENATE(INDIRECT(ADDRESS(1,3,1,0,"KeySet"),0),":","""",valueMaker!C45,"""")</f>
        <v>kainMeiKana:"ﾘﾔｰﾝ ｲｰ ｱｵ"</v>
      </c>
      <c r="D45" t="str" cm="1">
        <f t="array" aca="1" ref="D45" ca="1">CONCATENATE(INDIRECT(ADDRESS(1,4,1,0,"KeySet"),0),":","""",valueMaker!D45,"""")</f>
        <v>kainMeiEn:"Liang Yi Ao"</v>
      </c>
      <c r="E45" t="str" cm="1">
        <f t="array" aca="1" ref="E45" ca="1">CONCATENATE(INDIRECT(ADDRESS(1,5,1,0,"KeySet"),0),":","""",valueMaker!E45,"""")</f>
        <v>kainGender:"男性"</v>
      </c>
      <c r="F45" t="str" cm="1">
        <f t="array" aca="1" ref="F45" ca="1">CONCATENATE(INDIRECT(ADDRESS(1,6,1,0,"KeySet"),0),":","""",TEXT(valueMaker!F45,"yyyy/m/d"),"""")</f>
        <v>tanjyoubi:"1974/6/27"</v>
      </c>
      <c r="G45" t="str" cm="1">
        <f t="array" aca="1" ref="G45" ca="1">CONCATENATE(INDIRECT(ADDRESS(1,6,1,0,"KeySet"),0),":","""",TEXT(valueMaker!G45,"yyyy/m/d"),"""")</f>
        <v>tanjyoubi:"2012/12/26"</v>
      </c>
      <c r="H45" t="str" cm="1">
        <f t="array" aca="1" ref="H45" ca="1">CONCATENATE(INDIRECT(ADDRESS(1,6,1,0,"KeySet"),0),":","""",TEXT(valueMaker!H45,"yyyy/m/d"),"""")</f>
        <v>tanjyoubi:"2014/12/26"</v>
      </c>
      <c r="I45" t="str" cm="1">
        <f t="array" aca="1" ref="I45" ca="1">CONCATENATE(INDIRECT(ADDRESS(1,9,1,0,"KeySet"),0),":","""",valueMaker!I45,"""")</f>
        <v>denwaBangou:"080-1020-4729"</v>
      </c>
      <c r="J45" t="str" cm="1">
        <f t="array" aca="1" ref="J45" ca="1">CONCATENATE(INDIRECT(ADDRESS(1,10,1,0,"KeySet"),0),":","""",valueMaker!J45,"""")</f>
        <v>mailAddress:"Liang_Yi_Ao_41269@outlook.jp.co"</v>
      </c>
      <c r="K45" t="str" cm="1">
        <f t="array" aca="1" ref="K45" ca="1">CONCATENATE(INDIRECT(ADDRESS(1,11,1,0,"KeySet"),0),":","""",valueMaker!K45,"""")</f>
        <v>kaninSyubetu:"普通"</v>
      </c>
      <c r="L45" t="str" cm="1">
        <f t="array" aca="1" ref="L45" ca="1">CONCATENATE(INDIRECT(ADDRESS(1,12,1,0,"KeySet"),0),":","""",valueMaker!L45,"""")</f>
        <v>kaninKengenWB:"有り"</v>
      </c>
      <c r="M45" t="str" cm="1">
        <f t="array" aca="1" ref="M45" ca="1">CONCATENATE(INDIRECT(ADDRESS(1,13,1,0,"KeySet"),0),":","""",valueMaker!M45,"""")</f>
        <v>wakibiri:"5%"</v>
      </c>
      <c r="N45" t="str" cm="1">
        <f t="array" aca="1" ref="N45" ca="1">CONCATENATE(INDIRECT(ADDRESS(1,14,1,0,"KeySet"),0),":","""",valueMaker!N45,"""")</f>
        <v>kaninKengenPoint:"-"</v>
      </c>
      <c r="O45" t="str" cm="1">
        <f t="array" aca="1" ref="O45" ca="1">CONCATENATE(INDIRECT(ADDRESS(1,15,1,0,"KeySet"),0),":","""",valueMaker!O45,"""")</f>
        <v>point:"-"</v>
      </c>
      <c r="P45" t="str" cm="1">
        <f t="array" aca="1" ref="P45" ca="1">CONCATENATE(INDIRECT(ADDRESS(1,16,1,0,"KeySet"),0),":","""",valueMaker!P45,"""")</f>
        <v>bikou:""</v>
      </c>
    </row>
    <row r="46" spans="1:16">
      <c r="A46" t="str" cm="1">
        <f t="array" aca="1" ref="A46" ca="1">CONCATENATE(INDIRECT(ADDRESS(1,1,1,0,"KeySet"),0),":","""",valueMaker!A46,"""")</f>
        <v>kainBangou:"TD10045"</v>
      </c>
      <c r="B46" t="str" cm="1">
        <f t="array" aca="1" ref="B46" ca="1">CONCATENATE(INDIRECT(ADDRESS(1,2,1,0,"KeySet"),0),":","""",valueMaker!B46,"""")</f>
        <v>kainMeiKanji:"吳冠聆"</v>
      </c>
      <c r="C46" t="str" cm="1">
        <f t="array" aca="1" ref="C46" ca="1">CONCATENATE(INDIRECT(ADDRESS(1,3,1,0,"KeySet"),0),":","""",valueMaker!C46,"""")</f>
        <v>kainMeiKana:"ｳｰ ｸﾞﾜﾝ ﾘｰﾝ"</v>
      </c>
      <c r="D46" t="str" cm="1">
        <f t="array" aca="1" ref="D46" ca="1">CONCATENATE(INDIRECT(ADDRESS(1,4,1,0,"KeySet"),0),":","""",valueMaker!D46,"""")</f>
        <v>kainMeiEn:"Wu Guan Ling"</v>
      </c>
      <c r="E46" t="str" cm="1">
        <f t="array" aca="1" ref="E46" ca="1">CONCATENATE(INDIRECT(ADDRESS(1,5,1,0,"KeySet"),0),":","""",valueMaker!E46,"""")</f>
        <v>kainGender:"男性"</v>
      </c>
      <c r="F46" t="str" cm="1">
        <f t="array" aca="1" ref="F46" ca="1">CONCATENATE(INDIRECT(ADDRESS(1,6,1,0,"KeySet"),0),":","""",TEXT(valueMaker!F46,"yyyy/m/d"),"""")</f>
        <v>tanjyoubi:"1981/1/11"</v>
      </c>
      <c r="G46" t="str" cm="1">
        <f t="array" aca="1" ref="G46" ca="1">CONCATENATE(INDIRECT(ADDRESS(1,6,1,0,"KeySet"),0),":","""",TEXT(valueMaker!G46,"yyyy/m/d"),"""")</f>
        <v>tanjyoubi:"2023/3/28"</v>
      </c>
      <c r="H46" t="str" cm="1">
        <f t="array" aca="1" ref="H46" ca="1">CONCATENATE(INDIRECT(ADDRESS(1,6,1,0,"KeySet"),0),":","""",TEXT(valueMaker!H46,"yyyy/m/d"),"""")</f>
        <v>tanjyoubi:"2024/3/27"</v>
      </c>
      <c r="I46" t="str" cm="1">
        <f t="array" aca="1" ref="I46" ca="1">CONCATENATE(INDIRECT(ADDRESS(1,9,1,0,"KeySet"),0),":","""",valueMaker!I46,"""")</f>
        <v>denwaBangou:"090-0984-4024"</v>
      </c>
      <c r="J46" t="str" cm="1">
        <f t="array" aca="1" ref="J46" ca="1">CONCATENATE(INDIRECT(ADDRESS(1,10,1,0,"KeySet"),0),":","""",valueMaker!J46,"""")</f>
        <v>mailAddress:"Wu_Guan_Ling_45013@outlook.jp.co"</v>
      </c>
      <c r="K46" t="str" cm="1">
        <f t="array" aca="1" ref="K46" ca="1">CONCATENATE(INDIRECT(ADDRESS(1,11,1,0,"KeySet"),0),":","""",valueMaker!K46,"""")</f>
        <v>kaninSyubetu:"普通"</v>
      </c>
      <c r="L46" t="str" cm="1">
        <f t="array" aca="1" ref="L46" ca="1">CONCATENATE(INDIRECT(ADDRESS(1,12,1,0,"KeySet"),0),":","""",valueMaker!L46,"""")</f>
        <v>kaninKengenWB:"有り"</v>
      </c>
      <c r="M46" t="str" cm="1">
        <f t="array" aca="1" ref="M46" ca="1">CONCATENATE(INDIRECT(ADDRESS(1,13,1,0,"KeySet"),0),":","""",valueMaker!M46,"""")</f>
        <v>wakibiri:"5%"</v>
      </c>
      <c r="N46" t="str" cm="1">
        <f t="array" aca="1" ref="N46" ca="1">CONCATENATE(INDIRECT(ADDRESS(1,14,1,0,"KeySet"),0),":","""",valueMaker!N46,"""")</f>
        <v>kaninKengenPoint:"有り"</v>
      </c>
      <c r="O46" t="str" cm="1">
        <f t="array" aca="1" ref="O46" ca="1">CONCATENATE(INDIRECT(ADDRESS(1,15,1,0,"KeySet"),0),":","""",valueMaker!O46,"""")</f>
        <v>point:"629"</v>
      </c>
      <c r="P46" t="str" cm="1">
        <f t="array" aca="1" ref="P46" ca="1">CONCATENATE(INDIRECT(ADDRESS(1,16,1,0,"KeySet"),0),":","""",valueMaker!P46,"""")</f>
        <v>bikou:""</v>
      </c>
    </row>
    <row r="47" spans="1:16">
      <c r="A47" t="str" cm="1">
        <f t="array" aca="1" ref="A47" ca="1">CONCATENATE(INDIRECT(ADDRESS(1,1,1,0,"KeySet"),0),":","""",valueMaker!A47,"""")</f>
        <v>kainBangou:"TD10046"</v>
      </c>
      <c r="B47" t="str" cm="1">
        <f t="array" aca="1" ref="B47" ca="1">CONCATENATE(INDIRECT(ADDRESS(1,2,1,0,"KeySet"),0),":","""",valueMaker!B47,"""")</f>
        <v>kainMeiKanji:"韓芬勁"</v>
      </c>
      <c r="C47" t="str" cm="1">
        <f t="array" aca="1" ref="C47" ca="1">CONCATENATE(INDIRECT(ADDRESS(1,3,1,0,"KeySet"),0),":","""",valueMaker!C47,"""")</f>
        <v>kainMeiKana:"ﾊﾝ ﾌｪﾝ ｼﾞﾝ"</v>
      </c>
      <c r="D47" t="str" cm="1">
        <f t="array" aca="1" ref="D47" ca="1">CONCATENATE(INDIRECT(ADDRESS(1,4,1,0,"KeySet"),0),":","""",valueMaker!D47,"""")</f>
        <v>kainMeiEn:"Han Fen Jin"</v>
      </c>
      <c r="E47" t="str" cm="1">
        <f t="array" aca="1" ref="E47" ca="1">CONCATENATE(INDIRECT(ADDRESS(1,5,1,0,"KeySet"),0),":","""",valueMaker!E47,"""")</f>
        <v>kainGender:"男性"</v>
      </c>
      <c r="F47" t="str" cm="1">
        <f t="array" aca="1" ref="F47" ca="1">CONCATENATE(INDIRECT(ADDRESS(1,6,1,0,"KeySet"),0),":","""",TEXT(valueMaker!F47,"yyyy/m/d"),"""")</f>
        <v>tanjyoubi:"1997/4/26"</v>
      </c>
      <c r="G47" t="str" cm="1">
        <f t="array" aca="1" ref="G47" ca="1">CONCATENATE(INDIRECT(ADDRESS(1,6,1,0,"KeySet"),0),":","""",TEXT(valueMaker!G47,"yyyy/m/d"),"""")</f>
        <v>tanjyoubi:"2018/8/14"</v>
      </c>
      <c r="H47" t="str" cm="1">
        <f t="array" aca="1" ref="H47" ca="1">CONCATENATE(INDIRECT(ADDRESS(1,6,1,0,"KeySet"),0),":","""",TEXT(valueMaker!H47,"yyyy/m/d"),"""")</f>
        <v>tanjyoubi:"2019/8/14"</v>
      </c>
      <c r="I47" t="str" cm="1">
        <f t="array" aca="1" ref="I47" ca="1">CONCATENATE(INDIRECT(ADDRESS(1,9,1,0,"KeySet"),0),":","""",valueMaker!I47,"""")</f>
        <v>denwaBangou:"090-9093-0526"</v>
      </c>
      <c r="J47" t="str" cm="1">
        <f t="array" aca="1" ref="J47" ca="1">CONCATENATE(INDIRECT(ADDRESS(1,10,1,0,"KeySet"),0),":","""",valueMaker!J47,"""")</f>
        <v>mailAddress:"Han_Fen Jin_43326@outlook.jp.co"</v>
      </c>
      <c r="K47" t="str" cm="1">
        <f t="array" aca="1" ref="K47" ca="1">CONCATENATE(INDIRECT(ADDRESS(1,11,1,0,"KeySet"),0),":","""",valueMaker!K47,"""")</f>
        <v>kaninSyubetu:"普通"</v>
      </c>
      <c r="L47" t="str" cm="1">
        <f t="array" aca="1" ref="L47" ca="1">CONCATENATE(INDIRECT(ADDRESS(1,12,1,0,"KeySet"),0),":","""",valueMaker!L47,"""")</f>
        <v>kaninKengenWB:"有り"</v>
      </c>
      <c r="M47" t="str" cm="1">
        <f t="array" aca="1" ref="M47" ca="1">CONCATENATE(INDIRECT(ADDRESS(1,13,1,0,"KeySet"),0),":","""",valueMaker!M47,"""")</f>
        <v>wakibiri:"5%"</v>
      </c>
      <c r="N47" t="str" cm="1">
        <f t="array" aca="1" ref="N47" ca="1">CONCATENATE(INDIRECT(ADDRESS(1,14,1,0,"KeySet"),0),":","""",valueMaker!N47,"""")</f>
        <v>kaninKengenPoint:"有り"</v>
      </c>
      <c r="O47" t="str" cm="1">
        <f t="array" aca="1" ref="O47" ca="1">CONCATENATE(INDIRECT(ADDRESS(1,15,1,0,"KeySet"),0),":","""",valueMaker!O47,"""")</f>
        <v>point:"117"</v>
      </c>
      <c r="P47" t="str" cm="1">
        <f t="array" aca="1" ref="P47" ca="1">CONCATENATE(INDIRECT(ADDRESS(1,16,1,0,"KeySet"),0),":","""",valueMaker!P47,"""")</f>
        <v>bikou:""</v>
      </c>
    </row>
    <row r="48" spans="1:16">
      <c r="A48" t="str" cm="1">
        <f t="array" aca="1" ref="A48" ca="1">CONCATENATE(INDIRECT(ADDRESS(1,1,1,0,"KeySet"),0),":","""",valueMaker!A48,"""")</f>
        <v>kainBangou:"TD10047"</v>
      </c>
      <c r="B48" t="str" cm="1">
        <f t="array" aca="1" ref="B48" ca="1">CONCATENATE(INDIRECT(ADDRESS(1,2,1,0,"KeySet"),0),":","""",valueMaker!B48,"""")</f>
        <v>kainMeiKanji:"朱譽昌"</v>
      </c>
      <c r="C48" t="str" cm="1">
        <f t="array" aca="1" ref="C48" ca="1">CONCATENATE(INDIRECT(ADDRESS(1,3,1,0,"KeySet"),0),":","""",valueMaker!C48,"""")</f>
        <v>kainMeiKana:"ｼﾞｭｳ ﾕｲ ﾁｬｰﾝ"</v>
      </c>
      <c r="D48" t="str" cm="1">
        <f t="array" aca="1" ref="D48" ca="1">CONCATENATE(INDIRECT(ADDRESS(1,4,1,0,"KeySet"),0),":","""",valueMaker!D48,"""")</f>
        <v>kainMeiEn:"Zhu Yu Chang"</v>
      </c>
      <c r="E48" t="str" cm="1">
        <f t="array" aca="1" ref="E48" ca="1">CONCATENATE(INDIRECT(ADDRESS(1,5,1,0,"KeySet"),0),":","""",valueMaker!E48,"""")</f>
        <v>kainGender:"女性"</v>
      </c>
      <c r="F48" t="str" cm="1">
        <f t="array" aca="1" ref="F48" ca="1">CONCATENATE(INDIRECT(ADDRESS(1,6,1,0,"KeySet"),0),":","""",TEXT(valueMaker!F48,"yyyy/m/d"),"""")</f>
        <v>tanjyoubi:"2001/8/10"</v>
      </c>
      <c r="G48" t="str" cm="1">
        <f t="array" aca="1" ref="G48" ca="1">CONCATENATE(INDIRECT(ADDRESS(1,6,1,0,"KeySet"),0),":","""",TEXT(valueMaker!G48,"yyyy/m/d"),"""")</f>
        <v>tanjyoubi:"2022/6/5"</v>
      </c>
      <c r="H48" t="str" cm="1">
        <f t="array" aca="1" ref="H48" ca="1">CONCATENATE(INDIRECT(ADDRESS(1,6,1,0,"KeySet"),0),":","""",TEXT(valueMaker!H48,"yyyy/m/d"),"""")</f>
        <v>tanjyoubi:"2025/6/4"</v>
      </c>
      <c r="I48" t="str" cm="1">
        <f t="array" aca="1" ref="I48" ca="1">CONCATENATE(INDIRECT(ADDRESS(1,9,1,0,"KeySet"),0),":","""",valueMaker!I48,"""")</f>
        <v>denwaBangou:"090-2785-2326"</v>
      </c>
      <c r="J48" t="str" cm="1">
        <f t="array" aca="1" ref="J48" ca="1">CONCATENATE(INDIRECT(ADDRESS(1,10,1,0,"KeySet"),0),":","""",valueMaker!J48,"""")</f>
        <v>mailAddress:"Zhu_Yu_Chang_44717@outlook.jp.co"</v>
      </c>
      <c r="K48" t="str" cm="1">
        <f t="array" aca="1" ref="K48" ca="1">CONCATENATE(INDIRECT(ADDRESS(1,11,1,0,"KeySet"),0),":","""",valueMaker!K48,"""")</f>
        <v>kaninSyubetu:"高級"</v>
      </c>
      <c r="L48" t="str" cm="1">
        <f t="array" aca="1" ref="L48" ca="1">CONCATENATE(INDIRECT(ADDRESS(1,12,1,0,"KeySet"),0),":","""",valueMaker!L48,"""")</f>
        <v>kaninKengenWB:"有り"</v>
      </c>
      <c r="M48" t="str" cm="1">
        <f t="array" aca="1" ref="M48" ca="1">CONCATENATE(INDIRECT(ADDRESS(1,13,1,0,"KeySet"),0),":","""",valueMaker!M48,"""")</f>
        <v>wakibiri:"10%"</v>
      </c>
      <c r="N48" t="str" cm="1">
        <f t="array" aca="1" ref="N48" ca="1">CONCATENATE(INDIRECT(ADDRESS(1,14,1,0,"KeySet"),0),":","""",valueMaker!N48,"""")</f>
        <v>kaninKengenPoint:"有り"</v>
      </c>
      <c r="O48" t="str" cm="1">
        <f t="array" aca="1" ref="O48" ca="1">CONCATENATE(INDIRECT(ADDRESS(1,15,1,0,"KeySet"),0),":","""",valueMaker!O48,"""")</f>
        <v>point:"750"</v>
      </c>
      <c r="P48" t="str" cm="1">
        <f t="array" aca="1" ref="P48" ca="1">CONCATENATE(INDIRECT(ADDRESS(1,16,1,0,"KeySet"),0),":","""",valueMaker!P48,"""")</f>
        <v>bikou:""</v>
      </c>
    </row>
    <row r="49" spans="1:16">
      <c r="A49" t="str" cm="1">
        <f t="array" aca="1" ref="A49" ca="1">CONCATENATE(INDIRECT(ADDRESS(1,1,1,0,"KeySet"),0),":","""",valueMaker!A49,"""")</f>
        <v>kainBangou:"TD10048"</v>
      </c>
      <c r="B49" t="str" cm="1">
        <f t="array" aca="1" ref="B49" ca="1">CONCATENATE(INDIRECT(ADDRESS(1,2,1,0,"KeySet"),0),":","""",valueMaker!B49,"""")</f>
        <v>kainMeiKanji:"林厚道"</v>
      </c>
      <c r="C49" t="str" cm="1">
        <f t="array" aca="1" ref="C49" ca="1">CONCATENATE(INDIRECT(ADDRESS(1,3,1,0,"KeySet"),0),":","""",valueMaker!C49,"""")</f>
        <v>kainMeiKana:"ﾘﾝ ﾎｳ ﾀﾞｵ"</v>
      </c>
      <c r="D49" t="str" cm="1">
        <f t="array" aca="1" ref="D49" ca="1">CONCATENATE(INDIRECT(ADDRESS(1,4,1,0,"KeySet"),0),":","""",valueMaker!D49,"""")</f>
        <v>kainMeiEn:"Lin Hou Dao"</v>
      </c>
      <c r="E49" t="str" cm="1">
        <f t="array" aca="1" ref="E49" ca="1">CONCATENATE(INDIRECT(ADDRESS(1,5,1,0,"KeySet"),0),":","""",valueMaker!E49,"""")</f>
        <v>kainGender:"男性"</v>
      </c>
      <c r="F49" t="str" cm="1">
        <f t="array" aca="1" ref="F49" ca="1">CONCATENATE(INDIRECT(ADDRESS(1,6,1,0,"KeySet"),0),":","""",TEXT(valueMaker!F49,"yyyy/m/d"),"""")</f>
        <v>tanjyoubi:"2001/11/10"</v>
      </c>
      <c r="G49" t="str" cm="1">
        <f t="array" aca="1" ref="G49" ca="1">CONCATENATE(INDIRECT(ADDRESS(1,6,1,0,"KeySet"),0),":","""",TEXT(valueMaker!G49,"yyyy/m/d"),"""")</f>
        <v>tanjyoubi:"2020/10/4"</v>
      </c>
      <c r="H49" t="str" cm="1">
        <f t="array" aca="1" ref="H49" ca="1">CONCATENATE(INDIRECT(ADDRESS(1,6,1,0,"KeySet"),0),":","""",TEXT(valueMaker!H49,"yyyy/m/d"),"""")</f>
        <v>tanjyoubi:"2023/10/4"</v>
      </c>
      <c r="I49" t="str" cm="1">
        <f t="array" aca="1" ref="I49" ca="1">CONCATENATE(INDIRECT(ADDRESS(1,9,1,0,"KeySet"),0),":","""",valueMaker!I49,"""")</f>
        <v>denwaBangou:"090-3883-9166"</v>
      </c>
      <c r="J49" t="str" cm="1">
        <f t="array" aca="1" ref="J49" ca="1">CONCATENATE(INDIRECT(ADDRESS(1,10,1,0,"KeySet"),0),":","""",valueMaker!J49,"""")</f>
        <v>mailAddress:"Lin_Hou_Dao_44108@outlook.jp.co"</v>
      </c>
      <c r="K49" t="str" cm="1">
        <f t="array" aca="1" ref="K49" ca="1">CONCATENATE(INDIRECT(ADDRESS(1,11,1,0,"KeySet"),0),":","""",valueMaker!K49,"""")</f>
        <v>kaninSyubetu:"高級"</v>
      </c>
      <c r="L49" t="str" cm="1">
        <f t="array" aca="1" ref="L49" ca="1">CONCATENATE(INDIRECT(ADDRESS(1,12,1,0,"KeySet"),0),":","""",valueMaker!L49,"""")</f>
        <v>kaninKengenWB:"有り"</v>
      </c>
      <c r="M49" t="str" cm="1">
        <f t="array" aca="1" ref="M49" ca="1">CONCATENATE(INDIRECT(ADDRESS(1,13,1,0,"KeySet"),0),":","""",valueMaker!M49,"""")</f>
        <v>wakibiri:"10%"</v>
      </c>
      <c r="N49" t="str" cm="1">
        <f t="array" aca="1" ref="N49" ca="1">CONCATENATE(INDIRECT(ADDRESS(1,14,1,0,"KeySet"),0),":","""",valueMaker!N49,"""")</f>
        <v>kaninKengenPoint:"-"</v>
      </c>
      <c r="O49" t="str" cm="1">
        <f t="array" aca="1" ref="O49" ca="1">CONCATENATE(INDIRECT(ADDRESS(1,15,1,0,"KeySet"),0),":","""",valueMaker!O49,"""")</f>
        <v>point:"-"</v>
      </c>
      <c r="P49" t="str" cm="1">
        <f t="array" aca="1" ref="P49" ca="1">CONCATENATE(INDIRECT(ADDRESS(1,16,1,0,"KeySet"),0),":","""",valueMaker!P49,"""")</f>
        <v>bikou:""</v>
      </c>
    </row>
    <row r="50" spans="1:16">
      <c r="A50" t="str" cm="1">
        <f t="array" aca="1" ref="A50" ca="1">CONCATENATE(INDIRECT(ADDRESS(1,1,1,0,"KeySet"),0),":","""",valueMaker!A50,"""")</f>
        <v>kainBangou:"TD10049"</v>
      </c>
      <c r="B50" t="str" cm="1">
        <f t="array" aca="1" ref="B50" ca="1">CONCATENATE(INDIRECT(ADDRESS(1,2,1,0,"KeySet"),0),":","""",valueMaker!B50,"""")</f>
        <v>kainMeiKanji:"胡冰夢"</v>
      </c>
      <c r="C50" t="str" cm="1">
        <f t="array" aca="1" ref="C50" ca="1">CONCATENATE(INDIRECT(ADDRESS(1,3,1,0,"KeySet"),0),":","""",valueMaker!C50,"""")</f>
        <v>kainMeiKana:"ﾎｩ ﾋﾞｰﾝ ﾑｵﾝ"</v>
      </c>
      <c r="D50" t="str" cm="1">
        <f t="array" aca="1" ref="D50" ca="1">CONCATENATE(INDIRECT(ADDRESS(1,4,1,0,"KeySet"),0),":","""",valueMaker!D50,"""")</f>
        <v>kainMeiEn:"Hu Bing Meng"</v>
      </c>
      <c r="E50" t="str" cm="1">
        <f t="array" aca="1" ref="E50" ca="1">CONCATENATE(INDIRECT(ADDRESS(1,5,1,0,"KeySet"),0),":","""",valueMaker!E50,"""")</f>
        <v>kainGender:"男性"</v>
      </c>
      <c r="F50" t="str" cm="1">
        <f t="array" aca="1" ref="F50" ca="1">CONCATENATE(INDIRECT(ADDRESS(1,6,1,0,"KeySet"),0),":","""",TEXT(valueMaker!F50,"yyyy/m/d"),"""")</f>
        <v>tanjyoubi:"1968/9/9"</v>
      </c>
      <c r="G50" t="str" cm="1">
        <f t="array" aca="1" ref="G50" ca="1">CONCATENATE(INDIRECT(ADDRESS(1,6,1,0,"KeySet"),0),":","""",TEXT(valueMaker!G50,"yyyy/m/d"),"""")</f>
        <v>tanjyoubi:"1992/9/17"</v>
      </c>
      <c r="H50" t="str" cm="1">
        <f t="array" aca="1" ref="H50" ca="1">CONCATENATE(INDIRECT(ADDRESS(1,6,1,0,"KeySet"),0),":","""",TEXT(valueMaker!H50,"yyyy/m/d"),"""")</f>
        <v>tanjyoubi:"1994/9/17"</v>
      </c>
      <c r="I50" t="str" cm="1">
        <f t="array" aca="1" ref="I50" ca="1">CONCATENATE(INDIRECT(ADDRESS(1,9,1,0,"KeySet"),0),":","""",valueMaker!I50,"""")</f>
        <v>denwaBangou:"080-9114-6364"</v>
      </c>
      <c r="J50" t="str" cm="1">
        <f t="array" aca="1" ref="J50" ca="1">CONCATENATE(INDIRECT(ADDRESS(1,10,1,0,"KeySet"),0),":","""",valueMaker!J50,"""")</f>
        <v>mailAddress:"Hu_Bing_Meng_33864@outlook.jp.co"</v>
      </c>
      <c r="K50" t="str" cm="1">
        <f t="array" aca="1" ref="K50" ca="1">CONCATENATE(INDIRECT(ADDRESS(1,11,1,0,"KeySet"),0),":","""",valueMaker!K50,"""")</f>
        <v>kaninSyubetu:"高級"</v>
      </c>
      <c r="L50" t="str" cm="1">
        <f t="array" aca="1" ref="L50" ca="1">CONCATENATE(INDIRECT(ADDRESS(1,12,1,0,"KeySet"),0),":","""",valueMaker!L50,"""")</f>
        <v>kaninKengenWB:"有り"</v>
      </c>
      <c r="M50" t="str" cm="1">
        <f t="array" aca="1" ref="M50" ca="1">CONCATENATE(INDIRECT(ADDRESS(1,13,1,0,"KeySet"),0),":","""",valueMaker!M50,"""")</f>
        <v>wakibiri:"10%"</v>
      </c>
      <c r="N50" t="str" cm="1">
        <f t="array" aca="1" ref="N50" ca="1">CONCATENATE(INDIRECT(ADDRESS(1,14,1,0,"KeySet"),0),":","""",valueMaker!N50,"""")</f>
        <v>kaninKengenPoint:"有り"</v>
      </c>
      <c r="O50" t="str" cm="1">
        <f t="array" aca="1" ref="O50" ca="1">CONCATENATE(INDIRECT(ADDRESS(1,15,1,0,"KeySet"),0),":","""",valueMaker!O50,"""")</f>
        <v>point:"45"</v>
      </c>
      <c r="P50" t="str" cm="1">
        <f t="array" aca="1" ref="P50" ca="1">CONCATENATE(INDIRECT(ADDRESS(1,16,1,0,"KeySet"),0),":","""",valueMaker!P50,"""")</f>
        <v>bikou:""</v>
      </c>
    </row>
    <row r="51" spans="1:16">
      <c r="A51" t="str" cm="1">
        <f t="array" aca="1" ref="A51" ca="1">CONCATENATE(INDIRECT(ADDRESS(1,1,1,0,"KeySet"),0),":","""",valueMaker!A51,"""")</f>
        <v>kainBangou:"TD10050"</v>
      </c>
      <c r="B51" t="str" cm="1">
        <f t="array" aca="1" ref="B51" ca="1">CONCATENATE(INDIRECT(ADDRESS(1,2,1,0,"KeySet"),0),":","""",valueMaker!B51,"""")</f>
        <v>kainMeiKanji:"孫協曉"</v>
      </c>
      <c r="C51" t="str" cm="1">
        <f t="array" aca="1" ref="C51" ca="1">CONCATENATE(INDIRECT(ADDRESS(1,3,1,0,"KeySet"),0),":","""",valueMaker!C51,"""")</f>
        <v>kainMeiKana:"ｽｩﾝ ｼｴ ｼﾔｵ"</v>
      </c>
      <c r="D51" t="str" cm="1">
        <f t="array" aca="1" ref="D51" ca="1">CONCATENATE(INDIRECT(ADDRESS(1,4,1,0,"KeySet"),0),":","""",valueMaker!D51,"""")</f>
        <v>kainMeiEn:"Sun Xie Xiao"</v>
      </c>
      <c r="E51" t="str" cm="1">
        <f t="array" aca="1" ref="E51" ca="1">CONCATENATE(INDIRECT(ADDRESS(1,5,1,0,"KeySet"),0),":","""",valueMaker!E51,"""")</f>
        <v>kainGender:"男性"</v>
      </c>
      <c r="F51" t="str" cm="1">
        <f t="array" aca="1" ref="F51" ca="1">CONCATENATE(INDIRECT(ADDRESS(1,6,1,0,"KeySet"),0),":","""",TEXT(valueMaker!F51,"yyyy/m/d"),"""")</f>
        <v>tanjyoubi:"1984/1/16"</v>
      </c>
      <c r="G51" t="str" cm="1">
        <f t="array" aca="1" ref="G51" ca="1">CONCATENATE(INDIRECT(ADDRESS(1,6,1,0,"KeySet"),0),":","""",TEXT(valueMaker!G51,"yyyy/m/d"),"""")</f>
        <v>tanjyoubi:"2009/9/2"</v>
      </c>
      <c r="H51" t="str" cm="1">
        <f t="array" aca="1" ref="H51" ca="1">CONCATENATE(INDIRECT(ADDRESS(1,6,1,0,"KeySet"),0),":","""",TEXT(valueMaker!H51,"yyyy/m/d"),"""")</f>
        <v>tanjyoubi:"2012/9/1"</v>
      </c>
      <c r="I51" t="str" cm="1">
        <f t="array" aca="1" ref="I51" ca="1">CONCATENATE(INDIRECT(ADDRESS(1,9,1,0,"KeySet"),0),":","""",valueMaker!I51,"""")</f>
        <v>denwaBangou:"080-3662-4105"</v>
      </c>
      <c r="J51" t="str" cm="1">
        <f t="array" aca="1" ref="J51" ca="1">CONCATENATE(INDIRECT(ADDRESS(1,10,1,0,"KeySet"),0),":","""",valueMaker!J51,"""")</f>
        <v>mailAddress:"Sun_Xie_Xiao_40058@outlook.jp.co"</v>
      </c>
      <c r="K51" t="str" cm="1">
        <f t="array" aca="1" ref="K51" ca="1">CONCATENATE(INDIRECT(ADDRESS(1,11,1,0,"KeySet"),0),":","""",valueMaker!K51,"""")</f>
        <v>kaninSyubetu:"普通"</v>
      </c>
      <c r="L51" t="str" cm="1">
        <f t="array" aca="1" ref="L51" ca="1">CONCATENATE(INDIRECT(ADDRESS(1,12,1,0,"KeySet"),0),":","""",valueMaker!L51,"""")</f>
        <v>kaninKengenWB:"有り"</v>
      </c>
      <c r="M51" t="str" cm="1">
        <f t="array" aca="1" ref="M51" ca="1">CONCATENATE(INDIRECT(ADDRESS(1,13,1,0,"KeySet"),0),":","""",valueMaker!M51,"""")</f>
        <v>wakibiri:"5%"</v>
      </c>
      <c r="N51" t="str" cm="1">
        <f t="array" aca="1" ref="N51" ca="1">CONCATENATE(INDIRECT(ADDRESS(1,14,1,0,"KeySet"),0),":","""",valueMaker!N51,"""")</f>
        <v>kaninKengenPoint:"有り"</v>
      </c>
      <c r="O51" t="str" cm="1">
        <f t="array" aca="1" ref="O51" ca="1">CONCATENATE(INDIRECT(ADDRESS(1,15,1,0,"KeySet"),0),":","""",valueMaker!O51,"""")</f>
        <v>point:"573"</v>
      </c>
      <c r="P51" t="str" cm="1">
        <f t="array" aca="1" ref="P51" ca="1">CONCATENATE(INDIRECT(ADDRESS(1,16,1,0,"KeySet"),0),":","""",valueMaker!P51,"""")</f>
        <v>bikou:""</v>
      </c>
    </row>
    <row r="52" spans="1:16">
      <c r="A52" t="str" cm="1">
        <f t="array" aca="1" ref="A52" ca="1">CONCATENATE(INDIRECT(ADDRESS(1,1,1,0,"KeySet"),0),":","""",valueMaker!A52,"""")</f>
        <v>kainBangou:"TD10051"</v>
      </c>
      <c r="B52" t="str" cm="1">
        <f t="array" aca="1" ref="B52" ca="1">CONCATENATE(INDIRECT(ADDRESS(1,2,1,0,"KeySet"),0),":","""",valueMaker!B52,"""")</f>
        <v>kainMeiKanji:"王州紹"</v>
      </c>
      <c r="C52" t="str" cm="1">
        <f t="array" aca="1" ref="C52" ca="1">CONCATENATE(INDIRECT(ADDRESS(1,3,1,0,"KeySet"),0),":","""",valueMaker!C52,"""")</f>
        <v>kainMeiKana:"ﾜｰﾝ ｼﾞｮｳ ｼｬｵ"</v>
      </c>
      <c r="D52" t="str" cm="1">
        <f t="array" aca="1" ref="D52" ca="1">CONCATENATE(INDIRECT(ADDRESS(1,4,1,0,"KeySet"),0),":","""",valueMaker!D52,"""")</f>
        <v>kainMeiEn:"Wang Zhou Shao"</v>
      </c>
      <c r="E52" t="str" cm="1">
        <f t="array" aca="1" ref="E52" ca="1">CONCATENATE(INDIRECT(ADDRESS(1,5,1,0,"KeySet"),0),":","""",valueMaker!E52,"""")</f>
        <v>kainGender:"男性"</v>
      </c>
      <c r="F52" t="str" cm="1">
        <f t="array" aca="1" ref="F52" ca="1">CONCATENATE(INDIRECT(ADDRESS(1,6,1,0,"KeySet"),0),":","""",TEXT(valueMaker!F52,"yyyy/m/d"),"""")</f>
        <v>tanjyoubi:"2002/5/30"</v>
      </c>
      <c r="G52" t="str" cm="1">
        <f t="array" aca="1" ref="G52" ca="1">CONCATENATE(INDIRECT(ADDRESS(1,6,1,0,"KeySet"),0),":","""",TEXT(valueMaker!G52,"yyyy/m/d"),"""")</f>
        <v>tanjyoubi:"2024/2/23"</v>
      </c>
      <c r="H52" t="str" cm="1">
        <f t="array" aca="1" ref="H52" ca="1">CONCATENATE(INDIRECT(ADDRESS(1,6,1,0,"KeySet"),0),":","""",TEXT(valueMaker!H52,"yyyy/m/d"),"""")</f>
        <v>tanjyoubi:"2025/2/22"</v>
      </c>
      <c r="I52" t="str" cm="1">
        <f t="array" aca="1" ref="I52" ca="1">CONCATENATE(INDIRECT(ADDRESS(1,9,1,0,"KeySet"),0),":","""",valueMaker!I52,"""")</f>
        <v>denwaBangou:"090-4399-0179"</v>
      </c>
      <c r="J52" t="str" cm="1">
        <f t="array" aca="1" ref="J52" ca="1">CONCATENATE(INDIRECT(ADDRESS(1,10,1,0,"KeySet"),0),":","""",valueMaker!J52,"""")</f>
        <v>mailAddress:"Wang_Zhou_Shao_45345@outlook.jp.co"</v>
      </c>
      <c r="K52" t="str" cm="1">
        <f t="array" aca="1" ref="K52" ca="1">CONCATENATE(INDIRECT(ADDRESS(1,11,1,0,"KeySet"),0),":","""",valueMaker!K52,"""")</f>
        <v>kaninSyubetu:"高級"</v>
      </c>
      <c r="L52" t="str" cm="1">
        <f t="array" aca="1" ref="L52" ca="1">CONCATENATE(INDIRECT(ADDRESS(1,12,1,0,"KeySet"),0),":","""",valueMaker!L52,"""")</f>
        <v>kaninKengenWB:"有り"</v>
      </c>
      <c r="M52" t="str" cm="1">
        <f t="array" aca="1" ref="M52" ca="1">CONCATENATE(INDIRECT(ADDRESS(1,13,1,0,"KeySet"),0),":","""",valueMaker!M52,"""")</f>
        <v>wakibiri:"10%"</v>
      </c>
      <c r="N52" t="str" cm="1">
        <f t="array" aca="1" ref="N52" ca="1">CONCATENATE(INDIRECT(ADDRESS(1,14,1,0,"KeySet"),0),":","""",valueMaker!N52,"""")</f>
        <v>kaninKengenPoint:"有り"</v>
      </c>
      <c r="O52" t="str" cm="1">
        <f t="array" aca="1" ref="O52" ca="1">CONCATENATE(INDIRECT(ADDRESS(1,15,1,0,"KeySet"),0),":","""",valueMaker!O52,"""")</f>
        <v>point:"605"</v>
      </c>
      <c r="P52" t="str" cm="1">
        <f t="array" aca="1" ref="P52" ca="1">CONCATENATE(INDIRECT(ADDRESS(1,16,1,0,"KeySet"),0),":","""",valueMaker!P52,"""")</f>
        <v>bikou:""</v>
      </c>
    </row>
    <row r="53" spans="1:16">
      <c r="A53" t="str" cm="1">
        <f t="array" aca="1" ref="A53" ca="1">CONCATENATE(INDIRECT(ADDRESS(1,1,1,0,"KeySet"),0),":","""",valueMaker!A53,"""")</f>
        <v>kainBangou:"TD10052"</v>
      </c>
      <c r="B53" t="str" cm="1">
        <f t="array" aca="1" ref="B53" ca="1">CONCATENATE(INDIRECT(ADDRESS(1,2,1,0,"KeySet"),0),":","""",valueMaker!B53,"""")</f>
        <v>kainMeiKanji:"陳群圓"</v>
      </c>
      <c r="C53" t="str" cm="1">
        <f t="array" aca="1" ref="C53" ca="1">CONCATENATE(INDIRECT(ADDRESS(1,3,1,0,"KeySet"),0),":","""",valueMaker!C53,"""")</f>
        <v>kainMeiKana:"ﾁｪﾝ ﾁｭｲﾝ ﾕｴﾝ"</v>
      </c>
      <c r="D53" t="str" cm="1">
        <f t="array" aca="1" ref="D53" ca="1">CONCATENATE(INDIRECT(ADDRESS(1,4,1,0,"KeySet"),0),":","""",valueMaker!D53,"""")</f>
        <v>kainMeiEn:"Chen Qun Yuan"</v>
      </c>
      <c r="E53" t="str" cm="1">
        <f t="array" aca="1" ref="E53" ca="1">CONCATENATE(INDIRECT(ADDRESS(1,5,1,0,"KeySet"),0),":","""",valueMaker!E53,"""")</f>
        <v>kainGender:"男性"</v>
      </c>
      <c r="F53" t="str" cm="1">
        <f t="array" aca="1" ref="F53" ca="1">CONCATENATE(INDIRECT(ADDRESS(1,6,1,0,"KeySet"),0),":","""",TEXT(valueMaker!F53,"yyyy/m/d"),"""")</f>
        <v>tanjyoubi:"1970/3/1"</v>
      </c>
      <c r="G53" t="str" cm="1">
        <f t="array" aca="1" ref="G53" ca="1">CONCATENATE(INDIRECT(ADDRESS(1,6,1,0,"KeySet"),0),":","""",TEXT(valueMaker!G53,"yyyy/m/d"),"""")</f>
        <v>tanjyoubi:"2017/8/8"</v>
      </c>
      <c r="H53" t="str" cm="1">
        <f t="array" aca="1" ref="H53" ca="1">CONCATENATE(INDIRECT(ADDRESS(1,6,1,0,"KeySet"),0),":","""",TEXT(valueMaker!H53,"yyyy/m/d"),"""")</f>
        <v>tanjyoubi:"2020/8/7"</v>
      </c>
      <c r="I53" t="str" cm="1">
        <f t="array" aca="1" ref="I53" ca="1">CONCATENATE(INDIRECT(ADDRESS(1,9,1,0,"KeySet"),0),":","""",valueMaker!I53,"""")</f>
        <v>denwaBangou:"090-5794-8643"</v>
      </c>
      <c r="J53" t="str" cm="1">
        <f t="array" aca="1" ref="J53" ca="1">CONCATENATE(INDIRECT(ADDRESS(1,10,1,0,"KeySet"),0),":","""",valueMaker!J53,"""")</f>
        <v>mailAddress:"Chen_Qun_Yuan_42955@outlook.jp.co"</v>
      </c>
      <c r="K53" t="str" cm="1">
        <f t="array" aca="1" ref="K53" ca="1">CONCATENATE(INDIRECT(ADDRESS(1,11,1,0,"KeySet"),0),":","""",valueMaker!K53,"""")</f>
        <v>kaninSyubetu:"普通"</v>
      </c>
      <c r="L53" t="str" cm="1">
        <f t="array" aca="1" ref="L53" ca="1">CONCATENATE(INDIRECT(ADDRESS(1,12,1,0,"KeySet"),0),":","""",valueMaker!L53,"""")</f>
        <v>kaninKengenWB:"有り"</v>
      </c>
      <c r="M53" t="str" cm="1">
        <f t="array" aca="1" ref="M53" ca="1">CONCATENATE(INDIRECT(ADDRESS(1,13,1,0,"KeySet"),0),":","""",valueMaker!M53,"""")</f>
        <v>wakibiri:"5%"</v>
      </c>
      <c r="N53" t="str" cm="1">
        <f t="array" aca="1" ref="N53" ca="1">CONCATENATE(INDIRECT(ADDRESS(1,14,1,0,"KeySet"),0),":","""",valueMaker!N53,"""")</f>
        <v>kaninKengenPoint:"-"</v>
      </c>
      <c r="O53" t="str" cm="1">
        <f t="array" aca="1" ref="O53" ca="1">CONCATENATE(INDIRECT(ADDRESS(1,15,1,0,"KeySet"),0),":","""",valueMaker!O53,"""")</f>
        <v>point:"-"</v>
      </c>
      <c r="P53" t="str" cm="1">
        <f t="array" aca="1" ref="P53" ca="1">CONCATENATE(INDIRECT(ADDRESS(1,16,1,0,"KeySet"),0),":","""",valueMaker!P53,"""")</f>
        <v>bikou:""</v>
      </c>
    </row>
    <row r="54" spans="1:16">
      <c r="A54" t="str" cm="1">
        <f t="array" aca="1" ref="A54" ca="1">CONCATENATE(INDIRECT(ADDRESS(1,1,1,0,"KeySet"),0),":","""",valueMaker!A54,"""")</f>
        <v>kainBangou:"TD10053"</v>
      </c>
      <c r="B54" t="str" cm="1">
        <f t="array" aca="1" ref="B54" ca="1">CONCATENATE(INDIRECT(ADDRESS(1,2,1,0,"KeySet"),0),":","""",valueMaker!B54,"""")</f>
        <v>kainMeiKanji:"朱倫惠"</v>
      </c>
      <c r="C54" t="str" cm="1">
        <f t="array" aca="1" ref="C54" ca="1">CONCATENATE(INDIRECT(ADDRESS(1,3,1,0,"KeySet"),0),":","""",valueMaker!C54,"""")</f>
        <v>kainMeiKana:"ｼﾞｭｳ ﾙﾝ ﾎｩｲ"</v>
      </c>
      <c r="D54" t="str" cm="1">
        <f t="array" aca="1" ref="D54" ca="1">CONCATENATE(INDIRECT(ADDRESS(1,4,1,0,"KeySet"),0),":","""",valueMaker!D54,"""")</f>
        <v>kainMeiEn:"Zhu Lun Hui"</v>
      </c>
      <c r="E54" t="str" cm="1">
        <f t="array" aca="1" ref="E54" ca="1">CONCATENATE(INDIRECT(ADDRESS(1,5,1,0,"KeySet"),0),":","""",valueMaker!E54,"""")</f>
        <v>kainGender:"女性"</v>
      </c>
      <c r="F54" t="str" cm="1">
        <f t="array" aca="1" ref="F54" ca="1">CONCATENATE(INDIRECT(ADDRESS(1,6,1,0,"KeySet"),0),":","""",TEXT(valueMaker!F54,"yyyy/m/d"),"""")</f>
        <v>tanjyoubi:"1986/6/29"</v>
      </c>
      <c r="G54" t="str" cm="1">
        <f t="array" aca="1" ref="G54" ca="1">CONCATENATE(INDIRECT(ADDRESS(1,6,1,0,"KeySet"),0),":","""",TEXT(valueMaker!G54,"yyyy/m/d"),"""")</f>
        <v>tanjyoubi:"2005/10/20"</v>
      </c>
      <c r="H54" t="str" cm="1">
        <f t="array" aca="1" ref="H54" ca="1">CONCATENATE(INDIRECT(ADDRESS(1,6,1,0,"KeySet"),0),":","""",TEXT(valueMaker!H54,"yyyy/m/d"),"""")</f>
        <v>tanjyoubi:"2007/10/20"</v>
      </c>
      <c r="I54" t="str" cm="1">
        <f t="array" aca="1" ref="I54" ca="1">CONCATENATE(INDIRECT(ADDRESS(1,9,1,0,"KeySet"),0),":","""",valueMaker!I54,"""")</f>
        <v>denwaBangou:"080-7881-9544"</v>
      </c>
      <c r="J54" t="str" cm="1">
        <f t="array" aca="1" ref="J54" ca="1">CONCATENATE(INDIRECT(ADDRESS(1,10,1,0,"KeySet"),0),":","""",valueMaker!J54,"""")</f>
        <v>mailAddress:"Zhu_Lun_Hui_38645@outlook.jp.co"</v>
      </c>
      <c r="K54" t="str" cm="1">
        <f t="array" aca="1" ref="K54" ca="1">CONCATENATE(INDIRECT(ADDRESS(1,11,1,0,"KeySet"),0),":","""",valueMaker!K54,"""")</f>
        <v>kaninSyubetu:"普通"</v>
      </c>
      <c r="L54" t="str" cm="1">
        <f t="array" aca="1" ref="L54" ca="1">CONCATENATE(INDIRECT(ADDRESS(1,12,1,0,"KeySet"),0),":","""",valueMaker!L54,"""")</f>
        <v>kaninKengenWB:"-"</v>
      </c>
      <c r="M54" t="str" cm="1">
        <f t="array" aca="1" ref="M54" ca="1">CONCATENATE(INDIRECT(ADDRESS(1,13,1,0,"KeySet"),0),":","""",valueMaker!M54,"""")</f>
        <v>wakibiri:"-"</v>
      </c>
      <c r="N54" t="str" cm="1">
        <f t="array" aca="1" ref="N54" ca="1">CONCATENATE(INDIRECT(ADDRESS(1,14,1,0,"KeySet"),0),":","""",valueMaker!N54,"""")</f>
        <v>kaninKengenPoint:"有り"</v>
      </c>
      <c r="O54" t="str" cm="1">
        <f t="array" aca="1" ref="O54" ca="1">CONCATENATE(INDIRECT(ADDRESS(1,15,1,0,"KeySet"),0),":","""",valueMaker!O54,"""")</f>
        <v>point:"774"</v>
      </c>
      <c r="P54" t="str" cm="1">
        <f t="array" aca="1" ref="P54" ca="1">CONCATENATE(INDIRECT(ADDRESS(1,16,1,0,"KeySet"),0),":","""",valueMaker!P54,"""")</f>
        <v>bikou:""</v>
      </c>
    </row>
    <row r="55" spans="1:16">
      <c r="A55" t="str" cm="1">
        <f t="array" aca="1" ref="A55" ca="1">CONCATENATE(INDIRECT(ADDRESS(1,1,1,0,"KeySet"),0),":","""",valueMaker!A55,"""")</f>
        <v>kainBangou:"TD10054"</v>
      </c>
      <c r="B55" t="str" cm="1">
        <f t="array" aca="1" ref="B55" ca="1">CONCATENATE(INDIRECT(ADDRESS(1,2,1,0,"KeySet"),0),":","""",valueMaker!B55,"""")</f>
        <v>kainMeiKanji:"楊虎傑"</v>
      </c>
      <c r="C55" t="str" cm="1">
        <f t="array" aca="1" ref="C55" ca="1">CONCATENATE(INDIRECT(ADDRESS(1,3,1,0,"KeySet"),0),":","""",valueMaker!C55,"""")</f>
        <v>kainMeiKana:"ﾔｰﾝ ﾎｩ ｼﾞｴ"</v>
      </c>
      <c r="D55" t="str" cm="1">
        <f t="array" aca="1" ref="D55" ca="1">CONCATENATE(INDIRECT(ADDRESS(1,4,1,0,"KeySet"),0),":","""",valueMaker!D55,"""")</f>
        <v>kainMeiEn:"Yang Hu Jie"</v>
      </c>
      <c r="E55" t="str" cm="1">
        <f t="array" aca="1" ref="E55" ca="1">CONCATENATE(INDIRECT(ADDRESS(1,5,1,0,"KeySet"),0),":","""",valueMaker!E55,"""")</f>
        <v>kainGender:"女性"</v>
      </c>
      <c r="F55" t="str" cm="1">
        <f t="array" aca="1" ref="F55" ca="1">CONCATENATE(INDIRECT(ADDRESS(1,6,1,0,"KeySet"),0),":","""",TEXT(valueMaker!F55,"yyyy/m/d"),"""")</f>
        <v>tanjyoubi:"1991/7/5"</v>
      </c>
      <c r="G55" t="str" cm="1">
        <f t="array" aca="1" ref="G55" ca="1">CONCATENATE(INDIRECT(ADDRESS(1,6,1,0,"KeySet"),0),":","""",TEXT(valueMaker!G55,"yyyy/m/d"),"""")</f>
        <v>tanjyoubi:"2013/8/8"</v>
      </c>
      <c r="H55" t="str" cm="1">
        <f t="array" aca="1" ref="H55" ca="1">CONCATENATE(INDIRECT(ADDRESS(1,6,1,0,"KeySet"),0),":","""",TEXT(valueMaker!H55,"yyyy/m/d"),"""")</f>
        <v>tanjyoubi:"2015/8/8"</v>
      </c>
      <c r="I55" t="str" cm="1">
        <f t="array" aca="1" ref="I55" ca="1">CONCATENATE(INDIRECT(ADDRESS(1,9,1,0,"KeySet"),0),":","""",valueMaker!I55,"""")</f>
        <v>denwaBangou:"090-3625-2732"</v>
      </c>
      <c r="J55" t="str" cm="1">
        <f t="array" aca="1" ref="J55" ca="1">CONCATENATE(INDIRECT(ADDRESS(1,10,1,0,"KeySet"),0),":","""",valueMaker!J55,"""")</f>
        <v>mailAddress:"Yang_Hu_Jie_41494@outlook.jp.co"</v>
      </c>
      <c r="K55" t="str" cm="1">
        <f t="array" aca="1" ref="K55" ca="1">CONCATENATE(INDIRECT(ADDRESS(1,11,1,0,"KeySet"),0),":","""",valueMaker!K55,"""")</f>
        <v>kaninSyubetu:"普通"</v>
      </c>
      <c r="L55" t="str" cm="1">
        <f t="array" aca="1" ref="L55" ca="1">CONCATENATE(INDIRECT(ADDRESS(1,12,1,0,"KeySet"),0),":","""",valueMaker!L55,"""")</f>
        <v>kaninKengenWB:"有り"</v>
      </c>
      <c r="M55" t="str" cm="1">
        <f t="array" aca="1" ref="M55" ca="1">CONCATENATE(INDIRECT(ADDRESS(1,13,1,0,"KeySet"),0),":","""",valueMaker!M55,"""")</f>
        <v>wakibiri:"5%"</v>
      </c>
      <c r="N55" t="str" cm="1">
        <f t="array" aca="1" ref="N55" ca="1">CONCATENATE(INDIRECT(ADDRESS(1,14,1,0,"KeySet"),0),":","""",valueMaker!N55,"""")</f>
        <v>kaninKengenPoint:"有り"</v>
      </c>
      <c r="O55" t="str" cm="1">
        <f t="array" aca="1" ref="O55" ca="1">CONCATENATE(INDIRECT(ADDRESS(1,15,1,0,"KeySet"),0),":","""",valueMaker!O55,"""")</f>
        <v>point:"945"</v>
      </c>
      <c r="P55" t="str" cm="1">
        <f t="array" aca="1" ref="P55" ca="1">CONCATENATE(INDIRECT(ADDRESS(1,16,1,0,"KeySet"),0),":","""",valueMaker!P55,"""")</f>
        <v>bikou:""</v>
      </c>
    </row>
    <row r="56" spans="1:16">
      <c r="A56" t="str" cm="1">
        <f t="array" aca="1" ref="A56" ca="1">CONCATENATE(INDIRECT(ADDRESS(1,1,1,0,"KeySet"),0),":","""",valueMaker!A56,"""")</f>
        <v>kainBangou:"TD10055"</v>
      </c>
      <c r="B56" t="str" cm="1">
        <f t="array" aca="1" ref="B56" ca="1">CONCATENATE(INDIRECT(ADDRESS(1,2,1,0,"KeySet"),0),":","""",valueMaker!B56,"""")</f>
        <v>kainMeiKanji:"鄭泓聽"</v>
      </c>
      <c r="C56" t="str" cm="1">
        <f t="array" aca="1" ref="C56" ca="1">CONCATENATE(INDIRECT(ADDRESS(1,3,1,0,"KeySet"),0),":","""",valueMaker!C56,"""")</f>
        <v>kainMeiKana:"ｼﾞｭﾖﾝ ﾎｰﾝ ﾃｨｰﾝ"</v>
      </c>
      <c r="D56" t="str" cm="1">
        <f t="array" aca="1" ref="D56" ca="1">CONCATENATE(INDIRECT(ADDRESS(1,4,1,0,"KeySet"),0),":","""",valueMaker!D56,"""")</f>
        <v>kainMeiEn:"Zheng Hong Ting"</v>
      </c>
      <c r="E56" t="str" cm="1">
        <f t="array" aca="1" ref="E56" ca="1">CONCATENATE(INDIRECT(ADDRESS(1,5,1,0,"KeySet"),0),":","""",valueMaker!E56,"""")</f>
        <v>kainGender:"女性"</v>
      </c>
      <c r="F56" t="str" cm="1">
        <f t="array" aca="1" ref="F56" ca="1">CONCATENATE(INDIRECT(ADDRESS(1,6,1,0,"KeySet"),0),":","""",TEXT(valueMaker!F56,"yyyy/m/d"),"""")</f>
        <v>tanjyoubi:"1997/5/11"</v>
      </c>
      <c r="G56" t="str" cm="1">
        <f t="array" aca="1" ref="G56" ca="1">CONCATENATE(INDIRECT(ADDRESS(1,6,1,0,"KeySet"),0),":","""",TEXT(valueMaker!G56,"yyyy/m/d"),"""")</f>
        <v>tanjyoubi:"2016/2/18"</v>
      </c>
      <c r="H56" t="str" cm="1">
        <f t="array" aca="1" ref="H56" ca="1">CONCATENATE(INDIRECT(ADDRESS(1,6,1,0,"KeySet"),0),":","""",TEXT(valueMaker!H56,"yyyy/m/d"),"""")</f>
        <v>tanjyoubi:"2018/2/17"</v>
      </c>
      <c r="I56" t="str" cm="1">
        <f t="array" aca="1" ref="I56" ca="1">CONCATENATE(INDIRECT(ADDRESS(1,9,1,0,"KeySet"),0),":","""",valueMaker!I56,"""")</f>
        <v>denwaBangou:"080-8917-5208"</v>
      </c>
      <c r="J56" t="str" cm="1">
        <f t="array" aca="1" ref="J56" ca="1">CONCATENATE(INDIRECT(ADDRESS(1,10,1,0,"KeySet"),0),":","""",valueMaker!J56,"""")</f>
        <v>mailAddress:"Zheng_Hong_Ting_42418@outlook.jp.co"</v>
      </c>
      <c r="K56" t="str" cm="1">
        <f t="array" aca="1" ref="K56" ca="1">CONCATENATE(INDIRECT(ADDRESS(1,11,1,0,"KeySet"),0),":","""",valueMaker!K56,"""")</f>
        <v>kaninSyubetu:"高級"</v>
      </c>
      <c r="L56" t="str" cm="1">
        <f t="array" aca="1" ref="L56" ca="1">CONCATENATE(INDIRECT(ADDRESS(1,12,1,0,"KeySet"),0),":","""",valueMaker!L56,"""")</f>
        <v>kaninKengenWB:"有り"</v>
      </c>
      <c r="M56" t="str" cm="1">
        <f t="array" aca="1" ref="M56" ca="1">CONCATENATE(INDIRECT(ADDRESS(1,13,1,0,"KeySet"),0),":","""",valueMaker!M56,"""")</f>
        <v>wakibiri:"10%"</v>
      </c>
      <c r="N56" t="str" cm="1">
        <f t="array" aca="1" ref="N56" ca="1">CONCATENATE(INDIRECT(ADDRESS(1,14,1,0,"KeySet"),0),":","""",valueMaker!N56,"""")</f>
        <v>kaninKengenPoint:"有り"</v>
      </c>
      <c r="O56" t="str" cm="1">
        <f t="array" aca="1" ref="O56" ca="1">CONCATENATE(INDIRECT(ADDRESS(1,15,1,0,"KeySet"),0),":","""",valueMaker!O56,"""")</f>
        <v>point:"993"</v>
      </c>
      <c r="P56" t="str" cm="1">
        <f t="array" aca="1" ref="P56" ca="1">CONCATENATE(INDIRECT(ADDRESS(1,16,1,0,"KeySet"),0),":","""",valueMaker!P56,"""")</f>
        <v>bikou:""</v>
      </c>
    </row>
    <row r="57" spans="1:16">
      <c r="A57" t="str" cm="1">
        <f t="array" aca="1" ref="A57" ca="1">CONCATENATE(INDIRECT(ADDRESS(1,1,1,0,"KeySet"),0),":","""",valueMaker!A57,"""")</f>
        <v>kainBangou:"TD10056"</v>
      </c>
      <c r="B57" t="str" cm="1">
        <f t="array" aca="1" ref="B57" ca="1">CONCATENATE(INDIRECT(ADDRESS(1,2,1,0,"KeySet"),0),":","""",valueMaker!B57,"""")</f>
        <v>kainMeiKanji:"王美貿"</v>
      </c>
      <c r="C57" t="str" cm="1">
        <f t="array" aca="1" ref="C57" ca="1">CONCATENATE(INDIRECT(ADDRESS(1,3,1,0,"KeySet"),0),":","""",valueMaker!C57,"""")</f>
        <v>kainMeiKana:"ﾜｰﾝ ﾒｲ ﾏｵ"</v>
      </c>
      <c r="D57" t="str" cm="1">
        <f t="array" aca="1" ref="D57" ca="1">CONCATENATE(INDIRECT(ADDRESS(1,4,1,0,"KeySet"),0),":","""",valueMaker!D57,"""")</f>
        <v>kainMeiEn:"Wang Mei Mao"</v>
      </c>
      <c r="E57" t="str" cm="1">
        <f t="array" aca="1" ref="E57" ca="1">CONCATENATE(INDIRECT(ADDRESS(1,5,1,0,"KeySet"),0),":","""",valueMaker!E57,"""")</f>
        <v>kainGender:"男性"</v>
      </c>
      <c r="F57" t="str" cm="1">
        <f t="array" aca="1" ref="F57" ca="1">CONCATENATE(INDIRECT(ADDRESS(1,6,1,0,"KeySet"),0),":","""",TEXT(valueMaker!F57,"yyyy/m/d"),"""")</f>
        <v>tanjyoubi:"1974/9/6"</v>
      </c>
      <c r="G57" t="str" cm="1">
        <f t="array" aca="1" ref="G57" ca="1">CONCATENATE(INDIRECT(ADDRESS(1,6,1,0,"KeySet"),0),":","""",TEXT(valueMaker!G57,"yyyy/m/d"),"""")</f>
        <v>tanjyoubi:"2002/6/11"</v>
      </c>
      <c r="H57" t="str" cm="1">
        <f t="array" aca="1" ref="H57" ca="1">CONCATENATE(INDIRECT(ADDRESS(1,6,1,0,"KeySet"),0),":","""",TEXT(valueMaker!H57,"yyyy/m/d"),"""")</f>
        <v>tanjyoubi:"2003/6/11"</v>
      </c>
      <c r="I57" t="str" cm="1">
        <f t="array" aca="1" ref="I57" ca="1">CONCATENATE(INDIRECT(ADDRESS(1,9,1,0,"KeySet"),0),":","""",valueMaker!I57,"""")</f>
        <v>denwaBangou:"090-0438-6046"</v>
      </c>
      <c r="J57" t="str" cm="1">
        <f t="array" aca="1" ref="J57" ca="1">CONCATENATE(INDIRECT(ADDRESS(1,10,1,0,"KeySet"),0),":","""",valueMaker!J57,"""")</f>
        <v>mailAddress:"Wang_Mei_Mao_37418@outlook.jp.co"</v>
      </c>
      <c r="K57" t="str" cm="1">
        <f t="array" aca="1" ref="K57" ca="1">CONCATENATE(INDIRECT(ADDRESS(1,11,1,0,"KeySet"),0),":","""",valueMaker!K57,"""")</f>
        <v>kaninSyubetu:"普通"</v>
      </c>
      <c r="L57" t="str" cm="1">
        <f t="array" aca="1" ref="L57" ca="1">CONCATENATE(INDIRECT(ADDRESS(1,12,1,0,"KeySet"),0),":","""",valueMaker!L57,"""")</f>
        <v>kaninKengenWB:"-"</v>
      </c>
      <c r="M57" t="str" cm="1">
        <f t="array" aca="1" ref="M57" ca="1">CONCATENATE(INDIRECT(ADDRESS(1,13,1,0,"KeySet"),0),":","""",valueMaker!M57,"""")</f>
        <v>wakibiri:"-"</v>
      </c>
      <c r="N57" t="str" cm="1">
        <f t="array" aca="1" ref="N57" ca="1">CONCATENATE(INDIRECT(ADDRESS(1,14,1,0,"KeySet"),0),":","""",valueMaker!N57,"""")</f>
        <v>kaninKengenPoint:"有り"</v>
      </c>
      <c r="O57" t="str" cm="1">
        <f t="array" aca="1" ref="O57" ca="1">CONCATENATE(INDIRECT(ADDRESS(1,15,1,0,"KeySet"),0),":","""",valueMaker!O57,"""")</f>
        <v>point:"277"</v>
      </c>
      <c r="P57" t="str" cm="1">
        <f t="array" aca="1" ref="P57" ca="1">CONCATENATE(INDIRECT(ADDRESS(1,16,1,0,"KeySet"),0),":","""",valueMaker!P57,"""")</f>
        <v>bikou:""</v>
      </c>
    </row>
    <row r="58" spans="1:16">
      <c r="A58" t="str" cm="1">
        <f t="array" aca="1" ref="A58" ca="1">CONCATENATE(INDIRECT(ADDRESS(1,1,1,0,"KeySet"),0),":","""",valueMaker!A58,"""")</f>
        <v>kainBangou:"TD10057"</v>
      </c>
      <c r="B58" t="str" cm="1">
        <f t="array" aca="1" ref="B58" ca="1">CONCATENATE(INDIRECT(ADDRESS(1,2,1,0,"KeySet"),0),":","""",valueMaker!B58,"""")</f>
        <v>kainMeiKanji:"趙朋莉"</v>
      </c>
      <c r="C58" t="str" cm="1">
        <f t="array" aca="1" ref="C58" ca="1">CONCATENATE(INDIRECT(ADDRESS(1,3,1,0,"KeySet"),0),":","""",valueMaker!C58,"""")</f>
        <v>kainMeiKana:"ｼﾞｬｵ ﾌﾟｵﾝ ﾘｰ"</v>
      </c>
      <c r="D58" t="str" cm="1">
        <f t="array" aca="1" ref="D58" ca="1">CONCATENATE(INDIRECT(ADDRESS(1,4,1,0,"KeySet"),0),":","""",valueMaker!D58,"""")</f>
        <v>kainMeiEn:"Zhao Peng Li"</v>
      </c>
      <c r="E58" t="str" cm="1">
        <f t="array" aca="1" ref="E58" ca="1">CONCATENATE(INDIRECT(ADDRESS(1,5,1,0,"KeySet"),0),":","""",valueMaker!E58,"""")</f>
        <v>kainGender:"男性"</v>
      </c>
      <c r="F58" t="str" cm="1">
        <f t="array" aca="1" ref="F58" ca="1">CONCATENATE(INDIRECT(ADDRESS(1,6,1,0,"KeySet"),0),":","""",TEXT(valueMaker!F58,"yyyy/m/d"),"""")</f>
        <v>tanjyoubi:"1971/9/10"</v>
      </c>
      <c r="G58" t="str" cm="1">
        <f t="array" aca="1" ref="G58" ca="1">CONCATENATE(INDIRECT(ADDRESS(1,6,1,0,"KeySet"),0),":","""",TEXT(valueMaker!G58,"yyyy/m/d"),"""")</f>
        <v>tanjyoubi:"2000/10/17"</v>
      </c>
      <c r="H58" t="str" cm="1">
        <f t="array" aca="1" ref="H58" ca="1">CONCATENATE(INDIRECT(ADDRESS(1,6,1,0,"KeySet"),0),":","""",TEXT(valueMaker!H58,"yyyy/m/d"),"""")</f>
        <v>tanjyoubi:"2003/10/17"</v>
      </c>
      <c r="I58" t="str" cm="1">
        <f t="array" aca="1" ref="I58" ca="1">CONCATENATE(INDIRECT(ADDRESS(1,9,1,0,"KeySet"),0),":","""",valueMaker!I58,"""")</f>
        <v>denwaBangou:"090-0022-0900"</v>
      </c>
      <c r="J58" t="str" cm="1">
        <f t="array" aca="1" ref="J58" ca="1">CONCATENATE(INDIRECT(ADDRESS(1,10,1,0,"KeySet"),0),":","""",valueMaker!J58,"""")</f>
        <v>mailAddress:"Zhao_Peng_Li_36816@outlook.jp.co"</v>
      </c>
      <c r="K58" t="str" cm="1">
        <f t="array" aca="1" ref="K58" ca="1">CONCATENATE(INDIRECT(ADDRESS(1,11,1,0,"KeySet"),0),":","""",valueMaker!K58,"""")</f>
        <v>kaninSyubetu:"高級"</v>
      </c>
      <c r="L58" t="str" cm="1">
        <f t="array" aca="1" ref="L58" ca="1">CONCATENATE(INDIRECT(ADDRESS(1,12,1,0,"KeySet"),0),":","""",valueMaker!L58,"""")</f>
        <v>kaninKengenWB:"有り"</v>
      </c>
      <c r="M58" t="str" cm="1">
        <f t="array" aca="1" ref="M58" ca="1">CONCATENATE(INDIRECT(ADDRESS(1,13,1,0,"KeySet"),0),":","""",valueMaker!M58,"""")</f>
        <v>wakibiri:"10%"</v>
      </c>
      <c r="N58" t="str" cm="1">
        <f t="array" aca="1" ref="N58" ca="1">CONCATENATE(INDIRECT(ADDRESS(1,14,1,0,"KeySet"),0),":","""",valueMaker!N58,"""")</f>
        <v>kaninKengenPoint:"有り"</v>
      </c>
      <c r="O58" t="str" cm="1">
        <f t="array" aca="1" ref="O58" ca="1">CONCATENATE(INDIRECT(ADDRESS(1,15,1,0,"KeySet"),0),":","""",valueMaker!O58,"""")</f>
        <v>point:"295"</v>
      </c>
      <c r="P58" t="str" cm="1">
        <f t="array" aca="1" ref="P58" ca="1">CONCATENATE(INDIRECT(ADDRESS(1,16,1,0,"KeySet"),0),":","""",valueMaker!P58,"""")</f>
        <v>bikou:""</v>
      </c>
    </row>
    <row r="59" spans="1:16">
      <c r="A59" t="str" cm="1">
        <f t="array" aca="1" ref="A59" ca="1">CONCATENATE(INDIRECT(ADDRESS(1,1,1,0,"KeySet"),0),":","""",valueMaker!A59,"""")</f>
        <v>kainBangou:"TD10058"</v>
      </c>
      <c r="B59" t="str" cm="1">
        <f t="array" aca="1" ref="B59" ca="1">CONCATENATE(INDIRECT(ADDRESS(1,2,1,0,"KeySet"),0),":","""",valueMaker!B59,"""")</f>
        <v>kainMeiKanji:"宋輝琛"</v>
      </c>
      <c r="C59" t="str" cm="1">
        <f t="array" aca="1" ref="C59" ca="1">CONCATENATE(INDIRECT(ADDRESS(1,3,1,0,"KeySet"),0),":","""",valueMaker!C59,"""")</f>
        <v>kainMeiKana:"ｿｰﾝ ﾎｩｲ ﾁｪﾝ"</v>
      </c>
      <c r="D59" t="str" cm="1">
        <f t="array" aca="1" ref="D59" ca="1">CONCATENATE(INDIRECT(ADDRESS(1,4,1,0,"KeySet"),0),":","""",valueMaker!D59,"""")</f>
        <v>kainMeiEn:"Song Hui Chen"</v>
      </c>
      <c r="E59" t="str" cm="1">
        <f t="array" aca="1" ref="E59" ca="1">CONCATENATE(INDIRECT(ADDRESS(1,5,1,0,"KeySet"),0),":","""",valueMaker!E59,"""")</f>
        <v>kainGender:"女性"</v>
      </c>
      <c r="F59" t="str" cm="1">
        <f t="array" aca="1" ref="F59" ca="1">CONCATENATE(INDIRECT(ADDRESS(1,6,1,0,"KeySet"),0),":","""",TEXT(valueMaker!F59,"yyyy/m/d"),"""")</f>
        <v>tanjyoubi:"2006/2/28"</v>
      </c>
      <c r="G59" t="str" cm="1">
        <f t="array" aca="1" ref="G59" ca="1">CONCATENATE(INDIRECT(ADDRESS(1,6,1,0,"KeySet"),0),":","""",TEXT(valueMaker!G59,"yyyy/m/d"),"""")</f>
        <v>tanjyoubi:"2024/5/23"</v>
      </c>
      <c r="H59" t="str" cm="1">
        <f t="array" aca="1" ref="H59" ca="1">CONCATENATE(INDIRECT(ADDRESS(1,6,1,0,"KeySet"),0),":","""",TEXT(valueMaker!H59,"yyyy/m/d"),"""")</f>
        <v>tanjyoubi:"2025/5/23"</v>
      </c>
      <c r="I59" t="str" cm="1">
        <f t="array" aca="1" ref="I59" ca="1">CONCATENATE(INDIRECT(ADDRESS(1,9,1,0,"KeySet"),0),":","""",valueMaker!I59,"""")</f>
        <v>denwaBangou:"080-5280-2524"</v>
      </c>
      <c r="J59" t="str" cm="1">
        <f t="array" aca="1" ref="J59" ca="1">CONCATENATE(INDIRECT(ADDRESS(1,10,1,0,"KeySet"),0),":","""",valueMaker!J59,"""")</f>
        <v>mailAddress:"Song_Hui_Chen_45435@outlook.jp.co"</v>
      </c>
      <c r="K59" t="str" cm="1">
        <f t="array" aca="1" ref="K59" ca="1">CONCATENATE(INDIRECT(ADDRESS(1,11,1,0,"KeySet"),0),":","""",valueMaker!K59,"""")</f>
        <v>kaninSyubetu:"高級"</v>
      </c>
      <c r="L59" t="str" cm="1">
        <f t="array" aca="1" ref="L59" ca="1">CONCATENATE(INDIRECT(ADDRESS(1,12,1,0,"KeySet"),0),":","""",valueMaker!L59,"""")</f>
        <v>kaninKengenWB:"有り"</v>
      </c>
      <c r="M59" t="str" cm="1">
        <f t="array" aca="1" ref="M59" ca="1">CONCATENATE(INDIRECT(ADDRESS(1,13,1,0,"KeySet"),0),":","""",valueMaker!M59,"""")</f>
        <v>wakibiri:"10%"</v>
      </c>
      <c r="N59" t="str" cm="1">
        <f t="array" aca="1" ref="N59" ca="1">CONCATENATE(INDIRECT(ADDRESS(1,14,1,0,"KeySet"),0),":","""",valueMaker!N59,"""")</f>
        <v>kaninKengenPoint:"有り"</v>
      </c>
      <c r="O59" t="str" cm="1">
        <f t="array" aca="1" ref="O59" ca="1">CONCATENATE(INDIRECT(ADDRESS(1,15,1,0,"KeySet"),0),":","""",valueMaker!O59,"""")</f>
        <v>point:"961"</v>
      </c>
      <c r="P59" t="str" cm="1">
        <f t="array" aca="1" ref="P59" ca="1">CONCATENATE(INDIRECT(ADDRESS(1,16,1,0,"KeySet"),0),":","""",valueMaker!P59,"""")</f>
        <v>bikou:""</v>
      </c>
    </row>
    <row r="60" spans="1:16">
      <c r="A60" t="str" cm="1">
        <f t="array" aca="1" ref="A60" ca="1">CONCATENATE(INDIRECT(ADDRESS(1,1,1,0,"KeySet"),0),":","""",valueMaker!A60,"""")</f>
        <v>kainBangou:"TD10059"</v>
      </c>
      <c r="B60" t="str" cm="1">
        <f t="array" aca="1" ref="B60" ca="1">CONCATENATE(INDIRECT(ADDRESS(1,2,1,0,"KeySet"),0),":","""",valueMaker!B60,"""")</f>
        <v>kainMeiKanji:"于暉晨"</v>
      </c>
      <c r="C60" t="str" cm="1">
        <f t="array" aca="1" ref="C60" ca="1">CONCATENATE(INDIRECT(ADDRESS(1,3,1,0,"KeySet"),0),":","""",valueMaker!C60,"""")</f>
        <v>kainMeiKana:"ﾕｲ ﾎｩｲ ﾁｪﾝ"</v>
      </c>
      <c r="D60" t="str" cm="1">
        <f t="array" aca="1" ref="D60" ca="1">CONCATENATE(INDIRECT(ADDRESS(1,4,1,0,"KeySet"),0),":","""",valueMaker!D60,"""")</f>
        <v>kainMeiEn:"Yu Hui Chen"</v>
      </c>
      <c r="E60" t="str" cm="1">
        <f t="array" aca="1" ref="E60" ca="1">CONCATENATE(INDIRECT(ADDRESS(1,5,1,0,"KeySet"),0),":","""",valueMaker!E60,"""")</f>
        <v>kainGender:"女性"</v>
      </c>
      <c r="F60" t="str" cm="1">
        <f t="array" aca="1" ref="F60" ca="1">CONCATENATE(INDIRECT(ADDRESS(1,6,1,0,"KeySet"),0),":","""",TEXT(valueMaker!F60,"yyyy/m/d"),"""")</f>
        <v>tanjyoubi:"1963/11/26"</v>
      </c>
      <c r="G60" t="str" cm="1">
        <f t="array" aca="1" ref="G60" ca="1">CONCATENATE(INDIRECT(ADDRESS(1,6,1,0,"KeySet"),0),":","""",TEXT(valueMaker!G60,"yyyy/m/d"),"""")</f>
        <v>tanjyoubi:"2009/1/20"</v>
      </c>
      <c r="H60" t="str" cm="1">
        <f t="array" aca="1" ref="H60" ca="1">CONCATENATE(INDIRECT(ADDRESS(1,6,1,0,"KeySet"),0),":","""",TEXT(valueMaker!H60,"yyyy/m/d"),"""")</f>
        <v>tanjyoubi:"2012/1/20"</v>
      </c>
      <c r="I60" t="str" cm="1">
        <f t="array" aca="1" ref="I60" ca="1">CONCATENATE(INDIRECT(ADDRESS(1,9,1,0,"KeySet"),0),":","""",valueMaker!I60,"""")</f>
        <v>denwaBangou:"080-9009-8372"</v>
      </c>
      <c r="J60" t="str" cm="1">
        <f t="array" aca="1" ref="J60" ca="1">CONCATENATE(INDIRECT(ADDRESS(1,10,1,0,"KeySet"),0),":","""",valueMaker!J60,"""")</f>
        <v>mailAddress:"Yu_Hui_Chen_39833@outlook.jp.co"</v>
      </c>
      <c r="K60" t="str" cm="1">
        <f t="array" aca="1" ref="K60" ca="1">CONCATENATE(INDIRECT(ADDRESS(1,11,1,0,"KeySet"),0),":","""",valueMaker!K60,"""")</f>
        <v>kaninSyubetu:"高級"</v>
      </c>
      <c r="L60" t="str" cm="1">
        <f t="array" aca="1" ref="L60" ca="1">CONCATENATE(INDIRECT(ADDRESS(1,12,1,0,"KeySet"),0),":","""",valueMaker!L60,"""")</f>
        <v>kaninKengenWB:"有り"</v>
      </c>
      <c r="M60" t="str" cm="1">
        <f t="array" aca="1" ref="M60" ca="1">CONCATENATE(INDIRECT(ADDRESS(1,13,1,0,"KeySet"),0),":","""",valueMaker!M60,"""")</f>
        <v>wakibiri:"10%"</v>
      </c>
      <c r="N60" t="str" cm="1">
        <f t="array" aca="1" ref="N60" ca="1">CONCATENATE(INDIRECT(ADDRESS(1,14,1,0,"KeySet"),0),":","""",valueMaker!N60,"""")</f>
        <v>kaninKengenPoint:"-"</v>
      </c>
      <c r="O60" t="str" cm="1">
        <f t="array" aca="1" ref="O60" ca="1">CONCATENATE(INDIRECT(ADDRESS(1,15,1,0,"KeySet"),0),":","""",valueMaker!O60,"""")</f>
        <v>point:"-"</v>
      </c>
      <c r="P60" t="str" cm="1">
        <f t="array" aca="1" ref="P60" ca="1">CONCATENATE(INDIRECT(ADDRESS(1,16,1,0,"KeySet"),0),":","""",valueMaker!P60,"""")</f>
        <v>bikou:""</v>
      </c>
    </row>
    <row r="61" spans="1:16">
      <c r="A61" t="str" cm="1">
        <f t="array" aca="1" ref="A61" ca="1">CONCATENATE(INDIRECT(ADDRESS(1,1,1,0,"KeySet"),0),":","""",valueMaker!A61,"""")</f>
        <v>kainBangou:"TD10060"</v>
      </c>
      <c r="B61" t="str" cm="1">
        <f t="array" aca="1" ref="B61" ca="1">CONCATENATE(INDIRECT(ADDRESS(1,2,1,0,"KeySet"),0),":","""",valueMaker!B61,"""")</f>
        <v>kainMeiKanji:"高耿晏"</v>
      </c>
      <c r="C61" t="str" cm="1">
        <f t="array" aca="1" ref="C61" ca="1">CONCATENATE(INDIRECT(ADDRESS(1,3,1,0,"KeySet"),0),":","""",valueMaker!C61,"""")</f>
        <v>kainMeiKana:"ｶﾞｵ ｸﾞｵﾝ ｲｴﾝ"</v>
      </c>
      <c r="D61" t="str" cm="1">
        <f t="array" aca="1" ref="D61" ca="1">CONCATENATE(INDIRECT(ADDRESS(1,4,1,0,"KeySet"),0),":","""",valueMaker!D61,"""")</f>
        <v>kainMeiEn:"Gao Geng Yan"</v>
      </c>
      <c r="E61" t="str" cm="1">
        <f t="array" aca="1" ref="E61" ca="1">CONCATENATE(INDIRECT(ADDRESS(1,5,1,0,"KeySet"),0),":","""",valueMaker!E61,"""")</f>
        <v>kainGender:"-"</v>
      </c>
      <c r="F61" t="str" cm="1">
        <f t="array" aca="1" ref="F61" ca="1">CONCATENATE(INDIRECT(ADDRESS(1,6,1,0,"KeySet"),0),":","""",TEXT(valueMaker!F61,"yyyy/m/d"),"""")</f>
        <v>tanjyoubi:"1963/5/21"</v>
      </c>
      <c r="G61" t="str" cm="1">
        <f t="array" aca="1" ref="G61" ca="1">CONCATENATE(INDIRECT(ADDRESS(1,6,1,0,"KeySet"),0),":","""",TEXT(valueMaker!G61,"yyyy/m/d"),"""")</f>
        <v>tanjyoubi:"1982/8/5"</v>
      </c>
      <c r="H61" t="str" cm="1">
        <f t="array" aca="1" ref="H61" ca="1">CONCATENATE(INDIRECT(ADDRESS(1,6,1,0,"KeySet"),0),":","""",TEXT(valueMaker!H61,"yyyy/m/d"),"""")</f>
        <v>tanjyoubi:"1983/8/5"</v>
      </c>
      <c r="I61" t="str" cm="1">
        <f t="array" aca="1" ref="I61" ca="1">CONCATENATE(INDIRECT(ADDRESS(1,9,1,0,"KeySet"),0),":","""",valueMaker!I61,"""")</f>
        <v>denwaBangou:"080-6419-3536"</v>
      </c>
      <c r="J61" t="str" cm="1">
        <f t="array" aca="1" ref="J61" ca="1">CONCATENATE(INDIRECT(ADDRESS(1,10,1,0,"KeySet"),0),":","""",valueMaker!J61,"""")</f>
        <v>mailAddress:"Gao_Geng_Yan_30168@outlook.jp.co"</v>
      </c>
      <c r="K61" t="str" cm="1">
        <f t="array" aca="1" ref="K61" ca="1">CONCATENATE(INDIRECT(ADDRESS(1,11,1,0,"KeySet"),0),":","""",valueMaker!K61,"""")</f>
        <v>kaninSyubetu:"普通"</v>
      </c>
      <c r="L61" t="str" cm="1">
        <f t="array" aca="1" ref="L61" ca="1">CONCATENATE(INDIRECT(ADDRESS(1,12,1,0,"KeySet"),0),":","""",valueMaker!L61,"""")</f>
        <v>kaninKengenWB:"有り"</v>
      </c>
      <c r="M61" t="str" cm="1">
        <f t="array" aca="1" ref="M61" ca="1">CONCATENATE(INDIRECT(ADDRESS(1,13,1,0,"KeySet"),0),":","""",valueMaker!M61,"""")</f>
        <v>wakibiri:"5%"</v>
      </c>
      <c r="N61" t="str" cm="1">
        <f t="array" aca="1" ref="N61" ca="1">CONCATENATE(INDIRECT(ADDRESS(1,14,1,0,"KeySet"),0),":","""",valueMaker!N61,"""")</f>
        <v>kaninKengenPoint:"-"</v>
      </c>
      <c r="O61" t="str" cm="1">
        <f t="array" aca="1" ref="O61" ca="1">CONCATENATE(INDIRECT(ADDRESS(1,15,1,0,"KeySet"),0),":","""",valueMaker!O61,"""")</f>
        <v>point:"-"</v>
      </c>
      <c r="P61" t="str" cm="1">
        <f t="array" aca="1" ref="P61" ca="1">CONCATENATE(INDIRECT(ADDRESS(1,16,1,0,"KeySet"),0),":","""",valueMaker!P61,"""")</f>
        <v>bikou:""</v>
      </c>
    </row>
    <row r="62" spans="1:16">
      <c r="A62" t="str" cm="1">
        <f t="array" aca="1" ref="A62" ca="1">CONCATENATE(INDIRECT(ADDRESS(1,1,1,0,"KeySet"),0),":","""",valueMaker!A62,"""")</f>
        <v>kainBangou:"TD10061"</v>
      </c>
      <c r="B62" t="str" cm="1">
        <f t="array" aca="1" ref="B62" ca="1">CONCATENATE(INDIRECT(ADDRESS(1,2,1,0,"KeySet"),0),":","""",valueMaker!B62,"""")</f>
        <v>kainMeiKanji:"林盟玲"</v>
      </c>
      <c r="C62" t="str" cm="1">
        <f t="array" aca="1" ref="C62" ca="1">CONCATENATE(INDIRECT(ADDRESS(1,3,1,0,"KeySet"),0),":","""",valueMaker!C62,"""")</f>
        <v>kainMeiKana:"ﾘﾝ ﾑｵﾝ ﾘｰﾝ"</v>
      </c>
      <c r="D62" t="str" cm="1">
        <f t="array" aca="1" ref="D62" ca="1">CONCATENATE(INDIRECT(ADDRESS(1,4,1,0,"KeySet"),0),":","""",valueMaker!D62,"""")</f>
        <v>kainMeiEn:"Lin Meng Ling"</v>
      </c>
      <c r="E62" t="str" cm="1">
        <f t="array" aca="1" ref="E62" ca="1">CONCATENATE(INDIRECT(ADDRESS(1,5,1,0,"KeySet"),0),":","""",valueMaker!E62,"""")</f>
        <v>kainGender:"男性"</v>
      </c>
      <c r="F62" t="str" cm="1">
        <f t="array" aca="1" ref="F62" ca="1">CONCATENATE(INDIRECT(ADDRESS(1,6,1,0,"KeySet"),0),":","""",TEXT(valueMaker!F62,"yyyy/m/d"),"""")</f>
        <v>tanjyoubi:"1966/1/5"</v>
      </c>
      <c r="G62" t="str" cm="1">
        <f t="array" aca="1" ref="G62" ca="1">CONCATENATE(INDIRECT(ADDRESS(1,6,1,0,"KeySet"),0),":","""",TEXT(valueMaker!G62,"yyyy/m/d"),"""")</f>
        <v>tanjyoubi:"1992/2/21"</v>
      </c>
      <c r="H62" t="str" cm="1">
        <f t="array" aca="1" ref="H62" ca="1">CONCATENATE(INDIRECT(ADDRESS(1,6,1,0,"KeySet"),0),":","""",TEXT(valueMaker!H62,"yyyy/m/d"),"""")</f>
        <v>tanjyoubi:"1994/2/20"</v>
      </c>
      <c r="I62" t="str" cm="1">
        <f t="array" aca="1" ref="I62" ca="1">CONCATENATE(INDIRECT(ADDRESS(1,9,1,0,"KeySet"),0),":","""",valueMaker!I62,"""")</f>
        <v>denwaBangou:"090-1614-9556"</v>
      </c>
      <c r="J62" t="str" cm="1">
        <f t="array" aca="1" ref="J62" ca="1">CONCATENATE(INDIRECT(ADDRESS(1,10,1,0,"KeySet"),0),":","""",valueMaker!J62,"""")</f>
        <v>mailAddress:"Lin_Meng_Ling_33655@outlook.jp.co"</v>
      </c>
      <c r="K62" t="str" cm="1">
        <f t="array" aca="1" ref="K62" ca="1">CONCATENATE(INDIRECT(ADDRESS(1,11,1,0,"KeySet"),0),":","""",valueMaker!K62,"""")</f>
        <v>kaninSyubetu:"普通"</v>
      </c>
      <c r="L62" t="str" cm="1">
        <f t="array" aca="1" ref="L62" ca="1">CONCATENATE(INDIRECT(ADDRESS(1,12,1,0,"KeySet"),0),":","""",valueMaker!L62,"""")</f>
        <v>kaninKengenWB:"-"</v>
      </c>
      <c r="M62" t="str" cm="1">
        <f t="array" aca="1" ref="M62" ca="1">CONCATENATE(INDIRECT(ADDRESS(1,13,1,0,"KeySet"),0),":","""",valueMaker!M62,"""")</f>
        <v>wakibiri:"-"</v>
      </c>
      <c r="N62" t="str" cm="1">
        <f t="array" aca="1" ref="N62" ca="1">CONCATENATE(INDIRECT(ADDRESS(1,14,1,0,"KeySet"),0),":","""",valueMaker!N62,"""")</f>
        <v>kaninKengenPoint:"有り"</v>
      </c>
      <c r="O62" t="str" cm="1">
        <f t="array" aca="1" ref="O62" ca="1">CONCATENATE(INDIRECT(ADDRESS(1,15,1,0,"KeySet"),0),":","""",valueMaker!O62,"""")</f>
        <v>point:"886"</v>
      </c>
      <c r="P62" t="str" cm="1">
        <f t="array" aca="1" ref="P62" ca="1">CONCATENATE(INDIRECT(ADDRESS(1,16,1,0,"KeySet"),0),":","""",valueMaker!P62,"""")</f>
        <v>bikou:""</v>
      </c>
    </row>
    <row r="63" spans="1:16">
      <c r="A63" t="str" cm="1">
        <f t="array" aca="1" ref="A63" ca="1">CONCATENATE(INDIRECT(ADDRESS(1,1,1,0,"KeySet"),0),":","""",valueMaker!A63,"""")</f>
        <v>kainBangou:"TD10062"</v>
      </c>
      <c r="B63" t="str" cm="1">
        <f t="array" aca="1" ref="B63" ca="1">CONCATENATE(INDIRECT(ADDRESS(1,2,1,0,"KeySet"),0),":","""",valueMaker!B63,"""")</f>
        <v>kainMeiKanji:"唐影真"</v>
      </c>
      <c r="C63" t="str" cm="1">
        <f t="array" aca="1" ref="C63" ca="1">CONCATENATE(INDIRECT(ADDRESS(1,3,1,0,"KeySet"),0),":","""",valueMaker!C63,"""")</f>
        <v>kainMeiKana:"ﾀｰﾝ ｲｰﾝ ｼﾞｪﾝ"</v>
      </c>
      <c r="D63" t="str" cm="1">
        <f t="array" aca="1" ref="D63" ca="1">CONCATENATE(INDIRECT(ADDRESS(1,4,1,0,"KeySet"),0),":","""",valueMaker!D63,"""")</f>
        <v>kainMeiEn:"Tang Ying Zhen"</v>
      </c>
      <c r="E63" t="str" cm="1">
        <f t="array" aca="1" ref="E63" ca="1">CONCATENATE(INDIRECT(ADDRESS(1,5,1,0,"KeySet"),0),":","""",valueMaker!E63,"""")</f>
        <v>kainGender:"男性"</v>
      </c>
      <c r="F63" t="str" cm="1">
        <f t="array" aca="1" ref="F63" ca="1">CONCATENATE(INDIRECT(ADDRESS(1,6,1,0,"KeySet"),0),":","""",TEXT(valueMaker!F63,"yyyy/m/d"),"""")</f>
        <v>tanjyoubi:"1960/7/26"</v>
      </c>
      <c r="G63" t="str" cm="1">
        <f t="array" aca="1" ref="G63" ca="1">CONCATENATE(INDIRECT(ADDRESS(1,6,1,0,"KeySet"),0),":","""",TEXT(valueMaker!G63,"yyyy/m/d"),"""")</f>
        <v>tanjyoubi:"1987/7/7"</v>
      </c>
      <c r="H63" t="str" cm="1">
        <f t="array" aca="1" ref="H63" ca="1">CONCATENATE(INDIRECT(ADDRESS(1,6,1,0,"KeySet"),0),":","""",TEXT(valueMaker!H63,"yyyy/m/d"),"""")</f>
        <v>tanjyoubi:"1989/7/6"</v>
      </c>
      <c r="I63" t="str" cm="1">
        <f t="array" aca="1" ref="I63" ca="1">CONCATENATE(INDIRECT(ADDRESS(1,9,1,0,"KeySet"),0),":","""",valueMaker!I63,"""")</f>
        <v>denwaBangou:"080-1811-7744"</v>
      </c>
      <c r="J63" t="str" cm="1">
        <f t="array" aca="1" ref="J63" ca="1">CONCATENATE(INDIRECT(ADDRESS(1,10,1,0,"KeySet"),0),":","""",valueMaker!J63,"""")</f>
        <v>mailAddress:"Tang_Ying_Zhen_31965@outlook.jp.co"</v>
      </c>
      <c r="K63" t="str" cm="1">
        <f t="array" aca="1" ref="K63" ca="1">CONCATENATE(INDIRECT(ADDRESS(1,11,1,0,"KeySet"),0),":","""",valueMaker!K63,"""")</f>
        <v>kaninSyubetu:"普通"</v>
      </c>
      <c r="L63" t="str" cm="1">
        <f t="array" aca="1" ref="L63" ca="1">CONCATENATE(INDIRECT(ADDRESS(1,12,1,0,"KeySet"),0),":","""",valueMaker!L63,"""")</f>
        <v>kaninKengenWB:"-"</v>
      </c>
      <c r="M63" t="str" cm="1">
        <f t="array" aca="1" ref="M63" ca="1">CONCATENATE(INDIRECT(ADDRESS(1,13,1,0,"KeySet"),0),":","""",valueMaker!M63,"""")</f>
        <v>wakibiri:"-"</v>
      </c>
      <c r="N63" t="str" cm="1">
        <f t="array" aca="1" ref="N63" ca="1">CONCATENATE(INDIRECT(ADDRESS(1,14,1,0,"KeySet"),0),":","""",valueMaker!N63,"""")</f>
        <v>kaninKengenPoint:"有り"</v>
      </c>
      <c r="O63" t="str" cm="1">
        <f t="array" aca="1" ref="O63" ca="1">CONCATENATE(INDIRECT(ADDRESS(1,15,1,0,"KeySet"),0),":","""",valueMaker!O63,"""")</f>
        <v>point:"869"</v>
      </c>
      <c r="P63" t="str" cm="1">
        <f t="array" aca="1" ref="P63" ca="1">CONCATENATE(INDIRECT(ADDRESS(1,16,1,0,"KeySet"),0),":","""",valueMaker!P63,"""")</f>
        <v>bikou:""</v>
      </c>
    </row>
    <row r="64" spans="1:16">
      <c r="A64" t="str" cm="1">
        <f t="array" aca="1" ref="A64" ca="1">CONCATENATE(INDIRECT(ADDRESS(1,1,1,0,"KeySet"),0),":","""",valueMaker!A64,"""")</f>
        <v>kainBangou:"TD10063"</v>
      </c>
      <c r="B64" t="str" cm="1">
        <f t="array" aca="1" ref="B64" ca="1">CONCATENATE(INDIRECT(ADDRESS(1,2,1,0,"KeySet"),0),":","""",valueMaker!B64,"""")</f>
        <v>kainMeiKanji:"吳風帝"</v>
      </c>
      <c r="C64" t="str" cm="1">
        <f t="array" aca="1" ref="C64" ca="1">CONCATENATE(INDIRECT(ADDRESS(1,3,1,0,"KeySet"),0),":","""",valueMaker!C64,"""")</f>
        <v>kainMeiKana:"ｳｰ ﾌｵﾝ ﾃﾞｨｰ"</v>
      </c>
      <c r="D64" t="str" cm="1">
        <f t="array" aca="1" ref="D64" ca="1">CONCATENATE(INDIRECT(ADDRESS(1,4,1,0,"KeySet"),0),":","""",valueMaker!D64,"""")</f>
        <v>kainMeiEn:"Wu Feng Di"</v>
      </c>
      <c r="E64" t="str" cm="1">
        <f t="array" aca="1" ref="E64" ca="1">CONCATENATE(INDIRECT(ADDRESS(1,5,1,0,"KeySet"),0),":","""",valueMaker!E64,"""")</f>
        <v>kainGender:"男性"</v>
      </c>
      <c r="F64" t="str" cm="1">
        <f t="array" aca="1" ref="F64" ca="1">CONCATENATE(INDIRECT(ADDRESS(1,6,1,0,"KeySet"),0),":","""",TEXT(valueMaker!F64,"yyyy/m/d"),"""")</f>
        <v>tanjyoubi:"1987/7/1"</v>
      </c>
      <c r="G64" t="str" cm="1">
        <f t="array" aca="1" ref="G64" ca="1">CONCATENATE(INDIRECT(ADDRESS(1,6,1,0,"KeySet"),0),":","""",TEXT(valueMaker!G64,"yyyy/m/d"),"""")</f>
        <v>tanjyoubi:"2009/5/15"</v>
      </c>
      <c r="H64" t="str" cm="1">
        <f t="array" aca="1" ref="H64" ca="1">CONCATENATE(INDIRECT(ADDRESS(1,6,1,0,"KeySet"),0),":","""",TEXT(valueMaker!H64,"yyyy/m/d"),"""")</f>
        <v>tanjyoubi:"2010/5/15"</v>
      </c>
      <c r="I64" t="str" cm="1">
        <f t="array" aca="1" ref="I64" ca="1">CONCATENATE(INDIRECT(ADDRESS(1,9,1,0,"KeySet"),0),":","""",valueMaker!I64,"""")</f>
        <v>denwaBangou:"080-0951-1832"</v>
      </c>
      <c r="J64" t="str" cm="1">
        <f t="array" aca="1" ref="J64" ca="1">CONCATENATE(INDIRECT(ADDRESS(1,10,1,0,"KeySet"),0),":","""",valueMaker!J64,"""")</f>
        <v>mailAddress:"Wu_Feng_Di_39948@outlook.jp.co"</v>
      </c>
      <c r="K64" t="str" cm="1">
        <f t="array" aca="1" ref="K64" ca="1">CONCATENATE(INDIRECT(ADDRESS(1,11,1,0,"KeySet"),0),":","""",valueMaker!K64,"""")</f>
        <v>kaninSyubetu:"普通"</v>
      </c>
      <c r="L64" t="str" cm="1">
        <f t="array" aca="1" ref="L64" ca="1">CONCATENATE(INDIRECT(ADDRESS(1,12,1,0,"KeySet"),0),":","""",valueMaker!L64,"""")</f>
        <v>kaninKengenWB:"有り"</v>
      </c>
      <c r="M64" t="str" cm="1">
        <f t="array" aca="1" ref="M64" ca="1">CONCATENATE(INDIRECT(ADDRESS(1,13,1,0,"KeySet"),0),":","""",valueMaker!M64,"""")</f>
        <v>wakibiri:"5%"</v>
      </c>
      <c r="N64" t="str" cm="1">
        <f t="array" aca="1" ref="N64" ca="1">CONCATENATE(INDIRECT(ADDRESS(1,14,1,0,"KeySet"),0),":","""",valueMaker!N64,"""")</f>
        <v>kaninKengenPoint:"-"</v>
      </c>
      <c r="O64" t="str" cm="1">
        <f t="array" aca="1" ref="O64" ca="1">CONCATENATE(INDIRECT(ADDRESS(1,15,1,0,"KeySet"),0),":","""",valueMaker!O64,"""")</f>
        <v>point:"-"</v>
      </c>
      <c r="P64" t="str" cm="1">
        <f t="array" aca="1" ref="P64" ca="1">CONCATENATE(INDIRECT(ADDRESS(1,16,1,0,"KeySet"),0),":","""",valueMaker!P64,"""")</f>
        <v>bikou:""</v>
      </c>
    </row>
    <row r="65" spans="1:16">
      <c r="A65" t="str" cm="1">
        <f t="array" aca="1" ref="A65" ca="1">CONCATENATE(INDIRECT(ADDRESS(1,1,1,0,"KeySet"),0),":","""",valueMaker!A65,"""")</f>
        <v>kainBangou:"TD10064"</v>
      </c>
      <c r="B65" t="str" cm="1">
        <f t="array" aca="1" ref="B65" ca="1">CONCATENATE(INDIRECT(ADDRESS(1,2,1,0,"KeySet"),0),":","""",valueMaker!B65,"""")</f>
        <v>kainMeiKanji:"唐孝海"</v>
      </c>
      <c r="C65" t="str" cm="1">
        <f t="array" aca="1" ref="C65" ca="1">CONCATENATE(INDIRECT(ADDRESS(1,3,1,0,"KeySet"),0),":","""",valueMaker!C65,"""")</f>
        <v>kainMeiKana:"ﾀｰﾝ ｼﾔｵ ﾊｲ"</v>
      </c>
      <c r="D65" t="str" cm="1">
        <f t="array" aca="1" ref="D65" ca="1">CONCATENATE(INDIRECT(ADDRESS(1,4,1,0,"KeySet"),0),":","""",valueMaker!D65,"""")</f>
        <v>kainMeiEn:"Tang Xiao Hai"</v>
      </c>
      <c r="E65" t="str" cm="1">
        <f t="array" aca="1" ref="E65" ca="1">CONCATENATE(INDIRECT(ADDRESS(1,5,1,0,"KeySet"),0),":","""",valueMaker!E65,"""")</f>
        <v>kainGender:"-"</v>
      </c>
      <c r="F65" t="str" cm="1">
        <f t="array" aca="1" ref="F65" ca="1">CONCATENATE(INDIRECT(ADDRESS(1,6,1,0,"KeySet"),0),":","""",TEXT(valueMaker!F65,"yyyy/m/d"),"""")</f>
        <v>tanjyoubi:"1990/1/10"</v>
      </c>
      <c r="G65" t="str" cm="1">
        <f t="array" aca="1" ref="G65" ca="1">CONCATENATE(INDIRECT(ADDRESS(1,6,1,0,"KeySet"),0),":","""",TEXT(valueMaker!G65,"yyyy/m/d"),"""")</f>
        <v>tanjyoubi:"2023/11/17"</v>
      </c>
      <c r="H65" t="str" cm="1">
        <f t="array" aca="1" ref="H65" ca="1">CONCATENATE(INDIRECT(ADDRESS(1,6,1,0,"KeySet"),0),":","""",TEXT(valueMaker!H65,"yyyy/m/d"),"""")</f>
        <v>tanjyoubi:"2025/11/16"</v>
      </c>
      <c r="I65" t="str" cm="1">
        <f t="array" aca="1" ref="I65" ca="1">CONCATENATE(INDIRECT(ADDRESS(1,9,1,0,"KeySet"),0),":","""",valueMaker!I65,"""")</f>
        <v>denwaBangou:"090-7712-7902"</v>
      </c>
      <c r="J65" t="str" cm="1">
        <f t="array" aca="1" ref="J65" ca="1">CONCATENATE(INDIRECT(ADDRESS(1,10,1,0,"KeySet"),0),":","""",valueMaker!J65,"""")</f>
        <v>mailAddress:"Tang_Xiao_Hai_45247@outlook.jp.co"</v>
      </c>
      <c r="K65" t="str" cm="1">
        <f t="array" aca="1" ref="K65" ca="1">CONCATENATE(INDIRECT(ADDRESS(1,11,1,0,"KeySet"),0),":","""",valueMaker!K65,"""")</f>
        <v>kaninSyubetu:"普通"</v>
      </c>
      <c r="L65" t="str" cm="1">
        <f t="array" aca="1" ref="L65" ca="1">CONCATENATE(INDIRECT(ADDRESS(1,12,1,0,"KeySet"),0),":","""",valueMaker!L65,"""")</f>
        <v>kaninKengenWB:"有り"</v>
      </c>
      <c r="M65" t="str" cm="1">
        <f t="array" aca="1" ref="M65" ca="1">CONCATENATE(INDIRECT(ADDRESS(1,13,1,0,"KeySet"),0),":","""",valueMaker!M65,"""")</f>
        <v>wakibiri:"5%"</v>
      </c>
      <c r="N65" t="str" cm="1">
        <f t="array" aca="1" ref="N65" ca="1">CONCATENATE(INDIRECT(ADDRESS(1,14,1,0,"KeySet"),0),":","""",valueMaker!N65,"""")</f>
        <v>kaninKengenPoint:"有り"</v>
      </c>
      <c r="O65" t="str" cm="1">
        <f t="array" aca="1" ref="O65" ca="1">CONCATENATE(INDIRECT(ADDRESS(1,15,1,0,"KeySet"),0),":","""",valueMaker!O65,"""")</f>
        <v>point:"880"</v>
      </c>
      <c r="P65" t="str" cm="1">
        <f t="array" aca="1" ref="P65" ca="1">CONCATENATE(INDIRECT(ADDRESS(1,16,1,0,"KeySet"),0),":","""",valueMaker!P65,"""")</f>
        <v>bikou:""</v>
      </c>
    </row>
    <row r="66" spans="1:16">
      <c r="A66" t="str" cm="1">
        <f t="array" aca="1" ref="A66" ca="1">CONCATENATE(INDIRECT(ADDRESS(1,1,1,0,"KeySet"),0),":","""",valueMaker!A66,"""")</f>
        <v>kainBangou:"TD10065"</v>
      </c>
      <c r="B66" t="str" cm="1">
        <f t="array" aca="1" ref="B66" ca="1">CONCATENATE(INDIRECT(ADDRESS(1,2,1,0,"KeySet"),0),":","""",valueMaker!B66,"""")</f>
        <v>kainMeiKanji:"韓聰晨"</v>
      </c>
      <c r="C66" t="str" cm="1">
        <f t="array" aca="1" ref="C66" ca="1">CONCATENATE(INDIRECT(ADDRESS(1,3,1,0,"KeySet"),0),":","""",valueMaker!C66,"""")</f>
        <v>kainMeiKana:"ﾊﾝ ｯｵｰﾝ ﾁｪﾝ"</v>
      </c>
      <c r="D66" t="str" cm="1">
        <f t="array" aca="1" ref="D66" ca="1">CONCATENATE(INDIRECT(ADDRESS(1,4,1,0,"KeySet"),0),":","""",valueMaker!D66,"""")</f>
        <v>kainMeiEn:"Han Cong Chen"</v>
      </c>
      <c r="E66" t="str" cm="1">
        <f t="array" aca="1" ref="E66" ca="1">CONCATENATE(INDIRECT(ADDRESS(1,5,1,0,"KeySet"),0),":","""",valueMaker!E66,"""")</f>
        <v>kainGender:"女性"</v>
      </c>
      <c r="F66" t="str" cm="1">
        <f t="array" aca="1" ref="F66" ca="1">CONCATENATE(INDIRECT(ADDRESS(1,6,1,0,"KeySet"),0),":","""",TEXT(valueMaker!F66,"yyyy/m/d"),"""")</f>
        <v>tanjyoubi:"1966/12/15"</v>
      </c>
      <c r="G66" t="str" cm="1">
        <f t="array" aca="1" ref="G66" ca="1">CONCATENATE(INDIRECT(ADDRESS(1,6,1,0,"KeySet"),0),":","""",TEXT(valueMaker!G66,"yyyy/m/d"),"""")</f>
        <v>tanjyoubi:"2002/12/22"</v>
      </c>
      <c r="H66" t="str" cm="1">
        <f t="array" aca="1" ref="H66" ca="1">CONCATENATE(INDIRECT(ADDRESS(1,6,1,0,"KeySet"),0),":","""",TEXT(valueMaker!H66,"yyyy/m/d"),"""")</f>
        <v>tanjyoubi:"2003/12/22"</v>
      </c>
      <c r="I66" t="str" cm="1">
        <f t="array" aca="1" ref="I66" ca="1">CONCATENATE(INDIRECT(ADDRESS(1,9,1,0,"KeySet"),0),":","""",valueMaker!I66,"""")</f>
        <v>denwaBangou:"080-0497-2196"</v>
      </c>
      <c r="J66" t="str" cm="1">
        <f t="array" aca="1" ref="J66" ca="1">CONCATENATE(INDIRECT(ADDRESS(1,10,1,0,"KeySet"),0),":","""",valueMaker!J66,"""")</f>
        <v>mailAddress:"Han_Cong_Chen_37612@outlook.jp.co"</v>
      </c>
      <c r="K66" t="str" cm="1">
        <f t="array" aca="1" ref="K66" ca="1">CONCATENATE(INDIRECT(ADDRESS(1,11,1,0,"KeySet"),0),":","""",valueMaker!K66,"""")</f>
        <v>kaninSyubetu:"普通"</v>
      </c>
      <c r="L66" t="str" cm="1">
        <f t="array" aca="1" ref="L66" ca="1">CONCATENATE(INDIRECT(ADDRESS(1,12,1,0,"KeySet"),0),":","""",valueMaker!L66,"""")</f>
        <v>kaninKengenWB:"有り"</v>
      </c>
      <c r="M66" t="str" cm="1">
        <f t="array" aca="1" ref="M66" ca="1">CONCATENATE(INDIRECT(ADDRESS(1,13,1,0,"KeySet"),0),":","""",valueMaker!M66,"""")</f>
        <v>wakibiri:"5%"</v>
      </c>
      <c r="N66" t="str" cm="1">
        <f t="array" aca="1" ref="N66" ca="1">CONCATENATE(INDIRECT(ADDRESS(1,14,1,0,"KeySet"),0),":","""",valueMaker!N66,"""")</f>
        <v>kaninKengenPoint:"有り"</v>
      </c>
      <c r="O66" t="str" cm="1">
        <f t="array" aca="1" ref="O66" ca="1">CONCATENATE(INDIRECT(ADDRESS(1,15,1,0,"KeySet"),0),":","""",valueMaker!O66,"""")</f>
        <v>point:"812"</v>
      </c>
      <c r="P66" t="str" cm="1">
        <f t="array" aca="1" ref="P66" ca="1">CONCATENATE(INDIRECT(ADDRESS(1,16,1,0,"KeySet"),0),":","""",valueMaker!P66,"""")</f>
        <v>bikou:""</v>
      </c>
    </row>
    <row r="67" spans="1:16">
      <c r="A67" t="str" cm="1">
        <f t="array" aca="1" ref="A67" ca="1">CONCATENATE(INDIRECT(ADDRESS(1,1,1,0,"KeySet"),0),":","""",valueMaker!A67,"""")</f>
        <v>kainBangou:"TD10066"</v>
      </c>
      <c r="B67" t="str" cm="1">
        <f t="array" aca="1" ref="B67" ca="1">CONCATENATE(INDIRECT(ADDRESS(1,2,1,0,"KeySet"),0),":","""",valueMaker!B67,"""")</f>
        <v>kainMeiKanji:"馬祖彥"</v>
      </c>
      <c r="C67" t="str" cm="1">
        <f t="array" aca="1" ref="C67" ca="1">CONCATENATE(INDIRECT(ADDRESS(1,3,1,0,"KeySet"),0),":","""",valueMaker!C67,"""")</f>
        <v>kainMeiKana:"ﾏｰ ｽﾞｩ ｲｴﾝ"</v>
      </c>
      <c r="D67" t="str" cm="1">
        <f t="array" aca="1" ref="D67" ca="1">CONCATENATE(INDIRECT(ADDRESS(1,4,1,0,"KeySet"),0),":","""",valueMaker!D67,"""")</f>
        <v>kainMeiEn:"Ma Zu Yan"</v>
      </c>
      <c r="E67" t="str" cm="1">
        <f t="array" aca="1" ref="E67" ca="1">CONCATENATE(INDIRECT(ADDRESS(1,5,1,0,"KeySet"),0),":","""",valueMaker!E67,"""")</f>
        <v>kainGender:"男性"</v>
      </c>
      <c r="F67" t="str" cm="1">
        <f t="array" aca="1" ref="F67" ca="1">CONCATENATE(INDIRECT(ADDRESS(1,6,1,0,"KeySet"),0),":","""",TEXT(valueMaker!F67,"yyyy/m/d"),"""")</f>
        <v>tanjyoubi:"1979/11/20"</v>
      </c>
      <c r="G67" t="str" cm="1">
        <f t="array" aca="1" ref="G67" ca="1">CONCATENATE(INDIRECT(ADDRESS(1,6,1,0,"KeySet"),0),":","""",TEXT(valueMaker!G67,"yyyy/m/d"),"""")</f>
        <v>tanjyoubi:"2023/8/6"</v>
      </c>
      <c r="H67" t="str" cm="1">
        <f t="array" aca="1" ref="H67" ca="1">CONCATENATE(INDIRECT(ADDRESS(1,6,1,0,"KeySet"),0),":","""",TEXT(valueMaker!H67,"yyyy/m/d"),"""")</f>
        <v>tanjyoubi:"2024/8/5"</v>
      </c>
      <c r="I67" t="str" cm="1">
        <f t="array" aca="1" ref="I67" ca="1">CONCATENATE(INDIRECT(ADDRESS(1,9,1,0,"KeySet"),0),":","""",valueMaker!I67,"""")</f>
        <v>denwaBangou:"080-1879-8591"</v>
      </c>
      <c r="J67" t="str" cm="1">
        <f t="array" aca="1" ref="J67" ca="1">CONCATENATE(INDIRECT(ADDRESS(1,10,1,0,"KeySet"),0),":","""",valueMaker!J67,"""")</f>
        <v>mailAddress:"Ma_Zu_Yan_45144@outlook.jp.co"</v>
      </c>
      <c r="K67" t="str" cm="1">
        <f t="array" aca="1" ref="K67" ca="1">CONCATENATE(INDIRECT(ADDRESS(1,11,1,0,"KeySet"),0),":","""",valueMaker!K67,"""")</f>
        <v>kaninSyubetu:"高級"</v>
      </c>
      <c r="L67" t="str" cm="1">
        <f t="array" aca="1" ref="L67" ca="1">CONCATENATE(INDIRECT(ADDRESS(1,12,1,0,"KeySet"),0),":","""",valueMaker!L67,"""")</f>
        <v>kaninKengenWB:"有り"</v>
      </c>
      <c r="M67" t="str" cm="1">
        <f t="array" aca="1" ref="M67" ca="1">CONCATENATE(INDIRECT(ADDRESS(1,13,1,0,"KeySet"),0),":","""",valueMaker!M67,"""")</f>
        <v>wakibiri:"10%"</v>
      </c>
      <c r="N67" t="str" cm="1">
        <f t="array" aca="1" ref="N67" ca="1">CONCATENATE(INDIRECT(ADDRESS(1,14,1,0,"KeySet"),0),":","""",valueMaker!N67,"""")</f>
        <v>kaninKengenPoint:"有り"</v>
      </c>
      <c r="O67" t="str" cm="1">
        <f t="array" aca="1" ref="O67" ca="1">CONCATENATE(INDIRECT(ADDRESS(1,15,1,0,"KeySet"),0),":","""",valueMaker!O67,"""")</f>
        <v>point:"230"</v>
      </c>
      <c r="P67" t="str" cm="1">
        <f t="array" aca="1" ref="P67" ca="1">CONCATENATE(INDIRECT(ADDRESS(1,16,1,0,"KeySet"),0),":","""",valueMaker!P67,"""")</f>
        <v>bikou:""</v>
      </c>
    </row>
    <row r="68" spans="1:16">
      <c r="A68" t="str" cm="1">
        <f t="array" aca="1" ref="A68" ca="1">CONCATENATE(INDIRECT(ADDRESS(1,1,1,0,"KeySet"),0),":","""",valueMaker!A68,"""")</f>
        <v>kainBangou:"TD10067"</v>
      </c>
      <c r="B68" t="str" cm="1">
        <f t="array" aca="1" ref="B68" ca="1">CONCATENATE(INDIRECT(ADDRESS(1,2,1,0,"KeySet"),0),":","""",valueMaker!B68,"""")</f>
        <v>kainMeiKanji:"李靜慶"</v>
      </c>
      <c r="C68" t="str" cm="1">
        <f t="array" aca="1" ref="C68" ca="1">CONCATENATE(INDIRECT(ADDRESS(1,3,1,0,"KeySet"),0),":","""",valueMaker!C68,"""")</f>
        <v>kainMeiKana:"ﾘｰ ｼﾞｰﾝ ﾁｰﾝ"</v>
      </c>
      <c r="D68" t="str" cm="1">
        <f t="array" aca="1" ref="D68" ca="1">CONCATENATE(INDIRECT(ADDRESS(1,4,1,0,"KeySet"),0),":","""",valueMaker!D68,"""")</f>
        <v>kainMeiEn:"Li Jing Qing"</v>
      </c>
      <c r="E68" t="str" cm="1">
        <f t="array" aca="1" ref="E68" ca="1">CONCATENATE(INDIRECT(ADDRESS(1,5,1,0,"KeySet"),0),":","""",valueMaker!E68,"""")</f>
        <v>kainGender:"女性"</v>
      </c>
      <c r="F68" t="str" cm="1">
        <f t="array" aca="1" ref="F68" ca="1">CONCATENATE(INDIRECT(ADDRESS(1,6,1,0,"KeySet"),0),":","""",TEXT(valueMaker!F68,"yyyy/m/d"),"""")</f>
        <v>tanjyoubi:"2004/10/6"</v>
      </c>
      <c r="G68" t="str" cm="1">
        <f t="array" aca="1" ref="G68" ca="1">CONCATENATE(INDIRECT(ADDRESS(1,6,1,0,"KeySet"),0),":","""",TEXT(valueMaker!G68,"yyyy/m/d"),"""")</f>
        <v>tanjyoubi:"2023/1/23"</v>
      </c>
      <c r="H68" t="str" cm="1">
        <f t="array" aca="1" ref="H68" ca="1">CONCATENATE(INDIRECT(ADDRESS(1,6,1,0,"KeySet"),0),":","""",TEXT(valueMaker!H68,"yyyy/m/d"),"""")</f>
        <v>tanjyoubi:"2024/1/23"</v>
      </c>
      <c r="I68" t="str" cm="1">
        <f t="array" aca="1" ref="I68" ca="1">CONCATENATE(INDIRECT(ADDRESS(1,9,1,0,"KeySet"),0),":","""",valueMaker!I68,"""")</f>
        <v>denwaBangou:"090-8529-0661"</v>
      </c>
      <c r="J68" t="str" cm="1">
        <f t="array" aca="1" ref="J68" ca="1">CONCATENATE(INDIRECT(ADDRESS(1,10,1,0,"KeySet"),0),":","""",valueMaker!J68,"""")</f>
        <v>mailAddress:"Li_Jing_Qing_44949@outlook.jp.co"</v>
      </c>
      <c r="K68" t="str" cm="1">
        <f t="array" aca="1" ref="K68" ca="1">CONCATENATE(INDIRECT(ADDRESS(1,11,1,0,"KeySet"),0),":","""",valueMaker!K68,"""")</f>
        <v>kaninSyubetu:"普通"</v>
      </c>
      <c r="L68" t="str" cm="1">
        <f t="array" aca="1" ref="L68" ca="1">CONCATENATE(INDIRECT(ADDRESS(1,12,1,0,"KeySet"),0),":","""",valueMaker!L68,"""")</f>
        <v>kaninKengenWB:"有り"</v>
      </c>
      <c r="M68" t="str" cm="1">
        <f t="array" aca="1" ref="M68" ca="1">CONCATENATE(INDIRECT(ADDRESS(1,13,1,0,"KeySet"),0),":","""",valueMaker!M68,"""")</f>
        <v>wakibiri:"5%"</v>
      </c>
      <c r="N68" t="str" cm="1">
        <f t="array" aca="1" ref="N68" ca="1">CONCATENATE(INDIRECT(ADDRESS(1,14,1,0,"KeySet"),0),":","""",valueMaker!N68,"""")</f>
        <v>kaninKengenPoint:"有り"</v>
      </c>
      <c r="O68" t="str" cm="1">
        <f t="array" aca="1" ref="O68" ca="1">CONCATENATE(INDIRECT(ADDRESS(1,15,1,0,"KeySet"),0),":","""",valueMaker!O68,"""")</f>
        <v>point:"320"</v>
      </c>
      <c r="P68" t="str" cm="1">
        <f t="array" aca="1" ref="P68" ca="1">CONCATENATE(INDIRECT(ADDRESS(1,16,1,0,"KeySet"),0),":","""",valueMaker!P68,"""")</f>
        <v>bikou:""</v>
      </c>
    </row>
    <row r="69" spans="1:16">
      <c r="A69" t="str" cm="1">
        <f t="array" aca="1" ref="A69" ca="1">CONCATENATE(INDIRECT(ADDRESS(1,1,1,0,"KeySet"),0),":","""",valueMaker!A69,"""")</f>
        <v>kainBangou:"TD10068"</v>
      </c>
      <c r="B69" t="str" cm="1">
        <f t="array" aca="1" ref="B69" ca="1">CONCATENATE(INDIRECT(ADDRESS(1,2,1,0,"KeySet"),0),":","""",valueMaker!B69,"""")</f>
        <v>kainMeiKanji:"高冠生"</v>
      </c>
      <c r="C69" t="str" cm="1">
        <f t="array" aca="1" ref="C69" ca="1">CONCATENATE(INDIRECT(ADDRESS(1,3,1,0,"KeySet"),0),":","""",valueMaker!C69,"""")</f>
        <v>kainMeiKana:"ｶﾞｵ ｸﾞﾜﾝ ｼｭﾖﾝ"</v>
      </c>
      <c r="D69" t="str" cm="1">
        <f t="array" aca="1" ref="D69" ca="1">CONCATENATE(INDIRECT(ADDRESS(1,4,1,0,"KeySet"),0),":","""",valueMaker!D69,"""")</f>
        <v>kainMeiEn:"Gao Guan Sheng"</v>
      </c>
      <c r="E69" t="str" cm="1">
        <f t="array" aca="1" ref="E69" ca="1">CONCATENATE(INDIRECT(ADDRESS(1,5,1,0,"KeySet"),0),":","""",valueMaker!E69,"""")</f>
        <v>kainGender:"女性"</v>
      </c>
      <c r="F69" t="str" cm="1">
        <f t="array" aca="1" ref="F69" ca="1">CONCATENATE(INDIRECT(ADDRESS(1,6,1,0,"KeySet"),0),":","""",TEXT(valueMaker!F69,"yyyy/m/d"),"""")</f>
        <v>tanjyoubi:"1995/10/2"</v>
      </c>
      <c r="G69" t="str" cm="1">
        <f t="array" aca="1" ref="G69" ca="1">CONCATENATE(INDIRECT(ADDRESS(1,6,1,0,"KeySet"),0),":","""",TEXT(valueMaker!G69,"yyyy/m/d"),"""")</f>
        <v>tanjyoubi:"2015/6/12"</v>
      </c>
      <c r="H69" t="str" cm="1">
        <f t="array" aca="1" ref="H69" ca="1">CONCATENATE(INDIRECT(ADDRESS(1,6,1,0,"KeySet"),0),":","""",TEXT(valueMaker!H69,"yyyy/m/d"),"""")</f>
        <v>tanjyoubi:"2016/6/11"</v>
      </c>
      <c r="I69" t="str" cm="1">
        <f t="array" aca="1" ref="I69" ca="1">CONCATENATE(INDIRECT(ADDRESS(1,9,1,0,"KeySet"),0),":","""",valueMaker!I69,"""")</f>
        <v>denwaBangou:"090-7294-8794"</v>
      </c>
      <c r="J69" t="str" cm="1">
        <f t="array" aca="1" ref="J69" ca="1">CONCATENATE(INDIRECT(ADDRESS(1,10,1,0,"KeySet"),0),":","""",valueMaker!J69,"""")</f>
        <v>mailAddress:"Gao_Guan_Sheng_42167@outlook.jp.co"</v>
      </c>
      <c r="K69" t="str" cm="1">
        <f t="array" aca="1" ref="K69" ca="1">CONCATENATE(INDIRECT(ADDRESS(1,11,1,0,"KeySet"),0),":","""",valueMaker!K69,"""")</f>
        <v>kaninSyubetu:"普通"</v>
      </c>
      <c r="L69" t="str" cm="1">
        <f t="array" aca="1" ref="L69" ca="1">CONCATENATE(INDIRECT(ADDRESS(1,12,1,0,"KeySet"),0),":","""",valueMaker!L69,"""")</f>
        <v>kaninKengenWB:"-"</v>
      </c>
      <c r="M69" t="str" cm="1">
        <f t="array" aca="1" ref="M69" ca="1">CONCATENATE(INDIRECT(ADDRESS(1,13,1,0,"KeySet"),0),":","""",valueMaker!M69,"""")</f>
        <v>wakibiri:"-"</v>
      </c>
      <c r="N69" t="str" cm="1">
        <f t="array" aca="1" ref="N69" ca="1">CONCATENATE(INDIRECT(ADDRESS(1,14,1,0,"KeySet"),0),":","""",valueMaker!N69,"""")</f>
        <v>kaninKengenPoint:"有り"</v>
      </c>
      <c r="O69" t="str" cm="1">
        <f t="array" aca="1" ref="O69" ca="1">CONCATENATE(INDIRECT(ADDRESS(1,15,1,0,"KeySet"),0),":","""",valueMaker!O69,"""")</f>
        <v>point:"634"</v>
      </c>
      <c r="P69" t="str" cm="1">
        <f t="array" aca="1" ref="P69" ca="1">CONCATENATE(INDIRECT(ADDRESS(1,16,1,0,"KeySet"),0),":","""",valueMaker!P69,"""")</f>
        <v>bikou:""</v>
      </c>
    </row>
    <row r="70" spans="1:16">
      <c r="A70" t="str" cm="1">
        <f t="array" aca="1" ref="A70" ca="1">CONCATENATE(INDIRECT(ADDRESS(1,1,1,0,"KeySet"),0),":","""",valueMaker!A70,"""")</f>
        <v>kainBangou:"TD10069"</v>
      </c>
      <c r="B70" t="str" cm="1">
        <f t="array" aca="1" ref="B70" ca="1">CONCATENATE(INDIRECT(ADDRESS(1,2,1,0,"KeySet"),0),":","""",valueMaker!B70,"""")</f>
        <v>kainMeiKanji:"何喜永"</v>
      </c>
      <c r="C70" t="str" cm="1">
        <f t="array" aca="1" ref="C70" ca="1">CONCATENATE(INDIRECT(ADDRESS(1,3,1,0,"KeySet"),0),":","""",valueMaker!C70,"""")</f>
        <v>kainMeiKana:"ﾎｰｧ ｼｲ ﾖｰﾝ"</v>
      </c>
      <c r="D70" t="str" cm="1">
        <f t="array" aca="1" ref="D70" ca="1">CONCATENATE(INDIRECT(ADDRESS(1,4,1,0,"KeySet"),0),":","""",valueMaker!D70,"""")</f>
        <v>kainMeiEn:"He Xi Yong"</v>
      </c>
      <c r="E70" t="str" cm="1">
        <f t="array" aca="1" ref="E70" ca="1">CONCATENATE(INDIRECT(ADDRESS(1,5,1,0,"KeySet"),0),":","""",valueMaker!E70,"""")</f>
        <v>kainGender:"女性"</v>
      </c>
      <c r="F70" t="str" cm="1">
        <f t="array" aca="1" ref="F70" ca="1">CONCATENATE(INDIRECT(ADDRESS(1,6,1,0,"KeySet"),0),":","""",TEXT(valueMaker!F70,"yyyy/m/d"),"""")</f>
        <v>tanjyoubi:"2005/6/11"</v>
      </c>
      <c r="G70" t="str" cm="1">
        <f t="array" aca="1" ref="G70" ca="1">CONCATENATE(INDIRECT(ADDRESS(1,6,1,0,"KeySet"),0),":","""",TEXT(valueMaker!G70,"yyyy/m/d"),"""")</f>
        <v>tanjyoubi:"2024/3/3"</v>
      </c>
      <c r="H70" t="str" cm="1">
        <f t="array" aca="1" ref="H70" ca="1">CONCATENATE(INDIRECT(ADDRESS(1,6,1,0,"KeySet"),0),":","""",TEXT(valueMaker!H70,"yyyy/m/d"),"""")</f>
        <v>tanjyoubi:"2027/3/3"</v>
      </c>
      <c r="I70" t="str" cm="1">
        <f t="array" aca="1" ref="I70" ca="1">CONCATENATE(INDIRECT(ADDRESS(1,9,1,0,"KeySet"),0),":","""",valueMaker!I70,"""")</f>
        <v>denwaBangou:"080-8552-6914"</v>
      </c>
      <c r="J70" t="str" cm="1">
        <f t="array" aca="1" ref="J70" ca="1">CONCATENATE(INDIRECT(ADDRESS(1,10,1,0,"KeySet"),0),":","""",valueMaker!J70,"""")</f>
        <v>mailAddress:"He_Xi_Yong_45354@outlook.jp.co"</v>
      </c>
      <c r="K70" t="str" cm="1">
        <f t="array" aca="1" ref="K70" ca="1">CONCATENATE(INDIRECT(ADDRESS(1,11,1,0,"KeySet"),0),":","""",valueMaker!K70,"""")</f>
        <v>kaninSyubetu:"普通"</v>
      </c>
      <c r="L70" t="str" cm="1">
        <f t="array" aca="1" ref="L70" ca="1">CONCATENATE(INDIRECT(ADDRESS(1,12,1,0,"KeySet"),0),":","""",valueMaker!L70,"""")</f>
        <v>kaninKengenWB:"有り"</v>
      </c>
      <c r="M70" t="str" cm="1">
        <f t="array" aca="1" ref="M70" ca="1">CONCATENATE(INDIRECT(ADDRESS(1,13,1,0,"KeySet"),0),":","""",valueMaker!M70,"""")</f>
        <v>wakibiri:"5%"</v>
      </c>
      <c r="N70" t="str" cm="1">
        <f t="array" aca="1" ref="N70" ca="1">CONCATENATE(INDIRECT(ADDRESS(1,14,1,0,"KeySet"),0),":","""",valueMaker!N70,"""")</f>
        <v>kaninKengenPoint:"有り"</v>
      </c>
      <c r="O70" t="str" cm="1">
        <f t="array" aca="1" ref="O70" ca="1">CONCATENATE(INDIRECT(ADDRESS(1,15,1,0,"KeySet"),0),":","""",valueMaker!O70,"""")</f>
        <v>point:"692"</v>
      </c>
      <c r="P70" t="str" cm="1">
        <f t="array" aca="1" ref="P70" ca="1">CONCATENATE(INDIRECT(ADDRESS(1,16,1,0,"KeySet"),0),":","""",valueMaker!P70,"""")</f>
        <v>bikou:""</v>
      </c>
    </row>
    <row r="71" spans="1:16">
      <c r="A71" t="str" cm="1">
        <f t="array" aca="1" ref="A71" ca="1">CONCATENATE(INDIRECT(ADDRESS(1,1,1,0,"KeySet"),0),":","""",valueMaker!A71,"""")</f>
        <v>kainBangou:"TD10070"</v>
      </c>
      <c r="B71" t="str" cm="1">
        <f t="array" aca="1" ref="B71" ca="1">CONCATENATE(INDIRECT(ADDRESS(1,2,1,0,"KeySet"),0),":","""",valueMaker!B71,"""")</f>
        <v>kainMeiKanji:"張致複"</v>
      </c>
      <c r="C71" t="str" cm="1">
        <f t="array" aca="1" ref="C71" ca="1">CONCATENATE(INDIRECT(ADDRESS(1,3,1,0,"KeySet"),0),":","""",valueMaker!C71,"""")</f>
        <v>kainMeiKana:"ｼﾞｬｰﾝ ｼﾞｰ ﾌｩ"</v>
      </c>
      <c r="D71" t="str" cm="1">
        <f t="array" aca="1" ref="D71" ca="1">CONCATENATE(INDIRECT(ADDRESS(1,4,1,0,"KeySet"),0),":","""",valueMaker!D71,"""")</f>
        <v>kainMeiEn:"Zhang Zhi Fu"</v>
      </c>
      <c r="E71" t="str" cm="1">
        <f t="array" aca="1" ref="E71" ca="1">CONCATENATE(INDIRECT(ADDRESS(1,5,1,0,"KeySet"),0),":","""",valueMaker!E71,"""")</f>
        <v>kainGender:"女性"</v>
      </c>
      <c r="F71" t="str" cm="1">
        <f t="array" aca="1" ref="F71" ca="1">CONCATENATE(INDIRECT(ADDRESS(1,6,1,0,"KeySet"),0),":","""",TEXT(valueMaker!F71,"yyyy/m/d"),"""")</f>
        <v>tanjyoubi:"1974/4/18"</v>
      </c>
      <c r="G71" t="str" cm="1">
        <f t="array" aca="1" ref="G71" ca="1">CONCATENATE(INDIRECT(ADDRESS(1,6,1,0,"KeySet"),0),":","""",TEXT(valueMaker!G71,"yyyy/m/d"),"""")</f>
        <v>tanjyoubi:"2020/7/13"</v>
      </c>
      <c r="H71" t="str" cm="1">
        <f t="array" aca="1" ref="H71" ca="1">CONCATENATE(INDIRECT(ADDRESS(1,6,1,0,"KeySet"),0),":","""",TEXT(valueMaker!H71,"yyyy/m/d"),"""")</f>
        <v>tanjyoubi:"2022/7/13"</v>
      </c>
      <c r="I71" t="str" cm="1">
        <f t="array" aca="1" ref="I71" ca="1">CONCATENATE(INDIRECT(ADDRESS(1,9,1,0,"KeySet"),0),":","""",valueMaker!I71,"""")</f>
        <v>denwaBangou:"090-8734-0795"</v>
      </c>
      <c r="J71" t="str" cm="1">
        <f t="array" aca="1" ref="J71" ca="1">CONCATENATE(INDIRECT(ADDRESS(1,10,1,0,"KeySet"),0),":","""",valueMaker!J71,"""")</f>
        <v>mailAddress:"Zhang_Zhi_Fu_44025@outlook.jp.co"</v>
      </c>
      <c r="K71" t="str" cm="1">
        <f t="array" aca="1" ref="K71" ca="1">CONCATENATE(INDIRECT(ADDRESS(1,11,1,0,"KeySet"),0),":","""",valueMaker!K71,"""")</f>
        <v>kaninSyubetu:"普通"</v>
      </c>
      <c r="L71" t="str" cm="1">
        <f t="array" aca="1" ref="L71" ca="1">CONCATENATE(INDIRECT(ADDRESS(1,12,1,0,"KeySet"),0),":","""",valueMaker!L71,"""")</f>
        <v>kaninKengenWB:"有り"</v>
      </c>
      <c r="M71" t="str" cm="1">
        <f t="array" aca="1" ref="M71" ca="1">CONCATENATE(INDIRECT(ADDRESS(1,13,1,0,"KeySet"),0),":","""",valueMaker!M71,"""")</f>
        <v>wakibiri:"5%"</v>
      </c>
      <c r="N71" t="str" cm="1">
        <f t="array" aca="1" ref="N71" ca="1">CONCATENATE(INDIRECT(ADDRESS(1,14,1,0,"KeySet"),0),":","""",valueMaker!N71,"""")</f>
        <v>kaninKengenPoint:"-"</v>
      </c>
      <c r="O71" t="str" cm="1">
        <f t="array" aca="1" ref="O71" ca="1">CONCATENATE(INDIRECT(ADDRESS(1,15,1,0,"KeySet"),0),":","""",valueMaker!O71,"""")</f>
        <v>point:"-"</v>
      </c>
      <c r="P71" t="str" cm="1">
        <f t="array" aca="1" ref="P71" ca="1">CONCATENATE(INDIRECT(ADDRESS(1,16,1,0,"KeySet"),0),":","""",valueMaker!P71,"""")</f>
        <v>bikou:""</v>
      </c>
    </row>
    <row r="72" spans="1:16">
      <c r="A72" t="str" cm="1">
        <f t="array" aca="1" ref="A72" ca="1">CONCATENATE(INDIRECT(ADDRESS(1,1,1,0,"KeySet"),0),":","""",valueMaker!A72,"""")</f>
        <v>kainBangou:"TD10071"</v>
      </c>
      <c r="B72" t="str" cm="1">
        <f t="array" aca="1" ref="B72" ca="1">CONCATENATE(INDIRECT(ADDRESS(1,2,1,0,"KeySet"),0),":","""",valueMaker!B72,"""")</f>
        <v>kainMeiKanji:"馬龍彩"</v>
      </c>
      <c r="C72" t="str" cm="1">
        <f t="array" aca="1" ref="C72" ca="1">CONCATENATE(INDIRECT(ADDRESS(1,3,1,0,"KeySet"),0),":","""",valueMaker!C72,"""")</f>
        <v>kainMeiKana:"ﾏｰ ﾛｰﾝ ﾂｧｲ"</v>
      </c>
      <c r="D72" t="str" cm="1">
        <f t="array" aca="1" ref="D72" ca="1">CONCATENATE(INDIRECT(ADDRESS(1,4,1,0,"KeySet"),0),":","""",valueMaker!D72,"""")</f>
        <v>kainMeiEn:"Ma Long Cai"</v>
      </c>
      <c r="E72" t="str" cm="1">
        <f t="array" aca="1" ref="E72" ca="1">CONCATENATE(INDIRECT(ADDRESS(1,5,1,0,"KeySet"),0),":","""",valueMaker!E72,"""")</f>
        <v>kainGender:"女性"</v>
      </c>
      <c r="F72" t="str" cm="1">
        <f t="array" aca="1" ref="F72" ca="1">CONCATENATE(INDIRECT(ADDRESS(1,6,1,0,"KeySet"),0),":","""",TEXT(valueMaker!F72,"yyyy/m/d"),"""")</f>
        <v>tanjyoubi:"1990/10/27"</v>
      </c>
      <c r="G72" t="str" cm="1">
        <f t="array" aca="1" ref="G72" ca="1">CONCATENATE(INDIRECT(ADDRESS(1,6,1,0,"KeySet"),0),":","""",TEXT(valueMaker!G72,"yyyy/m/d"),"""")</f>
        <v>tanjyoubi:"2016/11/28"</v>
      </c>
      <c r="H72" t="str" cm="1">
        <f t="array" aca="1" ref="H72" ca="1">CONCATENATE(INDIRECT(ADDRESS(1,6,1,0,"KeySet"),0),":","""",TEXT(valueMaker!H72,"yyyy/m/d"),"""")</f>
        <v>tanjyoubi:"2017/11/28"</v>
      </c>
      <c r="I72" t="str" cm="1">
        <f t="array" aca="1" ref="I72" ca="1">CONCATENATE(INDIRECT(ADDRESS(1,9,1,0,"KeySet"),0),":","""",valueMaker!I72,"""")</f>
        <v>denwaBangou:"080-1106-8587"</v>
      </c>
      <c r="J72" t="str" cm="1">
        <f t="array" aca="1" ref="J72" ca="1">CONCATENATE(INDIRECT(ADDRESS(1,10,1,0,"KeySet"),0),":","""",valueMaker!J72,"""")</f>
        <v>mailAddress:"Ma_Long_Cai_42702@outlook.jp.co"</v>
      </c>
      <c r="K72" t="str" cm="1">
        <f t="array" aca="1" ref="K72" ca="1">CONCATENATE(INDIRECT(ADDRESS(1,11,1,0,"KeySet"),0),":","""",valueMaker!K72,"""")</f>
        <v>kaninSyubetu:"普通"</v>
      </c>
      <c r="L72" t="str" cm="1">
        <f t="array" aca="1" ref="L72" ca="1">CONCATENATE(INDIRECT(ADDRESS(1,12,1,0,"KeySet"),0),":","""",valueMaker!L72,"""")</f>
        <v>kaninKengenWB:"有り"</v>
      </c>
      <c r="M72" t="str" cm="1">
        <f t="array" aca="1" ref="M72" ca="1">CONCATENATE(INDIRECT(ADDRESS(1,13,1,0,"KeySet"),0),":","""",valueMaker!M72,"""")</f>
        <v>wakibiri:"5%"</v>
      </c>
      <c r="N72" t="str" cm="1">
        <f t="array" aca="1" ref="N72" ca="1">CONCATENATE(INDIRECT(ADDRESS(1,14,1,0,"KeySet"),0),":","""",valueMaker!N72,"""")</f>
        <v>kaninKengenPoint:"有り"</v>
      </c>
      <c r="O72" t="str" cm="1">
        <f t="array" aca="1" ref="O72" ca="1">CONCATENATE(INDIRECT(ADDRESS(1,15,1,0,"KeySet"),0),":","""",valueMaker!O72,"""")</f>
        <v>point:"479"</v>
      </c>
      <c r="P72" t="str" cm="1">
        <f t="array" aca="1" ref="P72" ca="1">CONCATENATE(INDIRECT(ADDRESS(1,16,1,0,"KeySet"),0),":","""",valueMaker!P72,"""")</f>
        <v>bikou:""</v>
      </c>
    </row>
    <row r="73" spans="1:16">
      <c r="A73" t="str" cm="1">
        <f t="array" aca="1" ref="A73" ca="1">CONCATENATE(INDIRECT(ADDRESS(1,1,1,0,"KeySet"),0),":","""",valueMaker!A73,"""")</f>
        <v>kainBangou:"TD10072"</v>
      </c>
      <c r="B73" t="str" cm="1">
        <f t="array" aca="1" ref="B73" ca="1">CONCATENATE(INDIRECT(ADDRESS(1,2,1,0,"KeySet"),0),":","""",valueMaker!B73,"""")</f>
        <v>kainMeiKanji:"王慶祖"</v>
      </c>
      <c r="C73" t="str" cm="1">
        <f t="array" aca="1" ref="C73" ca="1">CONCATENATE(INDIRECT(ADDRESS(1,3,1,0,"KeySet"),0),":","""",valueMaker!C73,"""")</f>
        <v>kainMeiKana:"ﾜｰﾝ ﾁｰﾝ ｽﾞｩ"</v>
      </c>
      <c r="D73" t="str" cm="1">
        <f t="array" aca="1" ref="D73" ca="1">CONCATENATE(INDIRECT(ADDRESS(1,4,1,0,"KeySet"),0),":","""",valueMaker!D73,"""")</f>
        <v>kainMeiEn:"Wang Qing Zu"</v>
      </c>
      <c r="E73" t="str" cm="1">
        <f t="array" aca="1" ref="E73" ca="1">CONCATENATE(INDIRECT(ADDRESS(1,5,1,0,"KeySet"),0),":","""",valueMaker!E73,"""")</f>
        <v>kainGender:"女性"</v>
      </c>
      <c r="F73" t="str" cm="1">
        <f t="array" aca="1" ref="F73" ca="1">CONCATENATE(INDIRECT(ADDRESS(1,6,1,0,"KeySet"),0),":","""",TEXT(valueMaker!F73,"yyyy/m/d"),"""")</f>
        <v>tanjyoubi:"1993/10/7"</v>
      </c>
      <c r="G73" t="str" cm="1">
        <f t="array" aca="1" ref="G73" ca="1">CONCATENATE(INDIRECT(ADDRESS(1,6,1,0,"KeySet"),0),":","""",TEXT(valueMaker!G73,"yyyy/m/d"),"""")</f>
        <v>tanjyoubi:"2014/5/27"</v>
      </c>
      <c r="H73" t="str" cm="1">
        <f t="array" aca="1" ref="H73" ca="1">CONCATENATE(INDIRECT(ADDRESS(1,6,1,0,"KeySet"),0),":","""",TEXT(valueMaker!H73,"yyyy/m/d"),"""")</f>
        <v>tanjyoubi:"2016/5/26"</v>
      </c>
      <c r="I73" t="str" cm="1">
        <f t="array" aca="1" ref="I73" ca="1">CONCATENATE(INDIRECT(ADDRESS(1,9,1,0,"KeySet"),0),":","""",valueMaker!I73,"""")</f>
        <v>denwaBangou:"080-6820-2805"</v>
      </c>
      <c r="J73" t="str" cm="1">
        <f t="array" aca="1" ref="J73" ca="1">CONCATENATE(INDIRECT(ADDRESS(1,10,1,0,"KeySet"),0),":","""",valueMaker!J73,"""")</f>
        <v>mailAddress:"Wang_Qing_Zu_41786@outlook.jp.co"</v>
      </c>
      <c r="K73" t="str" cm="1">
        <f t="array" aca="1" ref="K73" ca="1">CONCATENATE(INDIRECT(ADDRESS(1,11,1,0,"KeySet"),0),":","""",valueMaker!K73,"""")</f>
        <v>kaninSyubetu:"普通"</v>
      </c>
      <c r="L73" t="str" cm="1">
        <f t="array" aca="1" ref="L73" ca="1">CONCATENATE(INDIRECT(ADDRESS(1,12,1,0,"KeySet"),0),":","""",valueMaker!L73,"""")</f>
        <v>kaninKengenWB:"有り"</v>
      </c>
      <c r="M73" t="str" cm="1">
        <f t="array" aca="1" ref="M73" ca="1">CONCATENATE(INDIRECT(ADDRESS(1,13,1,0,"KeySet"),0),":","""",valueMaker!M73,"""")</f>
        <v>wakibiri:"5%"</v>
      </c>
      <c r="N73" t="str" cm="1">
        <f t="array" aca="1" ref="N73" ca="1">CONCATENATE(INDIRECT(ADDRESS(1,14,1,0,"KeySet"),0),":","""",valueMaker!N73,"""")</f>
        <v>kaninKengenPoint:"有り"</v>
      </c>
      <c r="O73" t="str" cm="1">
        <f t="array" aca="1" ref="O73" ca="1">CONCATENATE(INDIRECT(ADDRESS(1,15,1,0,"KeySet"),0),":","""",valueMaker!O73,"""")</f>
        <v>point:"618"</v>
      </c>
      <c r="P73" t="str" cm="1">
        <f t="array" aca="1" ref="P73" ca="1">CONCATENATE(INDIRECT(ADDRESS(1,16,1,0,"KeySet"),0),":","""",valueMaker!P73,"""")</f>
        <v>bikou:""</v>
      </c>
    </row>
    <row r="74" spans="1:16">
      <c r="A74" t="str" cm="1">
        <f t="array" aca="1" ref="A74" ca="1">CONCATENATE(INDIRECT(ADDRESS(1,1,1,0,"KeySet"),0),":","""",valueMaker!A74,"""")</f>
        <v>kainBangou:"TD10073"</v>
      </c>
      <c r="B74" t="str" cm="1">
        <f t="array" aca="1" ref="B74" ca="1">CONCATENATE(INDIRECT(ADDRESS(1,2,1,0,"KeySet"),0),":","""",valueMaker!B74,"""")</f>
        <v>kainMeiKanji:"何若齊"</v>
      </c>
      <c r="C74" t="str" cm="1">
        <f t="array" aca="1" ref="C74" ca="1">CONCATENATE(INDIRECT(ADDRESS(1,3,1,0,"KeySet"),0),":","""",valueMaker!C74,"""")</f>
        <v>kainMeiKana:"ﾎｰｧ ｩﾙｵ ﾁｲ"</v>
      </c>
      <c r="D74" t="str" cm="1">
        <f t="array" aca="1" ref="D74" ca="1">CONCATENATE(INDIRECT(ADDRESS(1,4,1,0,"KeySet"),0),":","""",valueMaker!D74,"""")</f>
        <v>kainMeiEn:"He Ruo Qi"</v>
      </c>
      <c r="E74" t="str" cm="1">
        <f t="array" aca="1" ref="E74" ca="1">CONCATENATE(INDIRECT(ADDRESS(1,5,1,0,"KeySet"),0),":","""",valueMaker!E74,"""")</f>
        <v>kainGender:"男性"</v>
      </c>
      <c r="F74" t="str" cm="1">
        <f t="array" aca="1" ref="F74" ca="1">CONCATENATE(INDIRECT(ADDRESS(1,6,1,0,"KeySet"),0),":","""",TEXT(valueMaker!F74,"yyyy/m/d"),"""")</f>
        <v>tanjyoubi:"2000/8/20"</v>
      </c>
      <c r="G74" t="str" cm="1">
        <f t="array" aca="1" ref="G74" ca="1">CONCATENATE(INDIRECT(ADDRESS(1,6,1,0,"KeySet"),0),":","""",TEXT(valueMaker!G74,"yyyy/m/d"),"""")</f>
        <v>tanjyoubi:"2021/2/14"</v>
      </c>
      <c r="H74" t="str" cm="1">
        <f t="array" aca="1" ref="H74" ca="1">CONCATENATE(INDIRECT(ADDRESS(1,6,1,0,"KeySet"),0),":","""",TEXT(valueMaker!H74,"yyyy/m/d"),"""")</f>
        <v>tanjyoubi:"2024/2/14"</v>
      </c>
      <c r="I74" t="str" cm="1">
        <f t="array" aca="1" ref="I74" ca="1">CONCATENATE(INDIRECT(ADDRESS(1,9,1,0,"KeySet"),0),":","""",valueMaker!I74,"""")</f>
        <v>denwaBangou:"090-9297-3902"</v>
      </c>
      <c r="J74" t="str" cm="1">
        <f t="array" aca="1" ref="J74" ca="1">CONCATENATE(INDIRECT(ADDRESS(1,10,1,0,"KeySet"),0),":","""",valueMaker!J74,"""")</f>
        <v>mailAddress:"He_Ruo Qi_44241@outlook.jp.co"</v>
      </c>
      <c r="K74" t="str" cm="1">
        <f t="array" aca="1" ref="K74" ca="1">CONCATENATE(INDIRECT(ADDRESS(1,11,1,0,"KeySet"),0),":","""",valueMaker!K74,"""")</f>
        <v>kaninSyubetu:"普通"</v>
      </c>
      <c r="L74" t="str" cm="1">
        <f t="array" aca="1" ref="L74" ca="1">CONCATENATE(INDIRECT(ADDRESS(1,12,1,0,"KeySet"),0),":","""",valueMaker!L74,"""")</f>
        <v>kaninKengenWB:"-"</v>
      </c>
      <c r="M74" t="str" cm="1">
        <f t="array" aca="1" ref="M74" ca="1">CONCATENATE(INDIRECT(ADDRESS(1,13,1,0,"KeySet"),0),":","""",valueMaker!M74,"""")</f>
        <v>wakibiri:"-"</v>
      </c>
      <c r="N74" t="str" cm="1">
        <f t="array" aca="1" ref="N74" ca="1">CONCATENATE(INDIRECT(ADDRESS(1,14,1,0,"KeySet"),0),":","""",valueMaker!N74,"""")</f>
        <v>kaninKengenPoint:"有り"</v>
      </c>
      <c r="O74" t="str" cm="1">
        <f t="array" aca="1" ref="O74" ca="1">CONCATENATE(INDIRECT(ADDRESS(1,15,1,0,"KeySet"),0),":","""",valueMaker!O74,"""")</f>
        <v>point:"832"</v>
      </c>
      <c r="P74" t="str" cm="1">
        <f t="array" aca="1" ref="P74" ca="1">CONCATENATE(INDIRECT(ADDRESS(1,16,1,0,"KeySet"),0),":","""",valueMaker!P74,"""")</f>
        <v>bikou:""</v>
      </c>
    </row>
    <row r="75" spans="1:16">
      <c r="A75" t="str" cm="1">
        <f t="array" aca="1" ref="A75" ca="1">CONCATENATE(INDIRECT(ADDRESS(1,1,1,0,"KeySet"),0),":","""",valueMaker!A75,"""")</f>
        <v>kainBangou:"TD10074"</v>
      </c>
      <c r="B75" t="str" cm="1">
        <f t="array" aca="1" ref="B75" ca="1">CONCATENATE(INDIRECT(ADDRESS(1,2,1,0,"KeySet"),0),":","""",valueMaker!B75,"""")</f>
        <v>kainMeiKanji:"李義朴"</v>
      </c>
      <c r="C75" t="str" cm="1">
        <f t="array" aca="1" ref="C75" ca="1">CONCATENATE(INDIRECT(ADDRESS(1,3,1,0,"KeySet"),0),":","""",valueMaker!C75,"""")</f>
        <v>kainMeiKana:"ﾘｰ ｲｰ ﾌﾟｩ"</v>
      </c>
      <c r="D75" t="str" cm="1">
        <f t="array" aca="1" ref="D75" ca="1">CONCATENATE(INDIRECT(ADDRESS(1,4,1,0,"KeySet"),0),":","""",valueMaker!D75,"""")</f>
        <v>kainMeiEn:"Li Yi Pu"</v>
      </c>
      <c r="E75" t="str" cm="1">
        <f t="array" aca="1" ref="E75" ca="1">CONCATENATE(INDIRECT(ADDRESS(1,5,1,0,"KeySet"),0),":","""",valueMaker!E75,"""")</f>
        <v>kainGender:"女性"</v>
      </c>
      <c r="F75" t="str" cm="1">
        <f t="array" aca="1" ref="F75" ca="1">CONCATENATE(INDIRECT(ADDRESS(1,6,1,0,"KeySet"),0),":","""",TEXT(valueMaker!F75,"yyyy/m/d"),"""")</f>
        <v>tanjyoubi:"1972/8/2"</v>
      </c>
      <c r="G75" t="str" cm="1">
        <f t="array" aca="1" ref="G75" ca="1">CONCATENATE(INDIRECT(ADDRESS(1,6,1,0,"KeySet"),0),":","""",TEXT(valueMaker!G75,"yyyy/m/d"),"""")</f>
        <v>tanjyoubi:"1997/8/11"</v>
      </c>
      <c r="H75" t="str" cm="1">
        <f t="array" aca="1" ref="H75" ca="1">CONCATENATE(INDIRECT(ADDRESS(1,6,1,0,"KeySet"),0),":","""",TEXT(valueMaker!H75,"yyyy/m/d"),"""")</f>
        <v>tanjyoubi:"2000/8/10"</v>
      </c>
      <c r="I75" t="str" cm="1">
        <f t="array" aca="1" ref="I75" ca="1">CONCATENATE(INDIRECT(ADDRESS(1,9,1,0,"KeySet"),0),":","""",valueMaker!I75,"""")</f>
        <v>denwaBangou:"090-8132-1049"</v>
      </c>
      <c r="J75" t="str" cm="1">
        <f t="array" aca="1" ref="J75" ca="1">CONCATENATE(INDIRECT(ADDRESS(1,10,1,0,"KeySet"),0),":","""",valueMaker!J75,"""")</f>
        <v>mailAddress:"Li_Yi Pu_35653@outlook.jp.co"</v>
      </c>
      <c r="K75" t="str" cm="1">
        <f t="array" aca="1" ref="K75" ca="1">CONCATENATE(INDIRECT(ADDRESS(1,11,1,0,"KeySet"),0),":","""",valueMaker!K75,"""")</f>
        <v>kaninSyubetu:"普通"</v>
      </c>
      <c r="L75" t="str" cm="1">
        <f t="array" aca="1" ref="L75" ca="1">CONCATENATE(INDIRECT(ADDRESS(1,12,1,0,"KeySet"),0),":","""",valueMaker!L75,"""")</f>
        <v>kaninKengenWB:"有り"</v>
      </c>
      <c r="M75" t="str" cm="1">
        <f t="array" aca="1" ref="M75" ca="1">CONCATENATE(INDIRECT(ADDRESS(1,13,1,0,"KeySet"),0),":","""",valueMaker!M75,"""")</f>
        <v>wakibiri:"5%"</v>
      </c>
      <c r="N75" t="str" cm="1">
        <f t="array" aca="1" ref="N75" ca="1">CONCATENATE(INDIRECT(ADDRESS(1,14,1,0,"KeySet"),0),":","""",valueMaker!N75,"""")</f>
        <v>kaninKengenPoint:"有り"</v>
      </c>
      <c r="O75" t="str" cm="1">
        <f t="array" aca="1" ref="O75" ca="1">CONCATENATE(INDIRECT(ADDRESS(1,15,1,0,"KeySet"),0),":","""",valueMaker!O75,"""")</f>
        <v>point:"919"</v>
      </c>
      <c r="P75" t="str" cm="1">
        <f t="array" aca="1" ref="P75" ca="1">CONCATENATE(INDIRECT(ADDRESS(1,16,1,0,"KeySet"),0),":","""",valueMaker!P75,"""")</f>
        <v>bikou:""</v>
      </c>
    </row>
    <row r="76" spans="1:16">
      <c r="A76" t="str" cm="1">
        <f t="array" aca="1" ref="A76" ca="1">CONCATENATE(INDIRECT(ADDRESS(1,1,1,0,"KeySet"),0),":","""",valueMaker!A76,"""")</f>
        <v>kainBangou:"TD10075"</v>
      </c>
      <c r="B76" t="str" cm="1">
        <f t="array" aca="1" ref="B76" ca="1">CONCATENATE(INDIRECT(ADDRESS(1,2,1,0,"KeySet"),0),":","""",valueMaker!B76,"""")</f>
        <v>kainMeiKanji:"吳愛巧"</v>
      </c>
      <c r="C76" t="str" cm="1">
        <f t="array" aca="1" ref="C76" ca="1">CONCATENATE(INDIRECT(ADDRESS(1,3,1,0,"KeySet"),0),":","""",valueMaker!C76,"""")</f>
        <v>kainMeiKana:"ｳｰ ｱｲ ﾁﾔｵ"</v>
      </c>
      <c r="D76" t="str" cm="1">
        <f t="array" aca="1" ref="D76" ca="1">CONCATENATE(INDIRECT(ADDRESS(1,4,1,0,"KeySet"),0),":","""",valueMaker!D76,"""")</f>
        <v>kainMeiEn:"Wu Ai Qiao"</v>
      </c>
      <c r="E76" t="str" cm="1">
        <f t="array" aca="1" ref="E76" ca="1">CONCATENATE(INDIRECT(ADDRESS(1,5,1,0,"KeySet"),0),":","""",valueMaker!E76,"""")</f>
        <v>kainGender:"女性"</v>
      </c>
      <c r="F76" t="str" cm="1">
        <f t="array" aca="1" ref="F76" ca="1">CONCATENATE(INDIRECT(ADDRESS(1,6,1,0,"KeySet"),0),":","""",TEXT(valueMaker!F76,"yyyy/m/d"),"""")</f>
        <v>tanjyoubi:"1991/4/25"</v>
      </c>
      <c r="G76" t="str" cm="1">
        <f t="array" aca="1" ref="G76" ca="1">CONCATENATE(INDIRECT(ADDRESS(1,6,1,0,"KeySet"),0),":","""",TEXT(valueMaker!G76,"yyyy/m/d"),"""")</f>
        <v>tanjyoubi:"2022/12/19"</v>
      </c>
      <c r="H76" t="str" cm="1">
        <f t="array" aca="1" ref="H76" ca="1">CONCATENATE(INDIRECT(ADDRESS(1,6,1,0,"KeySet"),0),":","""",TEXT(valueMaker!H76,"yyyy/m/d"),"""")</f>
        <v>tanjyoubi:"2024/12/18"</v>
      </c>
      <c r="I76" t="str" cm="1">
        <f t="array" aca="1" ref="I76" ca="1">CONCATENATE(INDIRECT(ADDRESS(1,9,1,0,"KeySet"),0),":","""",valueMaker!I76,"""")</f>
        <v>denwaBangou:"090-3518-4668"</v>
      </c>
      <c r="J76" t="str" cm="1">
        <f t="array" aca="1" ref="J76" ca="1">CONCATENATE(INDIRECT(ADDRESS(1,10,1,0,"KeySet"),0),":","""",valueMaker!J76,"""")</f>
        <v>mailAddress:"Wu_Ai_Qiao_44914@outlook.jp.co"</v>
      </c>
      <c r="K76" t="str" cm="1">
        <f t="array" aca="1" ref="K76" ca="1">CONCATENATE(INDIRECT(ADDRESS(1,11,1,0,"KeySet"),0),":","""",valueMaker!K76,"""")</f>
        <v>kaninSyubetu:"高級"</v>
      </c>
      <c r="L76" t="str" cm="1">
        <f t="array" aca="1" ref="L76" ca="1">CONCATENATE(INDIRECT(ADDRESS(1,12,1,0,"KeySet"),0),":","""",valueMaker!L76,"""")</f>
        <v>kaninKengenWB:"有り"</v>
      </c>
      <c r="M76" t="str" cm="1">
        <f t="array" aca="1" ref="M76" ca="1">CONCATENATE(INDIRECT(ADDRESS(1,13,1,0,"KeySet"),0),":","""",valueMaker!M76,"""")</f>
        <v>wakibiri:"10%"</v>
      </c>
      <c r="N76" t="str" cm="1">
        <f t="array" aca="1" ref="N76" ca="1">CONCATENATE(INDIRECT(ADDRESS(1,14,1,0,"KeySet"),0),":","""",valueMaker!N76,"""")</f>
        <v>kaninKengenPoint:"有り"</v>
      </c>
      <c r="O76" t="str" cm="1">
        <f t="array" aca="1" ref="O76" ca="1">CONCATENATE(INDIRECT(ADDRESS(1,15,1,0,"KeySet"),0),":","""",valueMaker!O76,"""")</f>
        <v>point:"27"</v>
      </c>
      <c r="P76" t="str" cm="1">
        <f t="array" aca="1" ref="P76" ca="1">CONCATENATE(INDIRECT(ADDRESS(1,16,1,0,"KeySet"),0),":","""",valueMaker!P76,"""")</f>
        <v>bikou:""</v>
      </c>
    </row>
    <row r="77" spans="1:16">
      <c r="A77" t="str" cm="1">
        <f t="array" aca="1" ref="A77" ca="1">CONCATENATE(INDIRECT(ADDRESS(1,1,1,0,"KeySet"),0),":","""",valueMaker!A77,"""")</f>
        <v>kainBangou:"TD10076"</v>
      </c>
      <c r="B77" t="str" cm="1">
        <f t="array" aca="1" ref="B77" ca="1">CONCATENATE(INDIRECT(ADDRESS(1,2,1,0,"KeySet"),0),":","""",valueMaker!B77,"""")</f>
        <v>kainMeiKanji:"楊烈斌"</v>
      </c>
      <c r="C77" t="str" cm="1">
        <f t="array" aca="1" ref="C77" ca="1">CONCATENATE(INDIRECT(ADDRESS(1,3,1,0,"KeySet"),0),":","""",valueMaker!C77,"""")</f>
        <v>kainMeiKana:"ﾔｰﾝ ﾘｴ ﾋﾞﾝ"</v>
      </c>
      <c r="D77" t="str" cm="1">
        <f t="array" aca="1" ref="D77" ca="1">CONCATENATE(INDIRECT(ADDRESS(1,4,1,0,"KeySet"),0),":","""",valueMaker!D77,"""")</f>
        <v>kainMeiEn:"Yang Lie Bin"</v>
      </c>
      <c r="E77" t="str" cm="1">
        <f t="array" aca="1" ref="E77" ca="1">CONCATENATE(INDIRECT(ADDRESS(1,5,1,0,"KeySet"),0),":","""",valueMaker!E77,"""")</f>
        <v>kainGender:"男性"</v>
      </c>
      <c r="F77" t="str" cm="1">
        <f t="array" aca="1" ref="F77" ca="1">CONCATENATE(INDIRECT(ADDRESS(1,6,1,0,"KeySet"),0),":","""",TEXT(valueMaker!F77,"yyyy/m/d"),"""")</f>
        <v>tanjyoubi:"1960/5/23"</v>
      </c>
      <c r="G77" t="str" cm="1">
        <f t="array" aca="1" ref="G77" ca="1">CONCATENATE(INDIRECT(ADDRESS(1,6,1,0,"KeySet"),0),":","""",TEXT(valueMaker!G77,"yyyy/m/d"),"""")</f>
        <v>tanjyoubi:"1992/5/5"</v>
      </c>
      <c r="H77" t="str" cm="1">
        <f t="array" aca="1" ref="H77" ca="1">CONCATENATE(INDIRECT(ADDRESS(1,6,1,0,"KeySet"),0),":","""",TEXT(valueMaker!H77,"yyyy/m/d"),"""")</f>
        <v>tanjyoubi:"1995/5/5"</v>
      </c>
      <c r="I77" t="str" cm="1">
        <f t="array" aca="1" ref="I77" ca="1">CONCATENATE(INDIRECT(ADDRESS(1,9,1,0,"KeySet"),0),":","""",valueMaker!I77,"""")</f>
        <v>denwaBangou:"080-8250-3566"</v>
      </c>
      <c r="J77" t="str" cm="1">
        <f t="array" aca="1" ref="J77" ca="1">CONCATENATE(INDIRECT(ADDRESS(1,10,1,0,"KeySet"),0),":","""",valueMaker!J77,"""")</f>
        <v>mailAddress:"Yang_Lie_Bin_33729@outlook.jp.co"</v>
      </c>
      <c r="K77" t="str" cm="1">
        <f t="array" aca="1" ref="K77" ca="1">CONCATENATE(INDIRECT(ADDRESS(1,11,1,0,"KeySet"),0),":","""",valueMaker!K77,"""")</f>
        <v>kaninSyubetu:"高級"</v>
      </c>
      <c r="L77" t="str" cm="1">
        <f t="array" aca="1" ref="L77" ca="1">CONCATENATE(INDIRECT(ADDRESS(1,12,1,0,"KeySet"),0),":","""",valueMaker!L77,"""")</f>
        <v>kaninKengenWB:"有り"</v>
      </c>
      <c r="M77" t="str" cm="1">
        <f t="array" aca="1" ref="M77" ca="1">CONCATENATE(INDIRECT(ADDRESS(1,13,1,0,"KeySet"),0),":","""",valueMaker!M77,"""")</f>
        <v>wakibiri:"10%"</v>
      </c>
      <c r="N77" t="str" cm="1">
        <f t="array" aca="1" ref="N77" ca="1">CONCATENATE(INDIRECT(ADDRESS(1,14,1,0,"KeySet"),0),":","""",valueMaker!N77,"""")</f>
        <v>kaninKengenPoint:"有り"</v>
      </c>
      <c r="O77" t="str" cm="1">
        <f t="array" aca="1" ref="O77" ca="1">CONCATENATE(INDIRECT(ADDRESS(1,15,1,0,"KeySet"),0),":","""",valueMaker!O77,"""")</f>
        <v>point:"914"</v>
      </c>
      <c r="P77" t="str" cm="1">
        <f t="array" aca="1" ref="P77" ca="1">CONCATENATE(INDIRECT(ADDRESS(1,16,1,0,"KeySet"),0),":","""",valueMaker!P77,"""")</f>
        <v>bikou:""</v>
      </c>
    </row>
    <row r="78" spans="1:16">
      <c r="A78" t="str" cm="1">
        <f t="array" aca="1" ref="A78" ca="1">CONCATENATE(INDIRECT(ADDRESS(1,1,1,0,"KeySet"),0),":","""",valueMaker!A78,"""")</f>
        <v>kainBangou:"TD10077"</v>
      </c>
      <c r="B78" t="str" cm="1">
        <f t="array" aca="1" ref="B78" ca="1">CONCATENATE(INDIRECT(ADDRESS(1,2,1,0,"KeySet"),0),":","""",valueMaker!B78,"""")</f>
        <v>kainMeiKanji:"林慶祖"</v>
      </c>
      <c r="C78" t="str" cm="1">
        <f t="array" aca="1" ref="C78" ca="1">CONCATENATE(INDIRECT(ADDRESS(1,3,1,0,"KeySet"),0),":","""",valueMaker!C78,"""")</f>
        <v>kainMeiKana:"ﾘﾝ ﾁｰﾝ ｽﾞｩ"</v>
      </c>
      <c r="D78" t="str" cm="1">
        <f t="array" aca="1" ref="D78" ca="1">CONCATENATE(INDIRECT(ADDRESS(1,4,1,0,"KeySet"),0),":","""",valueMaker!D78,"""")</f>
        <v>kainMeiEn:"Lin Qing Zu"</v>
      </c>
      <c r="E78" t="str" cm="1">
        <f t="array" aca="1" ref="E78" ca="1">CONCATENATE(INDIRECT(ADDRESS(1,5,1,0,"KeySet"),0),":","""",valueMaker!E78,"""")</f>
        <v>kainGender:"-"</v>
      </c>
      <c r="F78" t="str" cm="1">
        <f t="array" aca="1" ref="F78" ca="1">CONCATENATE(INDIRECT(ADDRESS(1,6,1,0,"KeySet"),0),":","""",TEXT(valueMaker!F78,"yyyy/m/d"),"""")</f>
        <v>tanjyoubi:"1982/5/10"</v>
      </c>
      <c r="G78" t="str" cm="1">
        <f t="array" aca="1" ref="G78" ca="1">CONCATENATE(INDIRECT(ADDRESS(1,6,1,0,"KeySet"),0),":","""",TEXT(valueMaker!G78,"yyyy/m/d"),"""")</f>
        <v>tanjyoubi:"2007/3/24"</v>
      </c>
      <c r="H78" t="str" cm="1">
        <f t="array" aca="1" ref="H78" ca="1">CONCATENATE(INDIRECT(ADDRESS(1,6,1,0,"KeySet"),0),":","""",TEXT(valueMaker!H78,"yyyy/m/d"),"""")</f>
        <v>tanjyoubi:"2010/3/23"</v>
      </c>
      <c r="I78" t="str" cm="1">
        <f t="array" aca="1" ref="I78" ca="1">CONCATENATE(INDIRECT(ADDRESS(1,9,1,0,"KeySet"),0),":","""",valueMaker!I78,"""")</f>
        <v>denwaBangou:"090-9740-4035"</v>
      </c>
      <c r="J78" t="str" cm="1">
        <f t="array" aca="1" ref="J78" ca="1">CONCATENATE(INDIRECT(ADDRESS(1,10,1,0,"KeySet"),0),":","""",valueMaker!J78,"""")</f>
        <v>mailAddress:"Lin_Qing_Zu_39165@outlook.jp.co"</v>
      </c>
      <c r="K78" t="str" cm="1">
        <f t="array" aca="1" ref="K78" ca="1">CONCATENATE(INDIRECT(ADDRESS(1,11,1,0,"KeySet"),0),":","""",valueMaker!K78,"""")</f>
        <v>kaninSyubetu:"普通"</v>
      </c>
      <c r="L78" t="str" cm="1">
        <f t="array" aca="1" ref="L78" ca="1">CONCATENATE(INDIRECT(ADDRESS(1,12,1,0,"KeySet"),0),":","""",valueMaker!L78,"""")</f>
        <v>kaninKengenWB:"有り"</v>
      </c>
      <c r="M78" t="str" cm="1">
        <f t="array" aca="1" ref="M78" ca="1">CONCATENATE(INDIRECT(ADDRESS(1,13,1,0,"KeySet"),0),":","""",valueMaker!M78,"""")</f>
        <v>wakibiri:"5%"</v>
      </c>
      <c r="N78" t="str" cm="1">
        <f t="array" aca="1" ref="N78" ca="1">CONCATENATE(INDIRECT(ADDRESS(1,14,1,0,"KeySet"),0),":","""",valueMaker!N78,"""")</f>
        <v>kaninKengenPoint:"有り"</v>
      </c>
      <c r="O78" t="str" cm="1">
        <f t="array" aca="1" ref="O78" ca="1">CONCATENATE(INDIRECT(ADDRESS(1,15,1,0,"KeySet"),0),":","""",valueMaker!O78,"""")</f>
        <v>point:"833"</v>
      </c>
      <c r="P78" t="str" cm="1">
        <f t="array" aca="1" ref="P78" ca="1">CONCATENATE(INDIRECT(ADDRESS(1,16,1,0,"KeySet"),0),":","""",valueMaker!P78,"""")</f>
        <v>bikou:""</v>
      </c>
    </row>
    <row r="79" spans="1:16">
      <c r="A79" t="str" cm="1">
        <f t="array" aca="1" ref="A79" ca="1">CONCATENATE(INDIRECT(ADDRESS(1,1,1,0,"KeySet"),0),":","""",valueMaker!A79,"""")</f>
        <v>kainBangou:"TD10078"</v>
      </c>
      <c r="B79" t="str" cm="1">
        <f t="array" aca="1" ref="B79" ca="1">CONCATENATE(INDIRECT(ADDRESS(1,2,1,0,"KeySet"),0),":","""",valueMaker!B79,"""")</f>
        <v>kainMeiKanji:"唐益希"</v>
      </c>
      <c r="C79" t="str" cm="1">
        <f t="array" aca="1" ref="C79" ca="1">CONCATENATE(INDIRECT(ADDRESS(1,3,1,0,"KeySet"),0),":","""",valueMaker!C79,"""")</f>
        <v>kainMeiKana:"ﾀｰﾝ ｲｰ ｼｲ"</v>
      </c>
      <c r="D79" t="str" cm="1">
        <f t="array" aca="1" ref="D79" ca="1">CONCATENATE(INDIRECT(ADDRESS(1,4,1,0,"KeySet"),0),":","""",valueMaker!D79,"""")</f>
        <v>kainMeiEn:"Tang Yi Xi"</v>
      </c>
      <c r="E79" t="str" cm="1">
        <f t="array" aca="1" ref="E79" ca="1">CONCATENATE(INDIRECT(ADDRESS(1,5,1,0,"KeySet"),0),":","""",valueMaker!E79,"""")</f>
        <v>kainGender:"女性"</v>
      </c>
      <c r="F79" t="str" cm="1">
        <f t="array" aca="1" ref="F79" ca="1">CONCATENATE(INDIRECT(ADDRESS(1,6,1,0,"KeySet"),0),":","""",TEXT(valueMaker!F79,"yyyy/m/d"),"""")</f>
        <v>tanjyoubi:"1964/6/28"</v>
      </c>
      <c r="G79" t="str" cm="1">
        <f t="array" aca="1" ref="G79" ca="1">CONCATENATE(INDIRECT(ADDRESS(1,6,1,0,"KeySet"),0),":","""",TEXT(valueMaker!G79,"yyyy/m/d"),"""")</f>
        <v>tanjyoubi:"2012/9/16"</v>
      </c>
      <c r="H79" t="str" cm="1">
        <f t="array" aca="1" ref="H79" ca="1">CONCATENATE(INDIRECT(ADDRESS(1,6,1,0,"KeySet"),0),":","""",TEXT(valueMaker!H79,"yyyy/m/d"),"""")</f>
        <v>tanjyoubi:"2014/9/16"</v>
      </c>
      <c r="I79" t="str" cm="1">
        <f t="array" aca="1" ref="I79" ca="1">CONCATENATE(INDIRECT(ADDRESS(1,9,1,0,"KeySet"),0),":","""",valueMaker!I79,"""")</f>
        <v>denwaBangou:"090-3866-2818"</v>
      </c>
      <c r="J79" t="str" cm="1">
        <f t="array" aca="1" ref="J79" ca="1">CONCATENATE(INDIRECT(ADDRESS(1,10,1,0,"KeySet"),0),":","""",valueMaker!J79,"""")</f>
        <v>mailAddress:"Tang_Yi_Xi_41168@outlook.jp.co"</v>
      </c>
      <c r="K79" t="str" cm="1">
        <f t="array" aca="1" ref="K79" ca="1">CONCATENATE(INDIRECT(ADDRESS(1,11,1,0,"KeySet"),0),":","""",valueMaker!K79,"""")</f>
        <v>kaninSyubetu:"普通"</v>
      </c>
      <c r="L79" t="str" cm="1">
        <f t="array" aca="1" ref="L79" ca="1">CONCATENATE(INDIRECT(ADDRESS(1,12,1,0,"KeySet"),0),":","""",valueMaker!L79,"""")</f>
        <v>kaninKengenWB:"有り"</v>
      </c>
      <c r="M79" t="str" cm="1">
        <f t="array" aca="1" ref="M79" ca="1">CONCATENATE(INDIRECT(ADDRESS(1,13,1,0,"KeySet"),0),":","""",valueMaker!M79,"""")</f>
        <v>wakibiri:"5%"</v>
      </c>
      <c r="N79" t="str" cm="1">
        <f t="array" aca="1" ref="N79" ca="1">CONCATENATE(INDIRECT(ADDRESS(1,14,1,0,"KeySet"),0),":","""",valueMaker!N79,"""")</f>
        <v>kaninKengenPoint:"有り"</v>
      </c>
      <c r="O79" t="str" cm="1">
        <f t="array" aca="1" ref="O79" ca="1">CONCATENATE(INDIRECT(ADDRESS(1,15,1,0,"KeySet"),0),":","""",valueMaker!O79,"""")</f>
        <v>point:"584"</v>
      </c>
      <c r="P79" t="str" cm="1">
        <f t="array" aca="1" ref="P79" ca="1">CONCATENATE(INDIRECT(ADDRESS(1,16,1,0,"KeySet"),0),":","""",valueMaker!P79,"""")</f>
        <v>bikou:""</v>
      </c>
    </row>
    <row r="80" spans="1:16">
      <c r="A80" t="str" cm="1">
        <f t="array" aca="1" ref="A80" ca="1">CONCATENATE(INDIRECT(ADDRESS(1,1,1,0,"KeySet"),0),":","""",valueMaker!A80,"""")</f>
        <v>kainBangou:"TD10079"</v>
      </c>
      <c r="B80" t="str" cm="1">
        <f t="array" aca="1" ref="B80" ca="1">CONCATENATE(INDIRECT(ADDRESS(1,2,1,0,"KeySet"),0),":","""",valueMaker!B80,"""")</f>
        <v>kainMeiKanji:"高萬斌"</v>
      </c>
      <c r="C80" t="str" cm="1">
        <f t="array" aca="1" ref="C80" ca="1">CONCATENATE(INDIRECT(ADDRESS(1,3,1,0,"KeySet"),0),":","""",valueMaker!C80,"""")</f>
        <v>kainMeiKana:"ｶﾞｵ ﾜﾝ ﾋﾞﾝ"</v>
      </c>
      <c r="D80" t="str" cm="1">
        <f t="array" aca="1" ref="D80" ca="1">CONCATENATE(INDIRECT(ADDRESS(1,4,1,0,"KeySet"),0),":","""",valueMaker!D80,"""")</f>
        <v>kainMeiEn:"Gao Wan Bin"</v>
      </c>
      <c r="E80" t="str" cm="1">
        <f t="array" aca="1" ref="E80" ca="1">CONCATENATE(INDIRECT(ADDRESS(1,5,1,0,"KeySet"),0),":","""",valueMaker!E80,"""")</f>
        <v>kainGender:"女性"</v>
      </c>
      <c r="F80" t="str" cm="1">
        <f t="array" aca="1" ref="F80" ca="1">CONCATENATE(INDIRECT(ADDRESS(1,6,1,0,"KeySet"),0),":","""",TEXT(valueMaker!F80,"yyyy/m/d"),"""")</f>
        <v>tanjyoubi:"1977/2/27"</v>
      </c>
      <c r="G80" t="str" cm="1">
        <f t="array" aca="1" ref="G80" ca="1">CONCATENATE(INDIRECT(ADDRESS(1,6,1,0,"KeySet"),0),":","""",TEXT(valueMaker!G80,"yyyy/m/d"),"""")</f>
        <v>tanjyoubi:"2006/10/26"</v>
      </c>
      <c r="H80" t="str" cm="1">
        <f t="array" aca="1" ref="H80" ca="1">CONCATENATE(INDIRECT(ADDRESS(1,6,1,0,"KeySet"),0),":","""",TEXT(valueMaker!H80,"yyyy/m/d"),"""")</f>
        <v>tanjyoubi:"2009/10/25"</v>
      </c>
      <c r="I80" t="str" cm="1">
        <f t="array" aca="1" ref="I80" ca="1">CONCATENATE(INDIRECT(ADDRESS(1,9,1,0,"KeySet"),0),":","""",valueMaker!I80,"""")</f>
        <v>denwaBangou:"080-3051-2658"</v>
      </c>
      <c r="J80" t="str" cm="1">
        <f t="array" aca="1" ref="J80" ca="1">CONCATENATE(INDIRECT(ADDRESS(1,10,1,0,"KeySet"),0),":","""",valueMaker!J80,"""")</f>
        <v>mailAddress:"Gao_Wan_Bin_39016@outlook.jp.co"</v>
      </c>
      <c r="K80" t="str" cm="1">
        <f t="array" aca="1" ref="K80" ca="1">CONCATENATE(INDIRECT(ADDRESS(1,11,1,0,"KeySet"),0),":","""",valueMaker!K80,"""")</f>
        <v>kaninSyubetu:"普通"</v>
      </c>
      <c r="L80" t="str" cm="1">
        <f t="array" aca="1" ref="L80" ca="1">CONCATENATE(INDIRECT(ADDRESS(1,12,1,0,"KeySet"),0),":","""",valueMaker!L80,"""")</f>
        <v>kaninKengenWB:"有り"</v>
      </c>
      <c r="M80" t="str" cm="1">
        <f t="array" aca="1" ref="M80" ca="1">CONCATENATE(INDIRECT(ADDRESS(1,13,1,0,"KeySet"),0),":","""",valueMaker!M80,"""")</f>
        <v>wakibiri:"5%"</v>
      </c>
      <c r="N80" t="str" cm="1">
        <f t="array" aca="1" ref="N80" ca="1">CONCATENATE(INDIRECT(ADDRESS(1,14,1,0,"KeySet"),0),":","""",valueMaker!N80,"""")</f>
        <v>kaninKengenPoint:"有り"</v>
      </c>
      <c r="O80" t="str" cm="1">
        <f t="array" aca="1" ref="O80" ca="1">CONCATENATE(INDIRECT(ADDRESS(1,15,1,0,"KeySet"),0),":","""",valueMaker!O80,"""")</f>
        <v>point:"288"</v>
      </c>
      <c r="P80" t="str" cm="1">
        <f t="array" aca="1" ref="P80" ca="1">CONCATENATE(INDIRECT(ADDRESS(1,16,1,0,"KeySet"),0),":","""",valueMaker!P80,"""")</f>
        <v>bikou:""</v>
      </c>
    </row>
    <row r="81" spans="1:16">
      <c r="A81" t="str" cm="1">
        <f t="array" aca="1" ref="A81" ca="1">CONCATENATE(INDIRECT(ADDRESS(1,1,1,0,"KeySet"),0),":","""",valueMaker!A81,"""")</f>
        <v>kainBangou:"TD10080"</v>
      </c>
      <c r="B81" t="str" cm="1">
        <f t="array" aca="1" ref="B81" ca="1">CONCATENATE(INDIRECT(ADDRESS(1,2,1,0,"KeySet"),0),":","""",valueMaker!B81,"""")</f>
        <v>kainMeiKanji:"陳衛影"</v>
      </c>
      <c r="C81" t="str" cm="1">
        <f t="array" aca="1" ref="C81" ca="1">CONCATENATE(INDIRECT(ADDRESS(1,3,1,0,"KeySet"),0),":","""",valueMaker!C81,"""")</f>
        <v>kainMeiKana:"ﾁｪﾝ ｳｴｲ ｲｰﾝ"</v>
      </c>
      <c r="D81" t="str" cm="1">
        <f t="array" aca="1" ref="D81" ca="1">CONCATENATE(INDIRECT(ADDRESS(1,4,1,0,"KeySet"),0),":","""",valueMaker!D81,"""")</f>
        <v>kainMeiEn:"Chen Wei Ying"</v>
      </c>
      <c r="E81" t="str" cm="1">
        <f t="array" aca="1" ref="E81" ca="1">CONCATENATE(INDIRECT(ADDRESS(1,5,1,0,"KeySet"),0),":","""",valueMaker!E81,"""")</f>
        <v>kainGender:"-"</v>
      </c>
      <c r="F81" t="str" cm="1">
        <f t="array" aca="1" ref="F81" ca="1">CONCATENATE(INDIRECT(ADDRESS(1,6,1,0,"KeySet"),0),":","""",TEXT(valueMaker!F81,"yyyy/m/d"),"""")</f>
        <v>tanjyoubi:"1982/7/29"</v>
      </c>
      <c r="G81" t="str" cm="1">
        <f t="array" aca="1" ref="G81" ca="1">CONCATENATE(INDIRECT(ADDRESS(1,6,1,0,"KeySet"),0),":","""",TEXT(valueMaker!G81,"yyyy/m/d"),"""")</f>
        <v>tanjyoubi:"2017/2/26"</v>
      </c>
      <c r="H81" t="str" cm="1">
        <f t="array" aca="1" ref="H81" ca="1">CONCATENATE(INDIRECT(ADDRESS(1,6,1,0,"KeySet"),0),":","""",TEXT(valueMaker!H81,"yyyy/m/d"),"""")</f>
        <v>tanjyoubi:"2020/2/26"</v>
      </c>
      <c r="I81" t="str" cm="1">
        <f t="array" aca="1" ref="I81" ca="1">CONCATENATE(INDIRECT(ADDRESS(1,9,1,0,"KeySet"),0),":","""",valueMaker!I81,"""")</f>
        <v>denwaBangou:"080-2754-9791"</v>
      </c>
      <c r="J81" t="str" cm="1">
        <f t="array" aca="1" ref="J81" ca="1">CONCATENATE(INDIRECT(ADDRESS(1,10,1,0,"KeySet"),0),":","""",valueMaker!J81,"""")</f>
        <v>mailAddress:"Chen_Wei_Ying_42792@outlook.jp.co"</v>
      </c>
      <c r="K81" t="str" cm="1">
        <f t="array" aca="1" ref="K81" ca="1">CONCATENATE(INDIRECT(ADDRESS(1,11,1,0,"KeySet"),0),":","""",valueMaker!K81,"""")</f>
        <v>kaninSyubetu:"高級"</v>
      </c>
      <c r="L81" t="str" cm="1">
        <f t="array" aca="1" ref="L81" ca="1">CONCATENATE(INDIRECT(ADDRESS(1,12,1,0,"KeySet"),0),":","""",valueMaker!L81,"""")</f>
        <v>kaninKengenWB:"有り"</v>
      </c>
      <c r="M81" t="str" cm="1">
        <f t="array" aca="1" ref="M81" ca="1">CONCATENATE(INDIRECT(ADDRESS(1,13,1,0,"KeySet"),0),":","""",valueMaker!M81,"""")</f>
        <v>wakibiri:"10%"</v>
      </c>
      <c r="N81" t="str" cm="1">
        <f t="array" aca="1" ref="N81" ca="1">CONCATENATE(INDIRECT(ADDRESS(1,14,1,0,"KeySet"),0),":","""",valueMaker!N81,"""")</f>
        <v>kaninKengenPoint:"有り"</v>
      </c>
      <c r="O81" t="str" cm="1">
        <f t="array" aca="1" ref="O81" ca="1">CONCATENATE(INDIRECT(ADDRESS(1,15,1,0,"KeySet"),0),":","""",valueMaker!O81,"""")</f>
        <v>point:"963"</v>
      </c>
      <c r="P81" t="str" cm="1">
        <f t="array" aca="1" ref="P81" ca="1">CONCATENATE(INDIRECT(ADDRESS(1,16,1,0,"KeySet"),0),":","""",valueMaker!P81,"""")</f>
        <v>bikou:""</v>
      </c>
    </row>
    <row r="82" spans="1:16">
      <c r="A82" t="str" cm="1">
        <f t="array" aca="1" ref="A82" ca="1">CONCATENATE(INDIRECT(ADDRESS(1,1,1,0,"KeySet"),0),":","""",valueMaker!A82,"""")</f>
        <v>kainBangou:"TD10081"</v>
      </c>
      <c r="B82" t="str" cm="1">
        <f t="array" aca="1" ref="B82" ca="1">CONCATENATE(INDIRECT(ADDRESS(1,2,1,0,"KeySet"),0),":","""",valueMaker!B82,"""")</f>
        <v>kainMeiKanji:"何時素"</v>
      </c>
      <c r="C82" t="str" cm="1">
        <f t="array" aca="1" ref="C82" ca="1">CONCATENATE(INDIRECT(ADDRESS(1,3,1,0,"KeySet"),0),":","""",valueMaker!C82,"""")</f>
        <v>kainMeiKana:"ﾎｰｧ ｼｰ ｽｩ"</v>
      </c>
      <c r="D82" t="str" cm="1">
        <f t="array" aca="1" ref="D82" ca="1">CONCATENATE(INDIRECT(ADDRESS(1,4,1,0,"KeySet"),0),":","""",valueMaker!D82,"""")</f>
        <v>kainMeiEn:"He Shi Su"</v>
      </c>
      <c r="E82" t="str" cm="1">
        <f t="array" aca="1" ref="E82" ca="1">CONCATENATE(INDIRECT(ADDRESS(1,5,1,0,"KeySet"),0),":","""",valueMaker!E82,"""")</f>
        <v>kainGender:"男性"</v>
      </c>
      <c r="F82" t="str" cm="1">
        <f t="array" aca="1" ref="F82" ca="1">CONCATENATE(INDIRECT(ADDRESS(1,6,1,0,"KeySet"),0),":","""",TEXT(valueMaker!F82,"yyyy/m/d"),"""")</f>
        <v>tanjyoubi:"1966/12/29"</v>
      </c>
      <c r="G82" t="str" cm="1">
        <f t="array" aca="1" ref="G82" ca="1">CONCATENATE(INDIRECT(ADDRESS(1,6,1,0,"KeySet"),0),":","""",TEXT(valueMaker!G82,"yyyy/m/d"),"""")</f>
        <v>tanjyoubi:"1990/9/17"</v>
      </c>
      <c r="H82" t="str" cm="1">
        <f t="array" aca="1" ref="H82" ca="1">CONCATENATE(INDIRECT(ADDRESS(1,6,1,0,"KeySet"),0),":","""",TEXT(valueMaker!H82,"yyyy/m/d"),"""")</f>
        <v>tanjyoubi:"1993/9/16"</v>
      </c>
      <c r="I82" t="str" cm="1">
        <f t="array" aca="1" ref="I82" ca="1">CONCATENATE(INDIRECT(ADDRESS(1,9,1,0,"KeySet"),0),":","""",valueMaker!I82,"""")</f>
        <v>denwaBangou:"090-9384-3685"</v>
      </c>
      <c r="J82" t="str" cm="1">
        <f t="array" aca="1" ref="J82" ca="1">CONCATENATE(INDIRECT(ADDRESS(1,10,1,0,"KeySet"),0),":","""",valueMaker!J82,"""")</f>
        <v>mailAddress:"He_Shi_Su_33133@outlook.jp.co"</v>
      </c>
      <c r="K82" t="str" cm="1">
        <f t="array" aca="1" ref="K82" ca="1">CONCATENATE(INDIRECT(ADDRESS(1,11,1,0,"KeySet"),0),":","""",valueMaker!K82,"""")</f>
        <v>kaninSyubetu:"普通"</v>
      </c>
      <c r="L82" t="str" cm="1">
        <f t="array" aca="1" ref="L82" ca="1">CONCATENATE(INDIRECT(ADDRESS(1,12,1,0,"KeySet"),0),":","""",valueMaker!L82,"""")</f>
        <v>kaninKengenWB:"有り"</v>
      </c>
      <c r="M82" t="str" cm="1">
        <f t="array" aca="1" ref="M82" ca="1">CONCATENATE(INDIRECT(ADDRESS(1,13,1,0,"KeySet"),0),":","""",valueMaker!M82,"""")</f>
        <v>wakibiri:"5%"</v>
      </c>
      <c r="N82" t="str" cm="1">
        <f t="array" aca="1" ref="N82" ca="1">CONCATENATE(INDIRECT(ADDRESS(1,14,1,0,"KeySet"),0),":","""",valueMaker!N82,"""")</f>
        <v>kaninKengenPoint:"有り"</v>
      </c>
      <c r="O82" t="str" cm="1">
        <f t="array" aca="1" ref="O82" ca="1">CONCATENATE(INDIRECT(ADDRESS(1,15,1,0,"KeySet"),0),":","""",valueMaker!O82,"""")</f>
        <v>point:"573"</v>
      </c>
      <c r="P82" t="str" cm="1">
        <f t="array" aca="1" ref="P82" ca="1">CONCATENATE(INDIRECT(ADDRESS(1,16,1,0,"KeySet"),0),":","""",valueMaker!P82,"""")</f>
        <v>bikou:""</v>
      </c>
    </row>
    <row r="83" spans="1:16">
      <c r="A83" t="str" cm="1">
        <f t="array" aca="1" ref="A83" ca="1">CONCATENATE(INDIRECT(ADDRESS(1,1,1,0,"KeySet"),0),":","""",valueMaker!A83,"""")</f>
        <v>kainBangou:"TD10082"</v>
      </c>
      <c r="B83" t="str" cm="1">
        <f t="array" aca="1" ref="B83" ca="1">CONCATENATE(INDIRECT(ADDRESS(1,2,1,0,"KeySet"),0),":","""",valueMaker!B83,"""")</f>
        <v>kainMeiKanji:"謝藍尚"</v>
      </c>
      <c r="C83" t="str" cm="1">
        <f t="array" aca="1" ref="C83" ca="1">CONCATENATE(INDIRECT(ADDRESS(1,3,1,0,"KeySet"),0),":","""",valueMaker!C83,"""")</f>
        <v>kainMeiKana:"ｼｴ ﾗﾝ ｼｬｰﾝ"</v>
      </c>
      <c r="D83" t="str" cm="1">
        <f t="array" aca="1" ref="D83" ca="1">CONCATENATE(INDIRECT(ADDRESS(1,4,1,0,"KeySet"),0),":","""",valueMaker!D83,"""")</f>
        <v>kainMeiEn:"Xie Lan Shang"</v>
      </c>
      <c r="E83" t="str" cm="1">
        <f t="array" aca="1" ref="E83" ca="1">CONCATENATE(INDIRECT(ADDRESS(1,5,1,0,"KeySet"),0),":","""",valueMaker!E83,"""")</f>
        <v>kainGender:"女性"</v>
      </c>
      <c r="F83" t="str" cm="1">
        <f t="array" aca="1" ref="F83" ca="1">CONCATENATE(INDIRECT(ADDRESS(1,6,1,0,"KeySet"),0),":","""",TEXT(valueMaker!F83,"yyyy/m/d"),"""")</f>
        <v>tanjyoubi:"2005/7/11"</v>
      </c>
      <c r="G83" t="str" cm="1">
        <f t="array" aca="1" ref="G83" ca="1">CONCATENATE(INDIRECT(ADDRESS(1,6,1,0,"KeySet"),0),":","""",TEXT(valueMaker!G83,"yyyy/m/d"),"""")</f>
        <v>tanjyoubi:"2024/5/5"</v>
      </c>
      <c r="H83" t="str" cm="1">
        <f t="array" aca="1" ref="H83" ca="1">CONCATENATE(INDIRECT(ADDRESS(1,6,1,0,"KeySet"),0),":","""",TEXT(valueMaker!H83,"yyyy/m/d"),"""")</f>
        <v>tanjyoubi:"2026/5/5"</v>
      </c>
      <c r="I83" t="str" cm="1">
        <f t="array" aca="1" ref="I83" ca="1">CONCATENATE(INDIRECT(ADDRESS(1,9,1,0,"KeySet"),0),":","""",valueMaker!I83,"""")</f>
        <v>denwaBangou:"090-1750-1479"</v>
      </c>
      <c r="J83" t="str" cm="1">
        <f t="array" aca="1" ref="J83" ca="1">CONCATENATE(INDIRECT(ADDRESS(1,10,1,0,"KeySet"),0),":","""",valueMaker!J83,"""")</f>
        <v>mailAddress:"Xie_Lan_Shang_45417@outlook.jp.co"</v>
      </c>
      <c r="K83" t="str" cm="1">
        <f t="array" aca="1" ref="K83" ca="1">CONCATENATE(INDIRECT(ADDRESS(1,11,1,0,"KeySet"),0),":","""",valueMaker!K83,"""")</f>
        <v>kaninSyubetu:"高級"</v>
      </c>
      <c r="L83" t="str" cm="1">
        <f t="array" aca="1" ref="L83" ca="1">CONCATENATE(INDIRECT(ADDRESS(1,12,1,0,"KeySet"),0),":","""",valueMaker!L83,"""")</f>
        <v>kaninKengenWB:"有り"</v>
      </c>
      <c r="M83" t="str" cm="1">
        <f t="array" aca="1" ref="M83" ca="1">CONCATENATE(INDIRECT(ADDRESS(1,13,1,0,"KeySet"),0),":","""",valueMaker!M83,"""")</f>
        <v>wakibiri:"10%"</v>
      </c>
      <c r="N83" t="str" cm="1">
        <f t="array" aca="1" ref="N83" ca="1">CONCATENATE(INDIRECT(ADDRESS(1,14,1,0,"KeySet"),0),":","""",valueMaker!N83,"""")</f>
        <v>kaninKengenPoint:"有り"</v>
      </c>
      <c r="O83" t="str" cm="1">
        <f t="array" aca="1" ref="O83" ca="1">CONCATENATE(INDIRECT(ADDRESS(1,15,1,0,"KeySet"),0),":","""",valueMaker!O83,"""")</f>
        <v>point:"5"</v>
      </c>
      <c r="P83" t="str" cm="1">
        <f t="array" aca="1" ref="P83" ca="1">CONCATENATE(INDIRECT(ADDRESS(1,16,1,0,"KeySet"),0),":","""",valueMaker!P83,"""")</f>
        <v>bikou:""</v>
      </c>
    </row>
    <row r="84" spans="1:16">
      <c r="A84" t="str" cm="1">
        <f t="array" aca="1" ref="A84" ca="1">CONCATENATE(INDIRECT(ADDRESS(1,1,1,0,"KeySet"),0),":","""",valueMaker!A84,"""")</f>
        <v>kainBangou:"TD10083"</v>
      </c>
      <c r="B84" t="str" cm="1">
        <f t="array" aca="1" ref="B84" ca="1">CONCATENATE(INDIRECT(ADDRESS(1,2,1,0,"KeySet"),0),":","""",valueMaker!B84,"""")</f>
        <v>kainMeiKanji:"陳意昌"</v>
      </c>
      <c r="C84" t="str" cm="1">
        <f t="array" aca="1" ref="C84" ca="1">CONCATENATE(INDIRECT(ADDRESS(1,3,1,0,"KeySet"),0),":","""",valueMaker!C84,"""")</f>
        <v>kainMeiKana:"ﾁｪﾝ ｲｰ ﾁｬｰﾝ"</v>
      </c>
      <c r="D84" t="str" cm="1">
        <f t="array" aca="1" ref="D84" ca="1">CONCATENATE(INDIRECT(ADDRESS(1,4,1,0,"KeySet"),0),":","""",valueMaker!D84,"""")</f>
        <v>kainMeiEn:"Chen Yi Chang"</v>
      </c>
      <c r="E84" t="str" cm="1">
        <f t="array" aca="1" ref="E84" ca="1">CONCATENATE(INDIRECT(ADDRESS(1,5,1,0,"KeySet"),0),":","""",valueMaker!E84,"""")</f>
        <v>kainGender:"女性"</v>
      </c>
      <c r="F84" t="str" cm="1">
        <f t="array" aca="1" ref="F84" ca="1">CONCATENATE(INDIRECT(ADDRESS(1,6,1,0,"KeySet"),0),":","""",TEXT(valueMaker!F84,"yyyy/m/d"),"""")</f>
        <v>tanjyoubi:"1979/7/26"</v>
      </c>
      <c r="G84" t="str" cm="1">
        <f t="array" aca="1" ref="G84" ca="1">CONCATENATE(INDIRECT(ADDRESS(1,6,1,0,"KeySet"),0),":","""",TEXT(valueMaker!G84,"yyyy/m/d"),"""")</f>
        <v>tanjyoubi:"2004/2/24"</v>
      </c>
      <c r="H84" t="str" cm="1">
        <f t="array" aca="1" ref="H84" ca="1">CONCATENATE(INDIRECT(ADDRESS(1,6,1,0,"KeySet"),0),":","""",TEXT(valueMaker!H84,"yyyy/m/d"),"""")</f>
        <v>tanjyoubi:"2005/2/23"</v>
      </c>
      <c r="I84" t="str" cm="1">
        <f t="array" aca="1" ref="I84" ca="1">CONCATENATE(INDIRECT(ADDRESS(1,9,1,0,"KeySet"),0),":","""",valueMaker!I84,"""")</f>
        <v>denwaBangou:"090-3287-0457"</v>
      </c>
      <c r="J84" t="str" cm="1">
        <f t="array" aca="1" ref="J84" ca="1">CONCATENATE(INDIRECT(ADDRESS(1,10,1,0,"KeySet"),0),":","""",valueMaker!J84,"""")</f>
        <v>mailAddress:"Chen_Yi_Chang_38041@outlook.jp.co"</v>
      </c>
      <c r="K84" t="str" cm="1">
        <f t="array" aca="1" ref="K84" ca="1">CONCATENATE(INDIRECT(ADDRESS(1,11,1,0,"KeySet"),0),":","""",valueMaker!K84,"""")</f>
        <v>kaninSyubetu:"高級"</v>
      </c>
      <c r="L84" t="str" cm="1">
        <f t="array" aca="1" ref="L84" ca="1">CONCATENATE(INDIRECT(ADDRESS(1,12,1,0,"KeySet"),0),":","""",valueMaker!L84,"""")</f>
        <v>kaninKengenWB:"有り"</v>
      </c>
      <c r="M84" t="str" cm="1">
        <f t="array" aca="1" ref="M84" ca="1">CONCATENATE(INDIRECT(ADDRESS(1,13,1,0,"KeySet"),0),":","""",valueMaker!M84,"""")</f>
        <v>wakibiri:"10%"</v>
      </c>
      <c r="N84" t="str" cm="1">
        <f t="array" aca="1" ref="N84" ca="1">CONCATENATE(INDIRECT(ADDRESS(1,14,1,0,"KeySet"),0),":","""",valueMaker!N84,"""")</f>
        <v>kaninKengenPoint:"-"</v>
      </c>
      <c r="O84" t="str" cm="1">
        <f t="array" aca="1" ref="O84" ca="1">CONCATENATE(INDIRECT(ADDRESS(1,15,1,0,"KeySet"),0),":","""",valueMaker!O84,"""")</f>
        <v>point:"-"</v>
      </c>
      <c r="P84" t="str" cm="1">
        <f t="array" aca="1" ref="P84" ca="1">CONCATENATE(INDIRECT(ADDRESS(1,16,1,0,"KeySet"),0),":","""",valueMaker!P84,"""")</f>
        <v>bikou:""</v>
      </c>
    </row>
    <row r="85" spans="1:16">
      <c r="A85" t="str" cm="1">
        <f t="array" aca="1" ref="A85" ca="1">CONCATENATE(INDIRECT(ADDRESS(1,1,1,0,"KeySet"),0),":","""",valueMaker!A85,"""")</f>
        <v>kainBangou:"TD10084"</v>
      </c>
      <c r="B85" t="str" cm="1">
        <f t="array" aca="1" ref="B85" ca="1">CONCATENATE(INDIRECT(ADDRESS(1,2,1,0,"KeySet"),0),":","""",valueMaker!B85,"""")</f>
        <v>kainMeiKanji:"宋詠星"</v>
      </c>
      <c r="C85" t="str" cm="1">
        <f t="array" aca="1" ref="C85" ca="1">CONCATENATE(INDIRECT(ADDRESS(1,3,1,0,"KeySet"),0),":","""",valueMaker!C85,"""")</f>
        <v>kainMeiKana:"ｿｰﾝ ﾖｰﾝ ｼｰﾝ"</v>
      </c>
      <c r="D85" t="str" cm="1">
        <f t="array" aca="1" ref="D85" ca="1">CONCATENATE(INDIRECT(ADDRESS(1,4,1,0,"KeySet"),0),":","""",valueMaker!D85,"""")</f>
        <v>kainMeiEn:"Song Yong Xing"</v>
      </c>
      <c r="E85" t="str" cm="1">
        <f t="array" aca="1" ref="E85" ca="1">CONCATENATE(INDIRECT(ADDRESS(1,5,1,0,"KeySet"),0),":","""",valueMaker!E85,"""")</f>
        <v>kainGender:"男性"</v>
      </c>
      <c r="F85" t="str" cm="1">
        <f t="array" aca="1" ref="F85" ca="1">CONCATENATE(INDIRECT(ADDRESS(1,6,1,0,"KeySet"),0),":","""",TEXT(valueMaker!F85,"yyyy/m/d"),"""")</f>
        <v>tanjyoubi:"1989/7/14"</v>
      </c>
      <c r="G85" t="str" cm="1">
        <f t="array" aca="1" ref="G85" ca="1">CONCATENATE(INDIRECT(ADDRESS(1,6,1,0,"KeySet"),0),":","""",TEXT(valueMaker!G85,"yyyy/m/d"),"""")</f>
        <v>tanjyoubi:"2014/12/28"</v>
      </c>
      <c r="H85" t="str" cm="1">
        <f t="array" aca="1" ref="H85" ca="1">CONCATENATE(INDIRECT(ADDRESS(1,6,1,0,"KeySet"),0),":","""",TEXT(valueMaker!H85,"yyyy/m/d"),"""")</f>
        <v>tanjyoubi:"2015/12/28"</v>
      </c>
      <c r="I85" t="str" cm="1">
        <f t="array" aca="1" ref="I85" ca="1">CONCATENATE(INDIRECT(ADDRESS(1,9,1,0,"KeySet"),0),":","""",valueMaker!I85,"""")</f>
        <v>denwaBangou:"080-2786-5523"</v>
      </c>
      <c r="J85" t="str" cm="1">
        <f t="array" aca="1" ref="J85" ca="1">CONCATENATE(INDIRECT(ADDRESS(1,10,1,0,"KeySet"),0),":","""",valueMaker!J85,"""")</f>
        <v>mailAddress:"Song_Yong_Xing_42001@outlook.jp.co"</v>
      </c>
      <c r="K85" t="str" cm="1">
        <f t="array" aca="1" ref="K85" ca="1">CONCATENATE(INDIRECT(ADDRESS(1,11,1,0,"KeySet"),0),":","""",valueMaker!K85,"""")</f>
        <v>kaninSyubetu:"普通"</v>
      </c>
      <c r="L85" t="str" cm="1">
        <f t="array" aca="1" ref="L85" ca="1">CONCATENATE(INDIRECT(ADDRESS(1,12,1,0,"KeySet"),0),":","""",valueMaker!L85,"""")</f>
        <v>kaninKengenWB:"-"</v>
      </c>
      <c r="M85" t="str" cm="1">
        <f t="array" aca="1" ref="M85" ca="1">CONCATENATE(INDIRECT(ADDRESS(1,13,1,0,"KeySet"),0),":","""",valueMaker!M85,"""")</f>
        <v>wakibiri:"-"</v>
      </c>
      <c r="N85" t="str" cm="1">
        <f t="array" aca="1" ref="N85" ca="1">CONCATENATE(INDIRECT(ADDRESS(1,14,1,0,"KeySet"),0),":","""",valueMaker!N85,"""")</f>
        <v>kaninKengenPoint:"-"</v>
      </c>
      <c r="O85" t="str" cm="1">
        <f t="array" aca="1" ref="O85" ca="1">CONCATENATE(INDIRECT(ADDRESS(1,15,1,0,"KeySet"),0),":","""",valueMaker!O85,"""")</f>
        <v>point:"-"</v>
      </c>
      <c r="P85" t="str" cm="1">
        <f t="array" aca="1" ref="P85" ca="1">CONCATENATE(INDIRECT(ADDRESS(1,16,1,0,"KeySet"),0),":","""",valueMaker!P85,"""")</f>
        <v>bikou:""</v>
      </c>
    </row>
    <row r="86" spans="1:16">
      <c r="A86" t="str" cm="1">
        <f t="array" aca="1" ref="A86" ca="1">CONCATENATE(INDIRECT(ADDRESS(1,1,1,0,"KeySet"),0),":","""",valueMaker!A86,"""")</f>
        <v>kainBangou:"TD10085"</v>
      </c>
      <c r="B86" t="str" cm="1">
        <f t="array" aca="1" ref="B86" ca="1">CONCATENATE(INDIRECT(ADDRESS(1,2,1,0,"KeySet"),0),":","""",valueMaker!B86,"""")</f>
        <v>kainMeiKanji:"劉華瑋"</v>
      </c>
      <c r="C86" t="str" cm="1">
        <f t="array" aca="1" ref="C86" ca="1">CONCATENATE(INDIRECT(ADDRESS(1,3,1,0,"KeySet"),0),":","""",valueMaker!C86,"""")</f>
        <v>kainMeiKana:"ﾘｳ ﾎﾜ ｳｴｲ"</v>
      </c>
      <c r="D86" t="str" cm="1">
        <f t="array" aca="1" ref="D86" ca="1">CONCATENATE(INDIRECT(ADDRESS(1,4,1,0,"KeySet"),0),":","""",valueMaker!D86,"""")</f>
        <v>kainMeiEn:"Liu Hua Wei"</v>
      </c>
      <c r="E86" t="str" cm="1">
        <f t="array" aca="1" ref="E86" ca="1">CONCATENATE(INDIRECT(ADDRESS(1,5,1,0,"KeySet"),0),":","""",valueMaker!E86,"""")</f>
        <v>kainGender:"女性"</v>
      </c>
      <c r="F86" t="str" cm="1">
        <f t="array" aca="1" ref="F86" ca="1">CONCATENATE(INDIRECT(ADDRESS(1,6,1,0,"KeySet"),0),":","""",TEXT(valueMaker!F86,"yyyy/m/d"),"""")</f>
        <v>tanjyoubi:"1960/4/22"</v>
      </c>
      <c r="G86" t="str" cm="1">
        <f t="array" aca="1" ref="G86" ca="1">CONCATENATE(INDIRECT(ADDRESS(1,6,1,0,"KeySet"),0),":","""",TEXT(valueMaker!G86,"yyyy/m/d"),"""")</f>
        <v>tanjyoubi:"1978/8/15"</v>
      </c>
      <c r="H86" t="str" cm="1">
        <f t="array" aca="1" ref="H86" ca="1">CONCATENATE(INDIRECT(ADDRESS(1,6,1,0,"KeySet"),0),":","""",TEXT(valueMaker!H86,"yyyy/m/d"),"""")</f>
        <v>tanjyoubi:"1979/8/15"</v>
      </c>
      <c r="I86" t="str" cm="1">
        <f t="array" aca="1" ref="I86" ca="1">CONCATENATE(INDIRECT(ADDRESS(1,9,1,0,"KeySet"),0),":","""",valueMaker!I86,"""")</f>
        <v>denwaBangou:"090-8385-4623"</v>
      </c>
      <c r="J86" t="str" cm="1">
        <f t="array" aca="1" ref="J86" ca="1">CONCATENATE(INDIRECT(ADDRESS(1,10,1,0,"KeySet"),0),":","""",valueMaker!J86,"""")</f>
        <v>mailAddress:"Liu_Hua_Wei_28717@outlook.jp.co"</v>
      </c>
      <c r="K86" t="str" cm="1">
        <f t="array" aca="1" ref="K86" ca="1">CONCATENATE(INDIRECT(ADDRESS(1,11,1,0,"KeySet"),0),":","""",valueMaker!K86,"""")</f>
        <v>kaninSyubetu:"高級"</v>
      </c>
      <c r="L86" t="str" cm="1">
        <f t="array" aca="1" ref="L86" ca="1">CONCATENATE(INDIRECT(ADDRESS(1,12,1,0,"KeySet"),0),":","""",valueMaker!L86,"""")</f>
        <v>kaninKengenWB:"有り"</v>
      </c>
      <c r="M86" t="str" cm="1">
        <f t="array" aca="1" ref="M86" ca="1">CONCATENATE(INDIRECT(ADDRESS(1,13,1,0,"KeySet"),0),":","""",valueMaker!M86,"""")</f>
        <v>wakibiri:"10%"</v>
      </c>
      <c r="N86" t="str" cm="1">
        <f t="array" aca="1" ref="N86" ca="1">CONCATENATE(INDIRECT(ADDRESS(1,14,1,0,"KeySet"),0),":","""",valueMaker!N86,"""")</f>
        <v>kaninKengenPoint:"有り"</v>
      </c>
      <c r="O86" t="str" cm="1">
        <f t="array" aca="1" ref="O86" ca="1">CONCATENATE(INDIRECT(ADDRESS(1,15,1,0,"KeySet"),0),":","""",valueMaker!O86,"""")</f>
        <v>point:"430"</v>
      </c>
      <c r="P86" t="str" cm="1">
        <f t="array" aca="1" ref="P86" ca="1">CONCATENATE(INDIRECT(ADDRESS(1,16,1,0,"KeySet"),0),":","""",valueMaker!P86,"""")</f>
        <v>bikou:""</v>
      </c>
    </row>
    <row r="87" spans="1:16">
      <c r="A87" t="str" cm="1">
        <f t="array" aca="1" ref="A87" ca="1">CONCATENATE(INDIRECT(ADDRESS(1,1,1,0,"KeySet"),0),":","""",valueMaker!A87,"""")</f>
        <v>kainBangou:"TD10086"</v>
      </c>
      <c r="B87" t="str" cm="1">
        <f t="array" aca="1" ref="B87" ca="1">CONCATENATE(INDIRECT(ADDRESS(1,2,1,0,"KeySet"),0),":","""",valueMaker!B87,"""")</f>
        <v>kainMeiKanji:"郭忠博"</v>
      </c>
      <c r="C87" t="str" cm="1">
        <f t="array" aca="1" ref="C87" ca="1">CONCATENATE(INDIRECT(ADDRESS(1,3,1,0,"KeySet"),0),":","""",valueMaker!C87,"""")</f>
        <v>kainMeiKana:"ｸﾞｵ ｼﾞｮｰﾝ ﾎﾞｰ"</v>
      </c>
      <c r="D87" t="str" cm="1">
        <f t="array" aca="1" ref="D87" ca="1">CONCATENATE(INDIRECT(ADDRESS(1,4,1,0,"KeySet"),0),":","""",valueMaker!D87,"""")</f>
        <v>kainMeiEn:"Guo Zhong Bo"</v>
      </c>
      <c r="E87" t="str" cm="1">
        <f t="array" aca="1" ref="E87" ca="1">CONCATENATE(INDIRECT(ADDRESS(1,5,1,0,"KeySet"),0),":","""",valueMaker!E87,"""")</f>
        <v>kainGender:"-"</v>
      </c>
      <c r="F87" t="str" cm="1">
        <f t="array" aca="1" ref="F87" ca="1">CONCATENATE(INDIRECT(ADDRESS(1,6,1,0,"KeySet"),0),":","""",TEXT(valueMaker!F87,"yyyy/m/d"),"""")</f>
        <v>tanjyoubi:"1979/7/14"</v>
      </c>
      <c r="G87" t="str" cm="1">
        <f t="array" aca="1" ref="G87" ca="1">CONCATENATE(INDIRECT(ADDRESS(1,6,1,0,"KeySet"),0),":","""",TEXT(valueMaker!G87,"yyyy/m/d"),"""")</f>
        <v>tanjyoubi:"2001/12/11"</v>
      </c>
      <c r="H87" t="str" cm="1">
        <f t="array" aca="1" ref="H87" ca="1">CONCATENATE(INDIRECT(ADDRESS(1,6,1,0,"KeySet"),0),":","""",TEXT(valueMaker!H87,"yyyy/m/d"),"""")</f>
        <v>tanjyoubi:"2003/12/11"</v>
      </c>
      <c r="I87" t="str" cm="1">
        <f t="array" aca="1" ref="I87" ca="1">CONCATENATE(INDIRECT(ADDRESS(1,9,1,0,"KeySet"),0),":","""",valueMaker!I87,"""")</f>
        <v>denwaBangou:"080-7436-9549"</v>
      </c>
      <c r="J87" t="str" cm="1">
        <f t="array" aca="1" ref="J87" ca="1">CONCATENATE(INDIRECT(ADDRESS(1,10,1,0,"KeySet"),0),":","""",valueMaker!J87,"""")</f>
        <v>mailAddress:"Guo_Zhong_Bo_37236@outlook.jp.co"</v>
      </c>
      <c r="K87" t="str" cm="1">
        <f t="array" aca="1" ref="K87" ca="1">CONCATENATE(INDIRECT(ADDRESS(1,11,1,0,"KeySet"),0),":","""",valueMaker!K87,"""")</f>
        <v>kaninSyubetu:"高級"</v>
      </c>
      <c r="L87" t="str" cm="1">
        <f t="array" aca="1" ref="L87" ca="1">CONCATENATE(INDIRECT(ADDRESS(1,12,1,0,"KeySet"),0),":","""",valueMaker!L87,"""")</f>
        <v>kaninKengenWB:"有り"</v>
      </c>
      <c r="M87" t="str" cm="1">
        <f t="array" aca="1" ref="M87" ca="1">CONCATENATE(INDIRECT(ADDRESS(1,13,1,0,"KeySet"),0),":","""",valueMaker!M87,"""")</f>
        <v>wakibiri:"10%"</v>
      </c>
      <c r="N87" t="str" cm="1">
        <f t="array" aca="1" ref="N87" ca="1">CONCATENATE(INDIRECT(ADDRESS(1,14,1,0,"KeySet"),0),":","""",valueMaker!N87,"""")</f>
        <v>kaninKengenPoint:"有り"</v>
      </c>
      <c r="O87" t="str" cm="1">
        <f t="array" aca="1" ref="O87" ca="1">CONCATENATE(INDIRECT(ADDRESS(1,15,1,0,"KeySet"),0),":","""",valueMaker!O87,"""")</f>
        <v>point:"730"</v>
      </c>
      <c r="P87" t="str" cm="1">
        <f t="array" aca="1" ref="P87" ca="1">CONCATENATE(INDIRECT(ADDRESS(1,16,1,0,"KeySet"),0),":","""",valueMaker!P87,"""")</f>
        <v>bikou:""</v>
      </c>
    </row>
    <row r="88" spans="1:16">
      <c r="A88" t="str" cm="1">
        <f t="array" aca="1" ref="A88" ca="1">CONCATENATE(INDIRECT(ADDRESS(1,1,1,0,"KeySet"),0),":","""",valueMaker!A88,"""")</f>
        <v>kainBangou:"TD10087"</v>
      </c>
      <c r="B88" t="str" cm="1">
        <f t="array" aca="1" ref="B88" ca="1">CONCATENATE(INDIRECT(ADDRESS(1,2,1,0,"KeySet"),0),":","""",valueMaker!B88,"""")</f>
        <v>kainMeiKanji:"韓克升"</v>
      </c>
      <c r="C88" t="str" cm="1">
        <f t="array" aca="1" ref="C88" ca="1">CONCATENATE(INDIRECT(ADDRESS(1,3,1,0,"KeySet"),0),":","""",valueMaker!C88,"""")</f>
        <v>kainMeiKana:"ﾊﾝ ｺｰｧ ｼｭﾖﾝ"</v>
      </c>
      <c r="D88" t="str" cm="1">
        <f t="array" aca="1" ref="D88" ca="1">CONCATENATE(INDIRECT(ADDRESS(1,4,1,0,"KeySet"),0),":","""",valueMaker!D88,"""")</f>
        <v>kainMeiEn:"Han Ke Sheng"</v>
      </c>
      <c r="E88" t="str" cm="1">
        <f t="array" aca="1" ref="E88" ca="1">CONCATENATE(INDIRECT(ADDRESS(1,5,1,0,"KeySet"),0),":","""",valueMaker!E88,"""")</f>
        <v>kainGender:"女性"</v>
      </c>
      <c r="F88" t="str" cm="1">
        <f t="array" aca="1" ref="F88" ca="1">CONCATENATE(INDIRECT(ADDRESS(1,6,1,0,"KeySet"),0),":","""",TEXT(valueMaker!F88,"yyyy/m/d"),"""")</f>
        <v>tanjyoubi:"1969/9/26"</v>
      </c>
      <c r="G88" t="str" cm="1">
        <f t="array" aca="1" ref="G88" ca="1">CONCATENATE(INDIRECT(ADDRESS(1,6,1,0,"KeySet"),0),":","""",TEXT(valueMaker!G88,"yyyy/m/d"),"""")</f>
        <v>tanjyoubi:"1997/6/18"</v>
      </c>
      <c r="H88" t="str" cm="1">
        <f t="array" aca="1" ref="H88" ca="1">CONCATENATE(INDIRECT(ADDRESS(1,6,1,0,"KeySet"),0),":","""",TEXT(valueMaker!H88,"yyyy/m/d"),"""")</f>
        <v>tanjyoubi:"1998/6/18"</v>
      </c>
      <c r="I88" t="str" cm="1">
        <f t="array" aca="1" ref="I88" ca="1">CONCATENATE(INDIRECT(ADDRESS(1,9,1,0,"KeySet"),0),":","""",valueMaker!I88,"""")</f>
        <v>denwaBangou:"090-9201-0930"</v>
      </c>
      <c r="J88" t="str" cm="1">
        <f t="array" aca="1" ref="J88" ca="1">CONCATENATE(INDIRECT(ADDRESS(1,10,1,0,"KeySet"),0),":","""",valueMaker!J88,"""")</f>
        <v>mailAddress:"Han_Ke_Sheng_35599@outlook.jp.co"</v>
      </c>
      <c r="K88" t="str" cm="1">
        <f t="array" aca="1" ref="K88" ca="1">CONCATENATE(INDIRECT(ADDRESS(1,11,1,0,"KeySet"),0),":","""",valueMaker!K88,"""")</f>
        <v>kaninSyubetu:"高級"</v>
      </c>
      <c r="L88" t="str" cm="1">
        <f t="array" aca="1" ref="L88" ca="1">CONCATENATE(INDIRECT(ADDRESS(1,12,1,0,"KeySet"),0),":","""",valueMaker!L88,"""")</f>
        <v>kaninKengenWB:"有り"</v>
      </c>
      <c r="M88" t="str" cm="1">
        <f t="array" aca="1" ref="M88" ca="1">CONCATENATE(INDIRECT(ADDRESS(1,13,1,0,"KeySet"),0),":","""",valueMaker!M88,"""")</f>
        <v>wakibiri:"10%"</v>
      </c>
      <c r="N88" t="str" cm="1">
        <f t="array" aca="1" ref="N88" ca="1">CONCATENATE(INDIRECT(ADDRESS(1,14,1,0,"KeySet"),0),":","""",valueMaker!N88,"""")</f>
        <v>kaninKengenPoint:"有り"</v>
      </c>
      <c r="O88" t="str" cm="1">
        <f t="array" aca="1" ref="O88" ca="1">CONCATENATE(INDIRECT(ADDRESS(1,15,1,0,"KeySet"),0),":","""",valueMaker!O88,"""")</f>
        <v>point:"489"</v>
      </c>
      <c r="P88" t="str" cm="1">
        <f t="array" aca="1" ref="P88" ca="1">CONCATENATE(INDIRECT(ADDRESS(1,16,1,0,"KeySet"),0),":","""",valueMaker!P88,"""")</f>
        <v>bikou:""</v>
      </c>
    </row>
    <row r="89" spans="1:16">
      <c r="A89" t="str" cm="1">
        <f t="array" aca="1" ref="A89" ca="1">CONCATENATE(INDIRECT(ADDRESS(1,1,1,0,"KeySet"),0),":","""",valueMaker!A89,"""")</f>
        <v>kainBangou:"TD10088"</v>
      </c>
      <c r="B89" t="str" cm="1">
        <f t="array" aca="1" ref="B89" ca="1">CONCATENATE(INDIRECT(ADDRESS(1,2,1,0,"KeySet"),0),":","""",valueMaker!B89,"""")</f>
        <v>kainMeiKanji:"黃渝虹"</v>
      </c>
      <c r="C89" t="str" cm="1">
        <f t="array" aca="1" ref="C89" ca="1">CONCATENATE(INDIRECT(ADDRESS(1,3,1,0,"KeySet"),0),":","""",valueMaker!C89,"""")</f>
        <v>kainMeiKana:"ﾎﾜｰﾝ ﾕｲ ﾎｰﾝ"</v>
      </c>
      <c r="D89" t="str" cm="1">
        <f t="array" aca="1" ref="D89" ca="1">CONCATENATE(INDIRECT(ADDRESS(1,4,1,0,"KeySet"),0),":","""",valueMaker!D89,"""")</f>
        <v>kainMeiEn:"Huang Yu Hong"</v>
      </c>
      <c r="E89" t="str" cm="1">
        <f t="array" aca="1" ref="E89" ca="1">CONCATENATE(INDIRECT(ADDRESS(1,5,1,0,"KeySet"),0),":","""",valueMaker!E89,"""")</f>
        <v>kainGender:"女性"</v>
      </c>
      <c r="F89" t="str" cm="1">
        <f t="array" aca="1" ref="F89" ca="1">CONCATENATE(INDIRECT(ADDRESS(1,6,1,0,"KeySet"),0),":","""",TEXT(valueMaker!F89,"yyyy/m/d"),"""")</f>
        <v>tanjyoubi:"2003/7/2"</v>
      </c>
      <c r="G89" t="str" cm="1">
        <f t="array" aca="1" ref="G89" ca="1">CONCATENATE(INDIRECT(ADDRESS(1,6,1,0,"KeySet"),0),":","""",TEXT(valueMaker!G89,"yyyy/m/d"),"""")</f>
        <v>tanjyoubi:"2022/11/12"</v>
      </c>
      <c r="H89" t="str" cm="1">
        <f t="array" aca="1" ref="H89" ca="1">CONCATENATE(INDIRECT(ADDRESS(1,6,1,0,"KeySet"),0),":","""",TEXT(valueMaker!H89,"yyyy/m/d"),"""")</f>
        <v>tanjyoubi:"2024/11/11"</v>
      </c>
      <c r="I89" t="str" cm="1">
        <f t="array" aca="1" ref="I89" ca="1">CONCATENATE(INDIRECT(ADDRESS(1,9,1,0,"KeySet"),0),":","""",valueMaker!I89,"""")</f>
        <v>denwaBangou:"090-2728-2636"</v>
      </c>
      <c r="J89" t="str" cm="1">
        <f t="array" aca="1" ref="J89" ca="1">CONCATENATE(INDIRECT(ADDRESS(1,10,1,0,"KeySet"),0),":","""",valueMaker!J89,"""")</f>
        <v>mailAddress:"Huang_Yu Hong_44877@outlook.jp.co"</v>
      </c>
      <c r="K89" t="str" cm="1">
        <f t="array" aca="1" ref="K89" ca="1">CONCATENATE(INDIRECT(ADDRESS(1,11,1,0,"KeySet"),0),":","""",valueMaker!K89,"""")</f>
        <v>kaninSyubetu:"普通"</v>
      </c>
      <c r="L89" t="str" cm="1">
        <f t="array" aca="1" ref="L89" ca="1">CONCATENATE(INDIRECT(ADDRESS(1,12,1,0,"KeySet"),0),":","""",valueMaker!L89,"""")</f>
        <v>kaninKengenWB:"有り"</v>
      </c>
      <c r="M89" t="str" cm="1">
        <f t="array" aca="1" ref="M89" ca="1">CONCATENATE(INDIRECT(ADDRESS(1,13,1,0,"KeySet"),0),":","""",valueMaker!M89,"""")</f>
        <v>wakibiri:"5%"</v>
      </c>
      <c r="N89" t="str" cm="1">
        <f t="array" aca="1" ref="N89" ca="1">CONCATENATE(INDIRECT(ADDRESS(1,14,1,0,"KeySet"),0),":","""",valueMaker!N89,"""")</f>
        <v>kaninKengenPoint:"有り"</v>
      </c>
      <c r="O89" t="str" cm="1">
        <f t="array" aca="1" ref="O89" ca="1">CONCATENATE(INDIRECT(ADDRESS(1,15,1,0,"KeySet"),0),":","""",valueMaker!O89,"""")</f>
        <v>point:"643"</v>
      </c>
      <c r="P89" t="str" cm="1">
        <f t="array" aca="1" ref="P89" ca="1">CONCATENATE(INDIRECT(ADDRESS(1,16,1,0,"KeySet"),0),":","""",valueMaker!P89,"""")</f>
        <v>bikou:""</v>
      </c>
    </row>
    <row r="90" spans="1:16">
      <c r="A90" t="str" cm="1">
        <f t="array" aca="1" ref="A90" ca="1">CONCATENATE(INDIRECT(ADDRESS(1,1,1,0,"KeySet"),0),":","""",valueMaker!A90,"""")</f>
        <v>kainBangou:"TD10089"</v>
      </c>
      <c r="B90" t="str" cm="1">
        <f t="array" aca="1" ref="B90" ca="1">CONCATENATE(INDIRECT(ADDRESS(1,2,1,0,"KeySet"),0),":","""",valueMaker!B90,"""")</f>
        <v>kainMeiKanji:"趙系迅"</v>
      </c>
      <c r="C90" t="str" cm="1">
        <f t="array" aca="1" ref="C90" ca="1">CONCATENATE(INDIRECT(ADDRESS(1,3,1,0,"KeySet"),0),":","""",valueMaker!C90,"""")</f>
        <v>kainMeiKana:"ｼﾞｬｵ ｼｲ ｼｭｲﾝ"</v>
      </c>
      <c r="D90" t="str" cm="1">
        <f t="array" aca="1" ref="D90" ca="1">CONCATENATE(INDIRECT(ADDRESS(1,4,1,0,"KeySet"),0),":","""",valueMaker!D90,"""")</f>
        <v>kainMeiEn:"Zhao Xi Xun"</v>
      </c>
      <c r="E90" t="str" cm="1">
        <f t="array" aca="1" ref="E90" ca="1">CONCATENATE(INDIRECT(ADDRESS(1,5,1,0,"KeySet"),0),":","""",valueMaker!E90,"""")</f>
        <v>kainGender:"男性"</v>
      </c>
      <c r="F90" t="str" cm="1">
        <f t="array" aca="1" ref="F90" ca="1">CONCATENATE(INDIRECT(ADDRESS(1,6,1,0,"KeySet"),0),":","""",TEXT(valueMaker!F90,"yyyy/m/d"),"""")</f>
        <v>tanjyoubi:"1991/5/26"</v>
      </c>
      <c r="G90" t="str" cm="1">
        <f t="array" aca="1" ref="G90" ca="1">CONCATENATE(INDIRECT(ADDRESS(1,6,1,0,"KeySet"),0),":","""",TEXT(valueMaker!G90,"yyyy/m/d"),"""")</f>
        <v>tanjyoubi:"2021/4/7"</v>
      </c>
      <c r="H90" t="str" cm="1">
        <f t="array" aca="1" ref="H90" ca="1">CONCATENATE(INDIRECT(ADDRESS(1,6,1,0,"KeySet"),0),":","""",TEXT(valueMaker!H90,"yyyy/m/d"),"""")</f>
        <v>tanjyoubi:"2022/4/7"</v>
      </c>
      <c r="I90" t="str" cm="1">
        <f t="array" aca="1" ref="I90" ca="1">CONCATENATE(INDIRECT(ADDRESS(1,9,1,0,"KeySet"),0),":","""",valueMaker!I90,"""")</f>
        <v>denwaBangou:"080-4307-3239"</v>
      </c>
      <c r="J90" t="str" cm="1">
        <f t="array" aca="1" ref="J90" ca="1">CONCATENATE(INDIRECT(ADDRESS(1,10,1,0,"KeySet"),0),":","""",valueMaker!J90,"""")</f>
        <v>mailAddress:"Zhao_Xi Xun_44293@outlook.jp.co"</v>
      </c>
      <c r="K90" t="str" cm="1">
        <f t="array" aca="1" ref="K90" ca="1">CONCATENATE(INDIRECT(ADDRESS(1,11,1,0,"KeySet"),0),":","""",valueMaker!K90,"""")</f>
        <v>kaninSyubetu:"高級"</v>
      </c>
      <c r="L90" t="str" cm="1">
        <f t="array" aca="1" ref="L90" ca="1">CONCATENATE(INDIRECT(ADDRESS(1,12,1,0,"KeySet"),0),":","""",valueMaker!L90,"""")</f>
        <v>kaninKengenWB:"有り"</v>
      </c>
      <c r="M90" t="str" cm="1">
        <f t="array" aca="1" ref="M90" ca="1">CONCATENATE(INDIRECT(ADDRESS(1,13,1,0,"KeySet"),0),":","""",valueMaker!M90,"""")</f>
        <v>wakibiri:"10%"</v>
      </c>
      <c r="N90" t="str" cm="1">
        <f t="array" aca="1" ref="N90" ca="1">CONCATENATE(INDIRECT(ADDRESS(1,14,1,0,"KeySet"),0),":","""",valueMaker!N90,"""")</f>
        <v>kaninKengenPoint:"-"</v>
      </c>
      <c r="O90" t="str" cm="1">
        <f t="array" aca="1" ref="O90" ca="1">CONCATENATE(INDIRECT(ADDRESS(1,15,1,0,"KeySet"),0),":","""",valueMaker!O90,"""")</f>
        <v>point:"-"</v>
      </c>
      <c r="P90" t="str" cm="1">
        <f t="array" aca="1" ref="P90" ca="1">CONCATENATE(INDIRECT(ADDRESS(1,16,1,0,"KeySet"),0),":","""",valueMaker!P90,"""")</f>
        <v>bikou:""</v>
      </c>
    </row>
    <row r="91" spans="1:16">
      <c r="A91" t="str" cm="1">
        <f t="array" aca="1" ref="A91" ca="1">CONCATENATE(INDIRECT(ADDRESS(1,1,1,0,"KeySet"),0),":","""",valueMaker!A91,"""")</f>
        <v>kainBangou:"TD10090"</v>
      </c>
      <c r="B91" t="str" cm="1">
        <f t="array" aca="1" ref="B91" ca="1">CONCATENATE(INDIRECT(ADDRESS(1,2,1,0,"KeySet"),0),":","""",valueMaker!B91,"""")</f>
        <v>kainMeiKanji:"林聆實"</v>
      </c>
      <c r="C91" t="str" cm="1">
        <f t="array" aca="1" ref="C91" ca="1">CONCATENATE(INDIRECT(ADDRESS(1,3,1,0,"KeySet"),0),":","""",valueMaker!C91,"""")</f>
        <v>kainMeiKana:"ﾘﾝ ﾘｰﾝ ｼｰ"</v>
      </c>
      <c r="D91" t="str" cm="1">
        <f t="array" aca="1" ref="D91" ca="1">CONCATENATE(INDIRECT(ADDRESS(1,4,1,0,"KeySet"),0),":","""",valueMaker!D91,"""")</f>
        <v>kainMeiEn:"Lin Ling Shi"</v>
      </c>
      <c r="E91" t="str" cm="1">
        <f t="array" aca="1" ref="E91" ca="1">CONCATENATE(INDIRECT(ADDRESS(1,5,1,0,"KeySet"),0),":","""",valueMaker!E91,"""")</f>
        <v>kainGender:"女性"</v>
      </c>
      <c r="F91" t="str" cm="1">
        <f t="array" aca="1" ref="F91" ca="1">CONCATENATE(INDIRECT(ADDRESS(1,6,1,0,"KeySet"),0),":","""",TEXT(valueMaker!F91,"yyyy/m/d"),"""")</f>
        <v>tanjyoubi:"1997/11/13"</v>
      </c>
      <c r="G91" t="str" cm="1">
        <f t="array" aca="1" ref="G91" ca="1">CONCATENATE(INDIRECT(ADDRESS(1,6,1,0,"KeySet"),0),":","""",TEXT(valueMaker!G91,"yyyy/m/d"),"""")</f>
        <v>tanjyoubi:"2023/4/15"</v>
      </c>
      <c r="H91" t="str" cm="1">
        <f t="array" aca="1" ref="H91" ca="1">CONCATENATE(INDIRECT(ADDRESS(1,6,1,0,"KeySet"),0),":","""",TEXT(valueMaker!H91,"yyyy/m/d"),"""")</f>
        <v>tanjyoubi:"2024/4/14"</v>
      </c>
      <c r="I91" t="str" cm="1">
        <f t="array" aca="1" ref="I91" ca="1">CONCATENATE(INDIRECT(ADDRESS(1,9,1,0,"KeySet"),0),":","""",valueMaker!I91,"""")</f>
        <v>denwaBangou:"080-7155-2048"</v>
      </c>
      <c r="J91" t="str" cm="1">
        <f t="array" aca="1" ref="J91" ca="1">CONCATENATE(INDIRECT(ADDRESS(1,10,1,0,"KeySet"),0),":","""",valueMaker!J91,"""")</f>
        <v>mailAddress:"Lin_Ling_Shi_45031@outlook.jp.co"</v>
      </c>
      <c r="K91" t="str" cm="1">
        <f t="array" aca="1" ref="K91" ca="1">CONCATENATE(INDIRECT(ADDRESS(1,11,1,0,"KeySet"),0),":","""",valueMaker!K91,"""")</f>
        <v>kaninSyubetu:"普通"</v>
      </c>
      <c r="L91" t="str" cm="1">
        <f t="array" aca="1" ref="L91" ca="1">CONCATENATE(INDIRECT(ADDRESS(1,12,1,0,"KeySet"),0),":","""",valueMaker!L91,"""")</f>
        <v>kaninKengenWB:"-"</v>
      </c>
      <c r="M91" t="str" cm="1">
        <f t="array" aca="1" ref="M91" ca="1">CONCATENATE(INDIRECT(ADDRESS(1,13,1,0,"KeySet"),0),":","""",valueMaker!M91,"""")</f>
        <v>wakibiri:"-"</v>
      </c>
      <c r="N91" t="str" cm="1">
        <f t="array" aca="1" ref="N91" ca="1">CONCATENATE(INDIRECT(ADDRESS(1,14,1,0,"KeySet"),0),":","""",valueMaker!N91,"""")</f>
        <v>kaninKengenPoint:"有り"</v>
      </c>
      <c r="O91" t="str" cm="1">
        <f t="array" aca="1" ref="O91" ca="1">CONCATENATE(INDIRECT(ADDRESS(1,15,1,0,"KeySet"),0),":","""",valueMaker!O91,"""")</f>
        <v>point:"332"</v>
      </c>
      <c r="P91" t="str" cm="1">
        <f t="array" aca="1" ref="P91" ca="1">CONCATENATE(INDIRECT(ADDRESS(1,16,1,0,"KeySet"),0),":","""",valueMaker!P91,"""")</f>
        <v>bikou:""</v>
      </c>
    </row>
    <row r="92" spans="1:16">
      <c r="A92" t="str" cm="1">
        <f t="array" aca="1" ref="A92" ca="1">CONCATENATE(INDIRECT(ADDRESS(1,1,1,0,"KeySet"),0),":","""",valueMaker!A92,"""")</f>
        <v>kainBangou:"TD10091"</v>
      </c>
      <c r="B92" t="str" cm="1">
        <f t="array" aca="1" ref="B92" ca="1">CONCATENATE(INDIRECT(ADDRESS(1,2,1,0,"KeySet"),0),":","""",valueMaker!B92,"""")</f>
        <v>kainMeiKanji:"高綸網"</v>
      </c>
      <c r="C92" t="str" cm="1">
        <f t="array" aca="1" ref="C92" ca="1">CONCATENATE(INDIRECT(ADDRESS(1,3,1,0,"KeySet"),0),":","""",valueMaker!C92,"""")</f>
        <v>kainMeiKana:"ｶﾞｵ ﾙﾝ ﾜｰﾝ"</v>
      </c>
      <c r="D92" t="str" cm="1">
        <f t="array" aca="1" ref="D92" ca="1">CONCATENATE(INDIRECT(ADDRESS(1,4,1,0,"KeySet"),0),":","""",valueMaker!D92,"""")</f>
        <v>kainMeiEn:"Gao Lun Wang"</v>
      </c>
      <c r="E92" t="str" cm="1">
        <f t="array" aca="1" ref="E92" ca="1">CONCATENATE(INDIRECT(ADDRESS(1,5,1,0,"KeySet"),0),":","""",valueMaker!E92,"""")</f>
        <v>kainGender:"女性"</v>
      </c>
      <c r="F92" t="str" cm="1">
        <f t="array" aca="1" ref="F92" ca="1">CONCATENATE(INDIRECT(ADDRESS(1,6,1,0,"KeySet"),0),":","""",TEXT(valueMaker!F92,"yyyy/m/d"),"""")</f>
        <v>tanjyoubi:"1992/7/14"</v>
      </c>
      <c r="G92" t="str" cm="1">
        <f t="array" aca="1" ref="G92" ca="1">CONCATENATE(INDIRECT(ADDRESS(1,6,1,0,"KeySet"),0),":","""",TEXT(valueMaker!G92,"yyyy/m/d"),"""")</f>
        <v>tanjyoubi:"2012/2/21"</v>
      </c>
      <c r="H92" t="str" cm="1">
        <f t="array" aca="1" ref="H92" ca="1">CONCATENATE(INDIRECT(ADDRESS(1,6,1,0,"KeySet"),0),":","""",TEXT(valueMaker!H92,"yyyy/m/d"),"""")</f>
        <v>tanjyoubi:"2013/2/20"</v>
      </c>
      <c r="I92" t="str" cm="1">
        <f t="array" aca="1" ref="I92" ca="1">CONCATENATE(INDIRECT(ADDRESS(1,9,1,0,"KeySet"),0),":","""",valueMaker!I92,"""")</f>
        <v>denwaBangou:"090-5345-8715"</v>
      </c>
      <c r="J92" t="str" cm="1">
        <f t="array" aca="1" ref="J92" ca="1">CONCATENATE(INDIRECT(ADDRESS(1,10,1,0,"KeySet"),0),":","""",valueMaker!J92,"""")</f>
        <v>mailAddress:"Gao_Lun Wang_40960@outlook.jp.co"</v>
      </c>
      <c r="K92" t="str" cm="1">
        <f t="array" aca="1" ref="K92" ca="1">CONCATENATE(INDIRECT(ADDRESS(1,11,1,0,"KeySet"),0),":","""",valueMaker!K92,"""")</f>
        <v>kaninSyubetu:"高級"</v>
      </c>
      <c r="L92" t="str" cm="1">
        <f t="array" aca="1" ref="L92" ca="1">CONCATENATE(INDIRECT(ADDRESS(1,12,1,0,"KeySet"),0),":","""",valueMaker!L92,"""")</f>
        <v>kaninKengenWB:"有り"</v>
      </c>
      <c r="M92" t="str" cm="1">
        <f t="array" aca="1" ref="M92" ca="1">CONCATENATE(INDIRECT(ADDRESS(1,13,1,0,"KeySet"),0),":","""",valueMaker!M92,"""")</f>
        <v>wakibiri:"10%"</v>
      </c>
      <c r="N92" t="str" cm="1">
        <f t="array" aca="1" ref="N92" ca="1">CONCATENATE(INDIRECT(ADDRESS(1,14,1,0,"KeySet"),0),":","""",valueMaker!N92,"""")</f>
        <v>kaninKengenPoint:"有り"</v>
      </c>
      <c r="O92" t="str" cm="1">
        <f t="array" aca="1" ref="O92" ca="1">CONCATENATE(INDIRECT(ADDRESS(1,15,1,0,"KeySet"),0),":","""",valueMaker!O92,"""")</f>
        <v>point:"158"</v>
      </c>
      <c r="P92" t="str" cm="1">
        <f t="array" aca="1" ref="P92" ca="1">CONCATENATE(INDIRECT(ADDRESS(1,16,1,0,"KeySet"),0),":","""",valueMaker!P92,"""")</f>
        <v>bikou:""</v>
      </c>
    </row>
    <row r="93" spans="1:16">
      <c r="A93" t="str" cm="1">
        <f t="array" aca="1" ref="A93" ca="1">CONCATENATE(INDIRECT(ADDRESS(1,1,1,0,"KeySet"),0),":","""",valueMaker!A93,"""")</f>
        <v>kainBangou:"TD10092"</v>
      </c>
      <c r="B93" t="str" cm="1">
        <f t="array" aca="1" ref="B93" ca="1">CONCATENATE(INDIRECT(ADDRESS(1,2,1,0,"KeySet"),0),":","""",valueMaker!B93,"""")</f>
        <v>kainMeiKanji:"于相輝"</v>
      </c>
      <c r="C93" t="str" cm="1">
        <f t="array" aca="1" ref="C93" ca="1">CONCATENATE(INDIRECT(ADDRESS(1,3,1,0,"KeySet"),0),":","""",valueMaker!C93,"""")</f>
        <v>kainMeiKana:"ﾕｲ ｼｱｰﾝ ﾎｩｲ"</v>
      </c>
      <c r="D93" t="str" cm="1">
        <f t="array" aca="1" ref="D93" ca="1">CONCATENATE(INDIRECT(ADDRESS(1,4,1,0,"KeySet"),0),":","""",valueMaker!D93,"""")</f>
        <v>kainMeiEn:"Yu Xiang Hui"</v>
      </c>
      <c r="E93" t="str" cm="1">
        <f t="array" aca="1" ref="E93" ca="1">CONCATENATE(INDIRECT(ADDRESS(1,5,1,0,"KeySet"),0),":","""",valueMaker!E93,"""")</f>
        <v>kainGender:"女性"</v>
      </c>
      <c r="F93" t="str" cm="1">
        <f t="array" aca="1" ref="F93" ca="1">CONCATENATE(INDIRECT(ADDRESS(1,6,1,0,"KeySet"),0),":","""",TEXT(valueMaker!F93,"yyyy/m/d"),"""")</f>
        <v>tanjyoubi:"1990/8/19"</v>
      </c>
      <c r="G93" t="str" cm="1">
        <f t="array" aca="1" ref="G93" ca="1">CONCATENATE(INDIRECT(ADDRESS(1,6,1,0,"KeySet"),0),":","""",TEXT(valueMaker!G93,"yyyy/m/d"),"""")</f>
        <v>tanjyoubi:"2017/9/14"</v>
      </c>
      <c r="H93" t="str" cm="1">
        <f t="array" aca="1" ref="H93" ca="1">CONCATENATE(INDIRECT(ADDRESS(1,6,1,0,"KeySet"),0),":","""",TEXT(valueMaker!H93,"yyyy/m/d"),"""")</f>
        <v>tanjyoubi:"2018/9/14"</v>
      </c>
      <c r="I93" t="str" cm="1">
        <f t="array" aca="1" ref="I93" ca="1">CONCATENATE(INDIRECT(ADDRESS(1,9,1,0,"KeySet"),0),":","""",valueMaker!I93,"""")</f>
        <v>denwaBangou:"080-7524-5235"</v>
      </c>
      <c r="J93" t="str" cm="1">
        <f t="array" aca="1" ref="J93" ca="1">CONCATENATE(INDIRECT(ADDRESS(1,10,1,0,"KeySet"),0),":","""",valueMaker!J93,"""")</f>
        <v>mailAddress:"Yu_Xiang_Hui_42992@outlook.jp.co"</v>
      </c>
      <c r="K93" t="str" cm="1">
        <f t="array" aca="1" ref="K93" ca="1">CONCATENATE(INDIRECT(ADDRESS(1,11,1,0,"KeySet"),0),":","""",valueMaker!K93,"""")</f>
        <v>kaninSyubetu:"高級"</v>
      </c>
      <c r="L93" t="str" cm="1">
        <f t="array" aca="1" ref="L93" ca="1">CONCATENATE(INDIRECT(ADDRESS(1,12,1,0,"KeySet"),0),":","""",valueMaker!L93,"""")</f>
        <v>kaninKengenWB:"有り"</v>
      </c>
      <c r="M93" t="str" cm="1">
        <f t="array" aca="1" ref="M93" ca="1">CONCATENATE(INDIRECT(ADDRESS(1,13,1,0,"KeySet"),0),":","""",valueMaker!M93,"""")</f>
        <v>wakibiri:"10%"</v>
      </c>
      <c r="N93" t="str" cm="1">
        <f t="array" aca="1" ref="N93" ca="1">CONCATENATE(INDIRECT(ADDRESS(1,14,1,0,"KeySet"),0),":","""",valueMaker!N93,"""")</f>
        <v>kaninKengenPoint:"-"</v>
      </c>
      <c r="O93" t="str" cm="1">
        <f t="array" aca="1" ref="O93" ca="1">CONCATENATE(INDIRECT(ADDRESS(1,15,1,0,"KeySet"),0),":","""",valueMaker!O93,"""")</f>
        <v>point:"-"</v>
      </c>
      <c r="P93" t="str" cm="1">
        <f t="array" aca="1" ref="P93" ca="1">CONCATENATE(INDIRECT(ADDRESS(1,16,1,0,"KeySet"),0),":","""",valueMaker!P93,"""")</f>
        <v>bikou:""</v>
      </c>
    </row>
    <row r="94" spans="1:16">
      <c r="A94" t="str" cm="1">
        <f t="array" aca="1" ref="A94" ca="1">CONCATENATE(INDIRECT(ADDRESS(1,1,1,0,"KeySet"),0),":","""",valueMaker!A94,"""")</f>
        <v>kainBangou:"TD10093"</v>
      </c>
      <c r="B94" t="str" cm="1">
        <f t="array" aca="1" ref="B94" ca="1">CONCATENATE(INDIRECT(ADDRESS(1,2,1,0,"KeySet"),0),":","""",valueMaker!B94,"""")</f>
        <v>kainMeiKanji:"孫庭建"</v>
      </c>
      <c r="C94" t="str" cm="1">
        <f t="array" aca="1" ref="C94" ca="1">CONCATENATE(INDIRECT(ADDRESS(1,3,1,0,"KeySet"),0),":","""",valueMaker!C94,"""")</f>
        <v>kainMeiKana:"ｽｩﾝ ﾃｨｰﾝ ｼﾞｴﾝ"</v>
      </c>
      <c r="D94" t="str" cm="1">
        <f t="array" aca="1" ref="D94" ca="1">CONCATENATE(INDIRECT(ADDRESS(1,4,1,0,"KeySet"),0),":","""",valueMaker!D94,"""")</f>
        <v>kainMeiEn:"Sun Ting Jian"</v>
      </c>
      <c r="E94" t="str" cm="1">
        <f t="array" aca="1" ref="E94" ca="1">CONCATENATE(INDIRECT(ADDRESS(1,5,1,0,"KeySet"),0),":","""",valueMaker!E94,"""")</f>
        <v>kainGender:"女性"</v>
      </c>
      <c r="F94" t="str" cm="1">
        <f t="array" aca="1" ref="F94" ca="1">CONCATENATE(INDIRECT(ADDRESS(1,6,1,0,"KeySet"),0),":","""",TEXT(valueMaker!F94,"yyyy/m/d"),"""")</f>
        <v>tanjyoubi:"1995/8/9"</v>
      </c>
      <c r="G94" t="str" cm="1">
        <f t="array" aca="1" ref="G94" ca="1">CONCATENATE(INDIRECT(ADDRESS(1,6,1,0,"KeySet"),0),":","""",TEXT(valueMaker!G94,"yyyy/m/d"),"""")</f>
        <v>tanjyoubi:"2018/1/26"</v>
      </c>
      <c r="H94" t="str" cm="1">
        <f t="array" aca="1" ref="H94" ca="1">CONCATENATE(INDIRECT(ADDRESS(1,6,1,0,"KeySet"),0),":","""",TEXT(valueMaker!H94,"yyyy/m/d"),"""")</f>
        <v>tanjyoubi:"2019/1/26"</v>
      </c>
      <c r="I94" t="str" cm="1">
        <f t="array" aca="1" ref="I94" ca="1">CONCATENATE(INDIRECT(ADDRESS(1,9,1,0,"KeySet"),0),":","""",valueMaker!I94,"""")</f>
        <v>denwaBangou:"090-8539-4276"</v>
      </c>
      <c r="J94" t="str" cm="1">
        <f t="array" aca="1" ref="J94" ca="1">CONCATENATE(INDIRECT(ADDRESS(1,10,1,0,"KeySet"),0),":","""",valueMaker!J94,"""")</f>
        <v>mailAddress:"Sun_Ting_Jian_43126@outlook.jp.co"</v>
      </c>
      <c r="K94" t="str" cm="1">
        <f t="array" aca="1" ref="K94" ca="1">CONCATENATE(INDIRECT(ADDRESS(1,11,1,0,"KeySet"),0),":","""",valueMaker!K94,"""")</f>
        <v>kaninSyubetu:"普通"</v>
      </c>
      <c r="L94" t="str" cm="1">
        <f t="array" aca="1" ref="L94" ca="1">CONCATENATE(INDIRECT(ADDRESS(1,12,1,0,"KeySet"),0),":","""",valueMaker!L94,"""")</f>
        <v>kaninKengenWB:"有り"</v>
      </c>
      <c r="M94" t="str" cm="1">
        <f t="array" aca="1" ref="M94" ca="1">CONCATENATE(INDIRECT(ADDRESS(1,13,1,0,"KeySet"),0),":","""",valueMaker!M94,"""")</f>
        <v>wakibiri:"5%"</v>
      </c>
      <c r="N94" t="str" cm="1">
        <f t="array" aca="1" ref="N94" ca="1">CONCATENATE(INDIRECT(ADDRESS(1,14,1,0,"KeySet"),0),":","""",valueMaker!N94,"""")</f>
        <v>kaninKengenPoint:"有り"</v>
      </c>
      <c r="O94" t="str" cm="1">
        <f t="array" aca="1" ref="O94" ca="1">CONCATENATE(INDIRECT(ADDRESS(1,15,1,0,"KeySet"),0),":","""",valueMaker!O94,"""")</f>
        <v>point:"102"</v>
      </c>
      <c r="P94" t="str" cm="1">
        <f t="array" aca="1" ref="P94" ca="1">CONCATENATE(INDIRECT(ADDRESS(1,16,1,0,"KeySet"),0),":","""",valueMaker!P94,"""")</f>
        <v>bikou:""</v>
      </c>
    </row>
    <row r="95" spans="1:16">
      <c r="A95" t="str" cm="1">
        <f t="array" aca="1" ref="A95" ca="1">CONCATENATE(INDIRECT(ADDRESS(1,1,1,0,"KeySet"),0),":","""",valueMaker!A95,"""")</f>
        <v>kainBangou:"TD10094"</v>
      </c>
      <c r="B95" t="str" cm="1">
        <f t="array" aca="1" ref="B95" ca="1">CONCATENATE(INDIRECT(ADDRESS(1,2,1,0,"KeySet"),0),":","""",valueMaker!B95,"""")</f>
        <v>kainMeiKanji:"宋若彬"</v>
      </c>
      <c r="C95" t="str" cm="1">
        <f t="array" aca="1" ref="C95" ca="1">CONCATENATE(INDIRECT(ADDRESS(1,3,1,0,"KeySet"),0),":","""",valueMaker!C95,"""")</f>
        <v>kainMeiKana:"ｿｰﾝ ｩﾙｵ ﾋﾞﾝ"</v>
      </c>
      <c r="D95" t="str" cm="1">
        <f t="array" aca="1" ref="D95" ca="1">CONCATENATE(INDIRECT(ADDRESS(1,4,1,0,"KeySet"),0),":","""",valueMaker!D95,"""")</f>
        <v>kainMeiEn:"Song Ruo Bin"</v>
      </c>
      <c r="E95" t="str" cm="1">
        <f t="array" aca="1" ref="E95" ca="1">CONCATENATE(INDIRECT(ADDRESS(1,5,1,0,"KeySet"),0),":","""",valueMaker!E95,"""")</f>
        <v>kainGender:"男性"</v>
      </c>
      <c r="F95" t="str" cm="1">
        <f t="array" aca="1" ref="F95" ca="1">CONCATENATE(INDIRECT(ADDRESS(1,6,1,0,"KeySet"),0),":","""",TEXT(valueMaker!F95,"yyyy/m/d"),"""")</f>
        <v>tanjyoubi:"1977/3/30"</v>
      </c>
      <c r="G95" t="str" cm="1">
        <f t="array" aca="1" ref="G95" ca="1">CONCATENATE(INDIRECT(ADDRESS(1,6,1,0,"KeySet"),0),":","""",TEXT(valueMaker!G95,"yyyy/m/d"),"""")</f>
        <v>tanjyoubi:"2023/12/4"</v>
      </c>
      <c r="H95" t="str" cm="1">
        <f t="array" aca="1" ref="H95" ca="1">CONCATENATE(INDIRECT(ADDRESS(1,6,1,0,"KeySet"),0),":","""",TEXT(valueMaker!H95,"yyyy/m/d"),"""")</f>
        <v>tanjyoubi:"2026/12/3"</v>
      </c>
      <c r="I95" t="str" cm="1">
        <f t="array" aca="1" ref="I95" ca="1">CONCATENATE(INDIRECT(ADDRESS(1,9,1,0,"KeySet"),0),":","""",valueMaker!I95,"""")</f>
        <v>denwaBangou:"090-7081-1402"</v>
      </c>
      <c r="J95" t="str" cm="1">
        <f t="array" aca="1" ref="J95" ca="1">CONCATENATE(INDIRECT(ADDRESS(1,10,1,0,"KeySet"),0),":","""",valueMaker!J95,"""")</f>
        <v>mailAddress:"Song_Ruo Bin_45264@outlook.jp.co"</v>
      </c>
      <c r="K95" t="str" cm="1">
        <f t="array" aca="1" ref="K95" ca="1">CONCATENATE(INDIRECT(ADDRESS(1,11,1,0,"KeySet"),0),":","""",valueMaker!K95,"""")</f>
        <v>kaninSyubetu:"高級"</v>
      </c>
      <c r="L95" t="str" cm="1">
        <f t="array" aca="1" ref="L95" ca="1">CONCATENATE(INDIRECT(ADDRESS(1,12,1,0,"KeySet"),0),":","""",valueMaker!L95,"""")</f>
        <v>kaninKengenWB:"有り"</v>
      </c>
      <c r="M95" t="str" cm="1">
        <f t="array" aca="1" ref="M95" ca="1">CONCATENATE(INDIRECT(ADDRESS(1,13,1,0,"KeySet"),0),":","""",valueMaker!M95,"""")</f>
        <v>wakibiri:"10%"</v>
      </c>
      <c r="N95" t="str" cm="1">
        <f t="array" aca="1" ref="N95" ca="1">CONCATENATE(INDIRECT(ADDRESS(1,14,1,0,"KeySet"),0),":","""",valueMaker!N95,"""")</f>
        <v>kaninKengenPoint:"有り"</v>
      </c>
      <c r="O95" t="str" cm="1">
        <f t="array" aca="1" ref="O95" ca="1">CONCATENATE(INDIRECT(ADDRESS(1,15,1,0,"KeySet"),0),":","""",valueMaker!O95,"""")</f>
        <v>point:"394"</v>
      </c>
      <c r="P95" t="str" cm="1">
        <f t="array" aca="1" ref="P95" ca="1">CONCATENATE(INDIRECT(ADDRESS(1,16,1,0,"KeySet"),0),":","""",valueMaker!P95,"""")</f>
        <v>bikou:""</v>
      </c>
    </row>
    <row r="96" spans="1:16">
      <c r="A96" t="str" cm="1">
        <f t="array" aca="1" ref="A96" ca="1">CONCATENATE(INDIRECT(ADDRESS(1,1,1,0,"KeySet"),0),":","""",valueMaker!A96,"""")</f>
        <v>kainBangou:"TD10095"</v>
      </c>
      <c r="B96" t="str" cm="1">
        <f t="array" aca="1" ref="B96" ca="1">CONCATENATE(INDIRECT(ADDRESS(1,2,1,0,"KeySet"),0),":","""",valueMaker!B96,"""")</f>
        <v>kainMeiKanji:"林至凡"</v>
      </c>
      <c r="C96" t="str" cm="1">
        <f t="array" aca="1" ref="C96" ca="1">CONCATENATE(INDIRECT(ADDRESS(1,3,1,0,"KeySet"),0),":","""",valueMaker!C96,"""")</f>
        <v>kainMeiKana:"ﾘﾝ ｼﾞｰ ﾌｧﾝ"</v>
      </c>
      <c r="D96" t="str" cm="1">
        <f t="array" aca="1" ref="D96" ca="1">CONCATENATE(INDIRECT(ADDRESS(1,4,1,0,"KeySet"),0),":","""",valueMaker!D96,"""")</f>
        <v>kainMeiEn:"Lin Zhi Fan"</v>
      </c>
      <c r="E96" t="str" cm="1">
        <f t="array" aca="1" ref="E96" ca="1">CONCATENATE(INDIRECT(ADDRESS(1,5,1,0,"KeySet"),0),":","""",valueMaker!E96,"""")</f>
        <v>kainGender:"男性"</v>
      </c>
      <c r="F96" t="str" cm="1">
        <f t="array" aca="1" ref="F96" ca="1">CONCATENATE(INDIRECT(ADDRESS(1,6,1,0,"KeySet"),0),":","""",TEXT(valueMaker!F96,"yyyy/m/d"),"""")</f>
        <v>tanjyoubi:"2004/5/29"</v>
      </c>
      <c r="G96" t="str" cm="1">
        <f t="array" aca="1" ref="G96" ca="1">CONCATENATE(INDIRECT(ADDRESS(1,6,1,0,"KeySet"),0),":","""",TEXT(valueMaker!G96,"yyyy/m/d"),"""")</f>
        <v>tanjyoubi:"2022/6/22"</v>
      </c>
      <c r="H96" t="str" cm="1">
        <f t="array" aca="1" ref="H96" ca="1">CONCATENATE(INDIRECT(ADDRESS(1,6,1,0,"KeySet"),0),":","""",TEXT(valueMaker!H96,"yyyy/m/d"),"""")</f>
        <v>tanjyoubi:"2024/6/21"</v>
      </c>
      <c r="I96" t="str" cm="1">
        <f t="array" aca="1" ref="I96" ca="1">CONCATENATE(INDIRECT(ADDRESS(1,9,1,0,"KeySet"),0),":","""",valueMaker!I96,"""")</f>
        <v>denwaBangou:"080-3061-6921"</v>
      </c>
      <c r="J96" t="str" cm="1">
        <f t="array" aca="1" ref="J96" ca="1">CONCATENATE(INDIRECT(ADDRESS(1,10,1,0,"KeySet"),0),":","""",valueMaker!J96,"""")</f>
        <v>mailAddress:"Lin_Zhi_Fan_44734@outlook.jp.co"</v>
      </c>
      <c r="K96" t="str" cm="1">
        <f t="array" aca="1" ref="K96" ca="1">CONCATENATE(INDIRECT(ADDRESS(1,11,1,0,"KeySet"),0),":","""",valueMaker!K96,"""")</f>
        <v>kaninSyubetu:"高級"</v>
      </c>
      <c r="L96" t="str" cm="1">
        <f t="array" aca="1" ref="L96" ca="1">CONCATENATE(INDIRECT(ADDRESS(1,12,1,0,"KeySet"),0),":","""",valueMaker!L96,"""")</f>
        <v>kaninKengenWB:"有り"</v>
      </c>
      <c r="M96" t="str" cm="1">
        <f t="array" aca="1" ref="M96" ca="1">CONCATENATE(INDIRECT(ADDRESS(1,13,1,0,"KeySet"),0),":","""",valueMaker!M96,"""")</f>
        <v>wakibiri:"10%"</v>
      </c>
      <c r="N96" t="str" cm="1">
        <f t="array" aca="1" ref="N96" ca="1">CONCATENATE(INDIRECT(ADDRESS(1,14,1,0,"KeySet"),0),":","""",valueMaker!N96,"""")</f>
        <v>kaninKengenPoint:"有り"</v>
      </c>
      <c r="O96" t="str" cm="1">
        <f t="array" aca="1" ref="O96" ca="1">CONCATENATE(INDIRECT(ADDRESS(1,15,1,0,"KeySet"),0),":","""",valueMaker!O96,"""")</f>
        <v>point:"539"</v>
      </c>
      <c r="P96" t="str" cm="1">
        <f t="array" aca="1" ref="P96" ca="1">CONCATENATE(INDIRECT(ADDRESS(1,16,1,0,"KeySet"),0),":","""",valueMaker!P96,"""")</f>
        <v>bikou:""</v>
      </c>
    </row>
    <row r="97" spans="1:16">
      <c r="A97" t="str" cm="1">
        <f t="array" aca="1" ref="A97" ca="1">CONCATENATE(INDIRECT(ADDRESS(1,1,1,0,"KeySet"),0),":","""",valueMaker!A97,"""")</f>
        <v>kainBangou:"TD10096"</v>
      </c>
      <c r="B97" t="str" cm="1">
        <f t="array" aca="1" ref="B97" ca="1">CONCATENATE(INDIRECT(ADDRESS(1,2,1,0,"KeySet"),0),":","""",valueMaker!B97,"""")</f>
        <v>kainMeiKanji:"唐劍納"</v>
      </c>
      <c r="C97" t="str" cm="1">
        <f t="array" aca="1" ref="C97" ca="1">CONCATENATE(INDIRECT(ADDRESS(1,3,1,0,"KeySet"),0),":","""",valueMaker!C97,"""")</f>
        <v>kainMeiKana:"ﾀｰﾝ ｼﾞｴﾝ ﾅｰ"</v>
      </c>
      <c r="D97" t="str" cm="1">
        <f t="array" aca="1" ref="D97" ca="1">CONCATENATE(INDIRECT(ADDRESS(1,4,1,0,"KeySet"),0),":","""",valueMaker!D97,"""")</f>
        <v>kainMeiEn:"Tang Jian Na"</v>
      </c>
      <c r="E97" t="str" cm="1">
        <f t="array" aca="1" ref="E97" ca="1">CONCATENATE(INDIRECT(ADDRESS(1,5,1,0,"KeySet"),0),":","""",valueMaker!E97,"""")</f>
        <v>kainGender:"男性"</v>
      </c>
      <c r="F97" t="str" cm="1">
        <f t="array" aca="1" ref="F97" ca="1">CONCATENATE(INDIRECT(ADDRESS(1,6,1,0,"KeySet"),0),":","""",TEXT(valueMaker!F97,"yyyy/m/d"),"""")</f>
        <v>tanjyoubi:"2003/5/6"</v>
      </c>
      <c r="G97" t="str" cm="1">
        <f t="array" aca="1" ref="G97" ca="1">CONCATENATE(INDIRECT(ADDRESS(1,6,1,0,"KeySet"),0),":","""",TEXT(valueMaker!G97,"yyyy/m/d"),"""")</f>
        <v>tanjyoubi:"2023/1/26"</v>
      </c>
      <c r="H97" t="str" cm="1">
        <f t="array" aca="1" ref="H97" ca="1">CONCATENATE(INDIRECT(ADDRESS(1,6,1,0,"KeySet"),0),":","""",TEXT(valueMaker!H97,"yyyy/m/d"),"""")</f>
        <v>tanjyoubi:"2025/1/25"</v>
      </c>
      <c r="I97" t="str" cm="1">
        <f t="array" aca="1" ref="I97" ca="1">CONCATENATE(INDIRECT(ADDRESS(1,9,1,0,"KeySet"),0),":","""",valueMaker!I97,"""")</f>
        <v>denwaBangou:"080-6357-2103"</v>
      </c>
      <c r="J97" t="str" cm="1">
        <f t="array" aca="1" ref="J97" ca="1">CONCATENATE(INDIRECT(ADDRESS(1,10,1,0,"KeySet"),0),":","""",valueMaker!J97,"""")</f>
        <v>mailAddress:"Tang_Jian_Na_44952@outlook.jp.co"</v>
      </c>
      <c r="K97" t="str" cm="1">
        <f t="array" aca="1" ref="K97" ca="1">CONCATENATE(INDIRECT(ADDRESS(1,11,1,0,"KeySet"),0),":","""",valueMaker!K97,"""")</f>
        <v>kaninSyubetu:"普通"</v>
      </c>
      <c r="L97" t="str" cm="1">
        <f t="array" aca="1" ref="L97" ca="1">CONCATENATE(INDIRECT(ADDRESS(1,12,1,0,"KeySet"),0),":","""",valueMaker!L97,"""")</f>
        <v>kaninKengenWB:"有り"</v>
      </c>
      <c r="M97" t="str" cm="1">
        <f t="array" aca="1" ref="M97" ca="1">CONCATENATE(INDIRECT(ADDRESS(1,13,1,0,"KeySet"),0),":","""",valueMaker!M97,"""")</f>
        <v>wakibiri:"5%"</v>
      </c>
      <c r="N97" t="str" cm="1">
        <f t="array" aca="1" ref="N97" ca="1">CONCATENATE(INDIRECT(ADDRESS(1,14,1,0,"KeySet"),0),":","""",valueMaker!N97,"""")</f>
        <v>kaninKengenPoint:"有り"</v>
      </c>
      <c r="O97" t="str" cm="1">
        <f t="array" aca="1" ref="O97" ca="1">CONCATENATE(INDIRECT(ADDRESS(1,15,1,0,"KeySet"),0),":","""",valueMaker!O97,"""")</f>
        <v>point:"977"</v>
      </c>
      <c r="P97" t="str" cm="1">
        <f t="array" aca="1" ref="P97" ca="1">CONCATENATE(INDIRECT(ADDRESS(1,16,1,0,"KeySet"),0),":","""",valueMaker!P97,"""")</f>
        <v>bikou:""</v>
      </c>
    </row>
    <row r="98" spans="1:16">
      <c r="A98" t="str" cm="1">
        <f t="array" aca="1" ref="A98" ca="1">CONCATENATE(INDIRECT(ADDRESS(1,1,1,0,"KeySet"),0),":","""",valueMaker!A98,"""")</f>
        <v>kainBangou:"TD10097"</v>
      </c>
      <c r="B98" t="str" cm="1">
        <f t="array" aca="1" ref="B98" ca="1">CONCATENATE(INDIRECT(ADDRESS(1,2,1,0,"KeySet"),0),":","""",valueMaker!B98,"""")</f>
        <v>kainMeiKanji:"郭泰聚"</v>
      </c>
      <c r="C98" t="str" cm="1">
        <f t="array" aca="1" ref="C98" ca="1">CONCATENATE(INDIRECT(ADDRESS(1,3,1,0,"KeySet"),0),":","""",valueMaker!C98,"""")</f>
        <v>kainMeiKana:"ｸﾞｵ ﾀｲ ｼﾞｭｲ"</v>
      </c>
      <c r="D98" t="str" cm="1">
        <f t="array" aca="1" ref="D98" ca="1">CONCATENATE(INDIRECT(ADDRESS(1,4,1,0,"KeySet"),0),":","""",valueMaker!D98,"""")</f>
        <v>kainMeiEn:"Guo Tai Ju"</v>
      </c>
      <c r="E98" t="str" cm="1">
        <f t="array" aca="1" ref="E98" ca="1">CONCATENATE(INDIRECT(ADDRESS(1,5,1,0,"KeySet"),0),":","""",valueMaker!E98,"""")</f>
        <v>kainGender:"-"</v>
      </c>
      <c r="F98" t="str" cm="1">
        <f t="array" aca="1" ref="F98" ca="1">CONCATENATE(INDIRECT(ADDRESS(1,6,1,0,"KeySet"),0),":","""",TEXT(valueMaker!F98,"yyyy/m/d"),"""")</f>
        <v>tanjyoubi:"1975/10/9"</v>
      </c>
      <c r="G98" t="str" cm="1">
        <f t="array" aca="1" ref="G98" ca="1">CONCATENATE(INDIRECT(ADDRESS(1,6,1,0,"KeySet"),0),":","""",TEXT(valueMaker!G98,"yyyy/m/d"),"""")</f>
        <v>tanjyoubi:"2015/3/8"</v>
      </c>
      <c r="H98" t="str" cm="1">
        <f t="array" aca="1" ref="H98" ca="1">CONCATENATE(INDIRECT(ADDRESS(1,6,1,0,"KeySet"),0),":","""",TEXT(valueMaker!H98,"yyyy/m/d"),"""")</f>
        <v>tanjyoubi:"2017/3/7"</v>
      </c>
      <c r="I98" t="str" cm="1">
        <f t="array" aca="1" ref="I98" ca="1">CONCATENATE(INDIRECT(ADDRESS(1,9,1,0,"KeySet"),0),":","""",valueMaker!I98,"""")</f>
        <v>denwaBangou:"090-7884-4769"</v>
      </c>
      <c r="J98" t="str" cm="1">
        <f t="array" aca="1" ref="J98" ca="1">CONCATENATE(INDIRECT(ADDRESS(1,10,1,0,"KeySet"),0),":","""",valueMaker!J98,"""")</f>
        <v>mailAddress:"Guo_Tai_Ju_42071@outlook.jp.co"</v>
      </c>
      <c r="K98" t="str" cm="1">
        <f t="array" aca="1" ref="K98" ca="1">CONCATENATE(INDIRECT(ADDRESS(1,11,1,0,"KeySet"),0),":","""",valueMaker!K98,"""")</f>
        <v>kaninSyubetu:"高級"</v>
      </c>
      <c r="L98" t="str" cm="1">
        <f t="array" aca="1" ref="L98" ca="1">CONCATENATE(INDIRECT(ADDRESS(1,12,1,0,"KeySet"),0),":","""",valueMaker!L98,"""")</f>
        <v>kaninKengenWB:"-"</v>
      </c>
      <c r="M98" t="str" cm="1">
        <f t="array" aca="1" ref="M98" ca="1">CONCATENATE(INDIRECT(ADDRESS(1,13,1,0,"KeySet"),0),":","""",valueMaker!M98,"""")</f>
        <v>wakibiri:"-"</v>
      </c>
      <c r="N98" t="str" cm="1">
        <f t="array" aca="1" ref="N98" ca="1">CONCATENATE(INDIRECT(ADDRESS(1,14,1,0,"KeySet"),0),":","""",valueMaker!N98,"""")</f>
        <v>kaninKengenPoint:"有り"</v>
      </c>
      <c r="O98" t="str" cm="1">
        <f t="array" aca="1" ref="O98" ca="1">CONCATENATE(INDIRECT(ADDRESS(1,15,1,0,"KeySet"),0),":","""",valueMaker!O98,"""")</f>
        <v>point:"620"</v>
      </c>
      <c r="P98" t="str" cm="1">
        <f t="array" aca="1" ref="P98" ca="1">CONCATENATE(INDIRECT(ADDRESS(1,16,1,0,"KeySet"),0),":","""",valueMaker!P98,"""")</f>
        <v>bikou:""</v>
      </c>
    </row>
    <row r="99" spans="1:16">
      <c r="A99" t="str" cm="1">
        <f t="array" aca="1" ref="A99" ca="1">CONCATENATE(INDIRECT(ADDRESS(1,1,1,0,"KeySet"),0),":","""",valueMaker!A99,"""")</f>
        <v>kainBangou:"TD10098"</v>
      </c>
      <c r="B99" t="str" cm="1">
        <f t="array" aca="1" ref="B99" ca="1">CONCATENATE(INDIRECT(ADDRESS(1,2,1,0,"KeySet"),0),":","""",valueMaker!B99,"""")</f>
        <v>kainMeiKanji:"于含瑋"</v>
      </c>
      <c r="C99" t="str" cm="1">
        <f t="array" aca="1" ref="C99" ca="1">CONCATENATE(INDIRECT(ADDRESS(1,3,1,0,"KeySet"),0),":","""",valueMaker!C99,"""")</f>
        <v>kainMeiKana:"ﾕｲ ﾊﾝ ｳｴｲ"</v>
      </c>
      <c r="D99" t="str" cm="1">
        <f t="array" aca="1" ref="D99" ca="1">CONCATENATE(INDIRECT(ADDRESS(1,4,1,0,"KeySet"),0),":","""",valueMaker!D99,"""")</f>
        <v>kainMeiEn:"Yu Han Wei"</v>
      </c>
      <c r="E99" t="str" cm="1">
        <f t="array" aca="1" ref="E99" ca="1">CONCATENATE(INDIRECT(ADDRESS(1,5,1,0,"KeySet"),0),":","""",valueMaker!E99,"""")</f>
        <v>kainGender:"女性"</v>
      </c>
      <c r="F99" t="str" cm="1">
        <f t="array" aca="1" ref="F99" ca="1">CONCATENATE(INDIRECT(ADDRESS(1,6,1,0,"KeySet"),0),":","""",TEXT(valueMaker!F99,"yyyy/m/d"),"""")</f>
        <v>tanjyoubi:"1997/3/7"</v>
      </c>
      <c r="G99" t="str" cm="1">
        <f t="array" aca="1" ref="G99" ca="1">CONCATENATE(INDIRECT(ADDRESS(1,6,1,0,"KeySet"),0),":","""",TEXT(valueMaker!G99,"yyyy/m/d"),"""")</f>
        <v>tanjyoubi:"2015/8/21"</v>
      </c>
      <c r="H99" t="str" cm="1">
        <f t="array" aca="1" ref="H99" ca="1">CONCATENATE(INDIRECT(ADDRESS(1,6,1,0,"KeySet"),0),":","""",TEXT(valueMaker!H99,"yyyy/m/d"),"""")</f>
        <v>tanjyoubi:"2017/8/20"</v>
      </c>
      <c r="I99" t="str" cm="1">
        <f t="array" aca="1" ref="I99" ca="1">CONCATENATE(INDIRECT(ADDRESS(1,9,1,0,"KeySet"),0),":","""",valueMaker!I99,"""")</f>
        <v>denwaBangou:"090-6302-3549"</v>
      </c>
      <c r="J99" t="str" cm="1">
        <f t="array" aca="1" ref="J99" ca="1">CONCATENATE(INDIRECT(ADDRESS(1,10,1,0,"KeySet"),0),":","""",valueMaker!J99,"""")</f>
        <v>mailAddress:"Yu_Han_Wei_42237@outlook.jp.co"</v>
      </c>
      <c r="K99" t="str" cm="1">
        <f t="array" aca="1" ref="K99" ca="1">CONCATENATE(INDIRECT(ADDRESS(1,11,1,0,"KeySet"),0),":","""",valueMaker!K99,"""")</f>
        <v>kaninSyubetu:"普通"</v>
      </c>
      <c r="L99" t="str" cm="1">
        <f t="array" aca="1" ref="L99" ca="1">CONCATENATE(INDIRECT(ADDRESS(1,12,1,0,"KeySet"),0),":","""",valueMaker!L99,"""")</f>
        <v>kaninKengenWB:"有り"</v>
      </c>
      <c r="M99" t="str" cm="1">
        <f t="array" aca="1" ref="M99" ca="1">CONCATENATE(INDIRECT(ADDRESS(1,13,1,0,"KeySet"),0),":","""",valueMaker!M99,"""")</f>
        <v>wakibiri:"5%"</v>
      </c>
      <c r="N99" t="str" cm="1">
        <f t="array" aca="1" ref="N99" ca="1">CONCATENATE(INDIRECT(ADDRESS(1,14,1,0,"KeySet"),0),":","""",valueMaker!N99,"""")</f>
        <v>kaninKengenPoint:"-"</v>
      </c>
      <c r="O99" t="str" cm="1">
        <f t="array" aca="1" ref="O99" ca="1">CONCATENATE(INDIRECT(ADDRESS(1,15,1,0,"KeySet"),0),":","""",valueMaker!O99,"""")</f>
        <v>point:"-"</v>
      </c>
      <c r="P99" t="str" cm="1">
        <f t="array" aca="1" ref="P99" ca="1">CONCATENATE(INDIRECT(ADDRESS(1,16,1,0,"KeySet"),0),":","""",valueMaker!P99,"""")</f>
        <v>bikou:""</v>
      </c>
    </row>
    <row r="100" spans="1:16">
      <c r="A100" t="str" cm="1">
        <f t="array" aca="1" ref="A100" ca="1">CONCATENATE(INDIRECT(ADDRESS(1,1,1,0,"KeySet"),0),":","""",valueMaker!A100,"""")</f>
        <v>kainBangou:"TD10099"</v>
      </c>
      <c r="B100" t="str" cm="1">
        <f t="array" aca="1" ref="B100" ca="1">CONCATENATE(INDIRECT(ADDRESS(1,2,1,0,"KeySet"),0),":","""",valueMaker!B100,"""")</f>
        <v>kainMeiKanji:"唐狂帆"</v>
      </c>
      <c r="C100" t="str" cm="1">
        <f t="array" aca="1" ref="C100" ca="1">CONCATENATE(INDIRECT(ADDRESS(1,3,1,0,"KeySet"),0),":","""",valueMaker!C100,"""")</f>
        <v>kainMeiKana:"ﾀｰﾝ ｸﾜｰﾝ ﾌｧﾝ"</v>
      </c>
      <c r="D100" t="str" cm="1">
        <f t="array" aca="1" ref="D100" ca="1">CONCATENATE(INDIRECT(ADDRESS(1,4,1,0,"KeySet"),0),":","""",valueMaker!D100,"""")</f>
        <v>kainMeiEn:"Tang Kuang Fan"</v>
      </c>
      <c r="E100" t="str" cm="1">
        <f t="array" aca="1" ref="E100" ca="1">CONCATENATE(INDIRECT(ADDRESS(1,5,1,0,"KeySet"),0),":","""",valueMaker!E100,"""")</f>
        <v>kainGender:"男性"</v>
      </c>
      <c r="F100" t="str" cm="1">
        <f t="array" aca="1" ref="F100" ca="1">CONCATENATE(INDIRECT(ADDRESS(1,6,1,0,"KeySet"),0),":","""",TEXT(valueMaker!F100,"yyyy/m/d"),"""")</f>
        <v>tanjyoubi:"1999/6/6"</v>
      </c>
      <c r="G100" t="str" cm="1">
        <f t="array" aca="1" ref="G100" ca="1">CONCATENATE(INDIRECT(ADDRESS(1,6,1,0,"KeySet"),0),":","""",TEXT(valueMaker!G100,"yyyy/m/d"),"""")</f>
        <v>tanjyoubi:"2021/2/28"</v>
      </c>
      <c r="H100" t="str" cm="1">
        <f t="array" aca="1" ref="H100" ca="1">CONCATENATE(INDIRECT(ADDRESS(1,6,1,0,"KeySet"),0),":","""",TEXT(valueMaker!H100,"yyyy/m/d"),"""")</f>
        <v>tanjyoubi:"2024/2/28"</v>
      </c>
      <c r="I100" t="str" cm="1">
        <f t="array" aca="1" ref="I100" ca="1">CONCATENATE(INDIRECT(ADDRESS(1,9,1,0,"KeySet"),0),":","""",valueMaker!I100,"""")</f>
        <v>denwaBangou:"090-6992-6017"</v>
      </c>
      <c r="J100" t="str" cm="1">
        <f t="array" aca="1" ref="J100" ca="1">CONCATENATE(INDIRECT(ADDRESS(1,10,1,0,"KeySet"),0),":","""",valueMaker!J100,"""")</f>
        <v>mailAddress:"Tang_Kuang_Fan_44255@outlook.jp.co"</v>
      </c>
      <c r="K100" t="str" cm="1">
        <f t="array" aca="1" ref="K100" ca="1">CONCATENATE(INDIRECT(ADDRESS(1,11,1,0,"KeySet"),0),":","""",valueMaker!K100,"""")</f>
        <v>kaninSyubetu:"普通"</v>
      </c>
      <c r="L100" t="str" cm="1">
        <f t="array" aca="1" ref="L100" ca="1">CONCATENATE(INDIRECT(ADDRESS(1,12,1,0,"KeySet"),0),":","""",valueMaker!L100,"""")</f>
        <v>kaninKengenWB:"-"</v>
      </c>
      <c r="M100" t="str" cm="1">
        <f t="array" aca="1" ref="M100" ca="1">CONCATENATE(INDIRECT(ADDRESS(1,13,1,0,"KeySet"),0),":","""",valueMaker!M100,"""")</f>
        <v>wakibiri:"-"</v>
      </c>
      <c r="N100" t="str" cm="1">
        <f t="array" aca="1" ref="N100" ca="1">CONCATENATE(INDIRECT(ADDRESS(1,14,1,0,"KeySet"),0),":","""",valueMaker!N100,"""")</f>
        <v>kaninKengenPoint:"有り"</v>
      </c>
      <c r="O100" t="str" cm="1">
        <f t="array" aca="1" ref="O100" ca="1">CONCATENATE(INDIRECT(ADDRESS(1,15,1,0,"KeySet"),0),":","""",valueMaker!O100,"""")</f>
        <v>point:"824"</v>
      </c>
      <c r="P100" t="str" cm="1">
        <f t="array" aca="1" ref="P100" ca="1">CONCATENATE(INDIRECT(ADDRESS(1,16,1,0,"KeySet"),0),":","""",valueMaker!P100,"""")</f>
        <v>bikou:""</v>
      </c>
    </row>
    <row r="101" spans="1:16">
      <c r="A101" t="str" cm="1">
        <f t="array" aca="1" ref="A101" ca="1">CONCATENATE(INDIRECT(ADDRESS(1,1,1,0,"KeySet"),0),":","""",valueMaker!A101,"""")</f>
        <v>kainBangou:"TD10100"</v>
      </c>
      <c r="B101" t="str" cm="1">
        <f t="array" aca="1" ref="B101" ca="1">CONCATENATE(INDIRECT(ADDRESS(1,2,1,0,"KeySet"),0),":","""",valueMaker!B101,"""")</f>
        <v>kainMeiKanji:"趙銀霆"</v>
      </c>
      <c r="C101" t="str" cm="1">
        <f t="array" aca="1" ref="C101" ca="1">CONCATENATE(INDIRECT(ADDRESS(1,3,1,0,"KeySet"),0),":","""",valueMaker!C101,"""")</f>
        <v>kainMeiKana:"ｼﾞｬｵ ｲﾝ ﾃｨｰﾝ"</v>
      </c>
      <c r="D101" t="str" cm="1">
        <f t="array" aca="1" ref="D101" ca="1">CONCATENATE(INDIRECT(ADDRESS(1,4,1,0,"KeySet"),0),":","""",valueMaker!D101,"""")</f>
        <v>kainMeiEn:"Zhao Yin Ting"</v>
      </c>
      <c r="E101" t="str" cm="1">
        <f t="array" aca="1" ref="E101" ca="1">CONCATENATE(INDIRECT(ADDRESS(1,5,1,0,"KeySet"),0),":","""",valueMaker!E101,"""")</f>
        <v>kainGender:"男性"</v>
      </c>
      <c r="F101" t="str" cm="1">
        <f t="array" aca="1" ref="F101" ca="1">CONCATENATE(INDIRECT(ADDRESS(1,6,1,0,"KeySet"),0),":","""",TEXT(valueMaker!F101,"yyyy/m/d"),"""")</f>
        <v>tanjyoubi:"1967/3/19"</v>
      </c>
      <c r="G101" t="str" cm="1">
        <f t="array" aca="1" ref="G101" ca="1">CONCATENATE(INDIRECT(ADDRESS(1,6,1,0,"KeySet"),0),":","""",TEXT(valueMaker!G101,"yyyy/m/d"),"""")</f>
        <v>tanjyoubi:"1986/5/25"</v>
      </c>
      <c r="H101" t="str" cm="1">
        <f t="array" aca="1" ref="H101" ca="1">CONCATENATE(INDIRECT(ADDRESS(1,6,1,0,"KeySet"),0),":","""",TEXT(valueMaker!H101,"yyyy/m/d"),"""")</f>
        <v>tanjyoubi:"1987/5/25"</v>
      </c>
      <c r="I101" t="str" cm="1">
        <f t="array" aca="1" ref="I101" ca="1">CONCATENATE(INDIRECT(ADDRESS(1,9,1,0,"KeySet"),0),":","""",valueMaker!I101,"""")</f>
        <v>denwaBangou:"090-4515-4588"</v>
      </c>
      <c r="J101" t="str" cm="1">
        <f t="array" aca="1" ref="J101" ca="1">CONCATENATE(INDIRECT(ADDRESS(1,10,1,0,"KeySet"),0),":","""",valueMaker!J101,"""")</f>
        <v>mailAddress:"Zhao_Yin_Ting_31557@outlook.jp.co"</v>
      </c>
      <c r="K101" t="str" cm="1">
        <f t="array" aca="1" ref="K101" ca="1">CONCATENATE(INDIRECT(ADDRESS(1,11,1,0,"KeySet"),0),":","""",valueMaker!K101,"""")</f>
        <v>kaninSyubetu:"高級"</v>
      </c>
      <c r="L101" t="str" cm="1">
        <f t="array" aca="1" ref="L101" ca="1">CONCATENATE(INDIRECT(ADDRESS(1,12,1,0,"KeySet"),0),":","""",valueMaker!L101,"""")</f>
        <v>kaninKengenWB:"有り"</v>
      </c>
      <c r="M101" t="str" cm="1">
        <f t="array" aca="1" ref="M101" ca="1">CONCATENATE(INDIRECT(ADDRESS(1,13,1,0,"KeySet"),0),":","""",valueMaker!M101,"""")</f>
        <v>wakibiri:"10%"</v>
      </c>
      <c r="N101" t="str" cm="1">
        <f t="array" aca="1" ref="N101" ca="1">CONCATENATE(INDIRECT(ADDRESS(1,14,1,0,"KeySet"),0),":","""",valueMaker!N101,"""")</f>
        <v>kaninKengenPoint:"有り"</v>
      </c>
      <c r="O101" t="str" cm="1">
        <f t="array" aca="1" ref="O101" ca="1">CONCATENATE(INDIRECT(ADDRESS(1,15,1,0,"KeySet"),0),":","""",valueMaker!O101,"""")</f>
        <v>point:"338"</v>
      </c>
      <c r="P101" t="str" cm="1">
        <f t="array" aca="1" ref="P101" ca="1">CONCATENATE(INDIRECT(ADDRESS(1,16,1,0,"KeySet"),0),":","""",valueMaker!P101,"""")</f>
        <v>bikou:""</v>
      </c>
    </row>
    <row r="102" spans="1:16">
      <c r="A102" t="str" cm="1">
        <f t="array" aca="1" ref="A102" ca="1">CONCATENATE(INDIRECT(ADDRESS(1,1,1,0,"KeySet"),0),":","""",valueMaker!A102,"""")</f>
        <v>kainBangou:"TD10101"</v>
      </c>
      <c r="B102" t="str" cm="1">
        <f t="array" aca="1" ref="B102" ca="1">CONCATENATE(INDIRECT(ADDRESS(1,2,1,0,"KeySet"),0),":","""",valueMaker!B102,"""")</f>
        <v>kainMeiKanji:"謝業領"</v>
      </c>
      <c r="C102" t="str" cm="1">
        <f t="array" aca="1" ref="C102" ca="1">CONCATENATE(INDIRECT(ADDRESS(1,3,1,0,"KeySet"),0),":","""",valueMaker!C102,"""")</f>
        <v>kainMeiKana:"ｼｴ ｲｴ ﾘｰﾝ"</v>
      </c>
      <c r="D102" t="str" cm="1">
        <f t="array" aca="1" ref="D102" ca="1">CONCATENATE(INDIRECT(ADDRESS(1,4,1,0,"KeySet"),0),":","""",valueMaker!D102,"""")</f>
        <v>kainMeiEn:"Xie Ye Ling"</v>
      </c>
      <c r="E102" t="str" cm="1">
        <f t="array" aca="1" ref="E102" ca="1">CONCATENATE(INDIRECT(ADDRESS(1,5,1,0,"KeySet"),0),":","""",valueMaker!E102,"""")</f>
        <v>kainGender:"男性"</v>
      </c>
      <c r="F102" t="str" cm="1">
        <f t="array" aca="1" ref="F102" ca="1">CONCATENATE(INDIRECT(ADDRESS(1,6,1,0,"KeySet"),0),":","""",TEXT(valueMaker!F102,"yyyy/m/d"),"""")</f>
        <v>tanjyoubi:"1977/10/3"</v>
      </c>
      <c r="G102" t="str" cm="1">
        <f t="array" aca="1" ref="G102" ca="1">CONCATENATE(INDIRECT(ADDRESS(1,6,1,0,"KeySet"),0),":","""",TEXT(valueMaker!G102,"yyyy/m/d"),"""")</f>
        <v>tanjyoubi:"1996/7/6"</v>
      </c>
      <c r="H102" t="str" cm="1">
        <f t="array" aca="1" ref="H102" ca="1">CONCATENATE(INDIRECT(ADDRESS(1,6,1,0,"KeySet"),0),":","""",TEXT(valueMaker!H102,"yyyy/m/d"),"""")</f>
        <v>tanjyoubi:"1998/7/6"</v>
      </c>
      <c r="I102" t="str" cm="1">
        <f t="array" aca="1" ref="I102" ca="1">CONCATENATE(INDIRECT(ADDRESS(1,9,1,0,"KeySet"),0),":","""",valueMaker!I102,"""")</f>
        <v>denwaBangou:"080-4432-7666"</v>
      </c>
      <c r="J102" t="str" cm="1">
        <f t="array" aca="1" ref="J102" ca="1">CONCATENATE(INDIRECT(ADDRESS(1,10,1,0,"KeySet"),0),":","""",valueMaker!J102,"""")</f>
        <v>mailAddress:"Xie_Ye_Ling_35252@outlook.jp.co"</v>
      </c>
      <c r="K102" t="str" cm="1">
        <f t="array" aca="1" ref="K102" ca="1">CONCATENATE(INDIRECT(ADDRESS(1,11,1,0,"KeySet"),0),":","""",valueMaker!K102,"""")</f>
        <v>kaninSyubetu:"高級"</v>
      </c>
      <c r="L102" t="str" cm="1">
        <f t="array" aca="1" ref="L102" ca="1">CONCATENATE(INDIRECT(ADDRESS(1,12,1,0,"KeySet"),0),":","""",valueMaker!L102,"""")</f>
        <v>kaninKengenWB:"有り"</v>
      </c>
      <c r="M102" t="str" cm="1">
        <f t="array" aca="1" ref="M102" ca="1">CONCATENATE(INDIRECT(ADDRESS(1,13,1,0,"KeySet"),0),":","""",valueMaker!M102,"""")</f>
        <v>wakibiri:"10%"</v>
      </c>
      <c r="N102" t="str" cm="1">
        <f t="array" aca="1" ref="N102" ca="1">CONCATENATE(INDIRECT(ADDRESS(1,14,1,0,"KeySet"),0),":","""",valueMaker!N102,"""")</f>
        <v>kaninKengenPoint:"-"</v>
      </c>
      <c r="O102" t="str" cm="1">
        <f t="array" aca="1" ref="O102" ca="1">CONCATENATE(INDIRECT(ADDRESS(1,15,1,0,"KeySet"),0),":","""",valueMaker!O102,"""")</f>
        <v>point:"-"</v>
      </c>
      <c r="P102" t="str" cm="1">
        <f t="array" aca="1" ref="P102" ca="1">CONCATENATE(INDIRECT(ADDRESS(1,16,1,0,"KeySet"),0),":","""",valueMaker!P102,"""")</f>
        <v>bikou:""</v>
      </c>
    </row>
    <row r="103" spans="1:16">
      <c r="A103" t="str" cm="1">
        <f t="array" aca="1" ref="A103" ca="1">CONCATENATE(INDIRECT(ADDRESS(1,1,1,0,"KeySet"),0),":","""",valueMaker!A103,"""")</f>
        <v>kainBangou:"TD10102"</v>
      </c>
      <c r="B103" t="str" cm="1">
        <f t="array" aca="1" ref="B103" ca="1">CONCATENATE(INDIRECT(ADDRESS(1,2,1,0,"KeySet"),0),":","""",valueMaker!B103,"""")</f>
        <v>kainMeiKanji:"郭若彬"</v>
      </c>
      <c r="C103" t="str" cm="1">
        <f t="array" aca="1" ref="C103" ca="1">CONCATENATE(INDIRECT(ADDRESS(1,3,1,0,"KeySet"),0),":","""",valueMaker!C103,"""")</f>
        <v>kainMeiKana:"ｸﾞｵ ｩﾙｵ ﾋﾞﾝ"</v>
      </c>
      <c r="D103" t="str" cm="1">
        <f t="array" aca="1" ref="D103" ca="1">CONCATENATE(INDIRECT(ADDRESS(1,4,1,0,"KeySet"),0),":","""",valueMaker!D103,"""")</f>
        <v>kainMeiEn:"Guo Ruo Bin"</v>
      </c>
      <c r="E103" t="str" cm="1">
        <f t="array" aca="1" ref="E103" ca="1">CONCATENATE(INDIRECT(ADDRESS(1,5,1,0,"KeySet"),0),":","""",valueMaker!E103,"""")</f>
        <v>kainGender:"女性"</v>
      </c>
      <c r="F103" t="str" cm="1">
        <f t="array" aca="1" ref="F103" ca="1">CONCATENATE(INDIRECT(ADDRESS(1,6,1,0,"KeySet"),0),":","""",TEXT(valueMaker!F103,"yyyy/m/d"),"""")</f>
        <v>tanjyoubi:"1974/8/8"</v>
      </c>
      <c r="G103" t="str" cm="1">
        <f t="array" aca="1" ref="G103" ca="1">CONCATENATE(INDIRECT(ADDRESS(1,6,1,0,"KeySet"),0),":","""",TEXT(valueMaker!G103,"yyyy/m/d"),"""")</f>
        <v>tanjyoubi:"2012/3/9"</v>
      </c>
      <c r="H103" t="str" cm="1">
        <f t="array" aca="1" ref="H103" ca="1">CONCATENATE(INDIRECT(ADDRESS(1,6,1,0,"KeySet"),0),":","""",TEXT(valueMaker!H103,"yyyy/m/d"),"""")</f>
        <v>tanjyoubi:"2015/3/9"</v>
      </c>
      <c r="I103" t="str" cm="1">
        <f t="array" aca="1" ref="I103" ca="1">CONCATENATE(INDIRECT(ADDRESS(1,9,1,0,"KeySet"),0),":","""",valueMaker!I103,"""")</f>
        <v>denwaBangou:"080-2655-9478"</v>
      </c>
      <c r="J103" t="str" cm="1">
        <f t="array" aca="1" ref="J103" ca="1">CONCATENATE(INDIRECT(ADDRESS(1,10,1,0,"KeySet"),0),":","""",valueMaker!J103,"""")</f>
        <v>mailAddress:"Guo_Ruo Bin_40977@outlook.jp.co"</v>
      </c>
      <c r="K103" t="str" cm="1">
        <f t="array" aca="1" ref="K103" ca="1">CONCATENATE(INDIRECT(ADDRESS(1,11,1,0,"KeySet"),0),":","""",valueMaker!K103,"""")</f>
        <v>kaninSyubetu:"普通"</v>
      </c>
      <c r="L103" t="str" cm="1">
        <f t="array" aca="1" ref="L103" ca="1">CONCATENATE(INDIRECT(ADDRESS(1,12,1,0,"KeySet"),0),":","""",valueMaker!L103,"""")</f>
        <v>kaninKengenWB:"有り"</v>
      </c>
      <c r="M103" t="str" cm="1">
        <f t="array" aca="1" ref="M103" ca="1">CONCATENATE(INDIRECT(ADDRESS(1,13,1,0,"KeySet"),0),":","""",valueMaker!M103,"""")</f>
        <v>wakibiri:"5%"</v>
      </c>
      <c r="N103" t="str" cm="1">
        <f t="array" aca="1" ref="N103" ca="1">CONCATENATE(INDIRECT(ADDRESS(1,14,1,0,"KeySet"),0),":","""",valueMaker!N103,"""")</f>
        <v>kaninKengenPoint:"有り"</v>
      </c>
      <c r="O103" t="str" cm="1">
        <f t="array" aca="1" ref="O103" ca="1">CONCATENATE(INDIRECT(ADDRESS(1,15,1,0,"KeySet"),0),":","""",valueMaker!O103,"""")</f>
        <v>point:"181"</v>
      </c>
      <c r="P103" t="str" cm="1">
        <f t="array" aca="1" ref="P103" ca="1">CONCATENATE(INDIRECT(ADDRESS(1,16,1,0,"KeySet"),0),":","""",valueMaker!P103,"""")</f>
        <v>bikou:""</v>
      </c>
    </row>
    <row r="104" spans="1:16">
      <c r="A104" t="str" cm="1">
        <f t="array" aca="1" ref="A104" ca="1">CONCATENATE(INDIRECT(ADDRESS(1,1,1,0,"KeySet"),0),":","""",valueMaker!A104,"""")</f>
        <v>kainBangou:"TD10103"</v>
      </c>
      <c r="B104" t="str" cm="1">
        <f t="array" aca="1" ref="B104" ca="1">CONCATENATE(INDIRECT(ADDRESS(1,2,1,0,"KeySet"),0),":","""",valueMaker!B104,"""")</f>
        <v>kainMeiKanji:"吳品夢"</v>
      </c>
      <c r="C104" t="str" cm="1">
        <f t="array" aca="1" ref="C104" ca="1">CONCATENATE(INDIRECT(ADDRESS(1,3,1,0,"KeySet"),0),":","""",valueMaker!C104,"""")</f>
        <v>kainMeiKana:"ｳｰ ﾋﾟﾝ ﾑｵﾝ"</v>
      </c>
      <c r="D104" t="str" cm="1">
        <f t="array" aca="1" ref="D104" ca="1">CONCATENATE(INDIRECT(ADDRESS(1,4,1,0,"KeySet"),0),":","""",valueMaker!D104,"""")</f>
        <v>kainMeiEn:"Wu Pin Meng"</v>
      </c>
      <c r="E104" t="str" cm="1">
        <f t="array" aca="1" ref="E104" ca="1">CONCATENATE(INDIRECT(ADDRESS(1,5,1,0,"KeySet"),0),":","""",valueMaker!E104,"""")</f>
        <v>kainGender:"女性"</v>
      </c>
      <c r="F104" t="str" cm="1">
        <f t="array" aca="1" ref="F104" ca="1">CONCATENATE(INDIRECT(ADDRESS(1,6,1,0,"KeySet"),0),":","""",TEXT(valueMaker!F104,"yyyy/m/d"),"""")</f>
        <v>tanjyoubi:"1996/5/15"</v>
      </c>
      <c r="G104" t="str" cm="1">
        <f t="array" aca="1" ref="G104" ca="1">CONCATENATE(INDIRECT(ADDRESS(1,6,1,0,"KeySet"),0),":","""",TEXT(valueMaker!G104,"yyyy/m/d"),"""")</f>
        <v>tanjyoubi:"2019/6/1"</v>
      </c>
      <c r="H104" t="str" cm="1">
        <f t="array" aca="1" ref="H104" ca="1">CONCATENATE(INDIRECT(ADDRESS(1,6,1,0,"KeySet"),0),":","""",TEXT(valueMaker!H104,"yyyy/m/d"),"""")</f>
        <v>tanjyoubi:"2021/5/31"</v>
      </c>
      <c r="I104" t="str" cm="1">
        <f t="array" aca="1" ref="I104" ca="1">CONCATENATE(INDIRECT(ADDRESS(1,9,1,0,"KeySet"),0),":","""",valueMaker!I104,"""")</f>
        <v>denwaBangou:"080-4653-6517"</v>
      </c>
      <c r="J104" t="str" cm="1">
        <f t="array" aca="1" ref="J104" ca="1">CONCATENATE(INDIRECT(ADDRESS(1,10,1,0,"KeySet"),0),":","""",valueMaker!J104,"""")</f>
        <v>mailAddress:"Wu_Pin_Meng_43617@outlook.jp.co"</v>
      </c>
      <c r="K104" t="str" cm="1">
        <f t="array" aca="1" ref="K104" ca="1">CONCATENATE(INDIRECT(ADDRESS(1,11,1,0,"KeySet"),0),":","""",valueMaker!K104,"""")</f>
        <v>kaninSyubetu:"高級"</v>
      </c>
      <c r="L104" t="str" cm="1">
        <f t="array" aca="1" ref="L104" ca="1">CONCATENATE(INDIRECT(ADDRESS(1,12,1,0,"KeySet"),0),":","""",valueMaker!L104,"""")</f>
        <v>kaninKengenWB:"-"</v>
      </c>
      <c r="M104" t="str" cm="1">
        <f t="array" aca="1" ref="M104" ca="1">CONCATENATE(INDIRECT(ADDRESS(1,13,1,0,"KeySet"),0),":","""",valueMaker!M104,"""")</f>
        <v>wakibiri:"-"</v>
      </c>
      <c r="N104" t="str" cm="1">
        <f t="array" aca="1" ref="N104" ca="1">CONCATENATE(INDIRECT(ADDRESS(1,14,1,0,"KeySet"),0),":","""",valueMaker!N104,"""")</f>
        <v>kaninKengenPoint:"有り"</v>
      </c>
      <c r="O104" t="str" cm="1">
        <f t="array" aca="1" ref="O104" ca="1">CONCATENATE(INDIRECT(ADDRESS(1,15,1,0,"KeySet"),0),":","""",valueMaker!O104,"""")</f>
        <v>point:"138"</v>
      </c>
      <c r="P104" t="str" cm="1">
        <f t="array" aca="1" ref="P104" ca="1">CONCATENATE(INDIRECT(ADDRESS(1,16,1,0,"KeySet"),0),":","""",valueMaker!P104,"""")</f>
        <v>bikou:""</v>
      </c>
    </row>
    <row r="105" spans="1:16">
      <c r="A105" t="str" cm="1">
        <f t="array" aca="1" ref="A105" ca="1">CONCATENATE(INDIRECT(ADDRESS(1,1,1,0,"KeySet"),0),":","""",valueMaker!A105,"""")</f>
        <v>kainBangou:"TD10104"</v>
      </c>
      <c r="B105" t="str" cm="1">
        <f t="array" aca="1" ref="B105" ca="1">CONCATENATE(INDIRECT(ADDRESS(1,2,1,0,"KeySet"),0),":","""",valueMaker!B105,"""")</f>
        <v>kainMeiKanji:"周泓唯"</v>
      </c>
      <c r="C105" t="str" cm="1">
        <f t="array" aca="1" ref="C105" ca="1">CONCATENATE(INDIRECT(ADDRESS(1,3,1,0,"KeySet"),0),":","""",valueMaker!C105,"""")</f>
        <v>kainMeiKana:"ｼﾞｮｳ ﾎｰﾝ ｳｴｲ"</v>
      </c>
      <c r="D105" t="str" cm="1">
        <f t="array" aca="1" ref="D105" ca="1">CONCATENATE(INDIRECT(ADDRESS(1,4,1,0,"KeySet"),0),":","""",valueMaker!D105,"""")</f>
        <v>kainMeiEn:"Zhou Hong Wei"</v>
      </c>
      <c r="E105" t="str" cm="1">
        <f t="array" aca="1" ref="E105" ca="1">CONCATENATE(INDIRECT(ADDRESS(1,5,1,0,"KeySet"),0),":","""",valueMaker!E105,"""")</f>
        <v>kainGender:"男性"</v>
      </c>
      <c r="F105" t="str" cm="1">
        <f t="array" aca="1" ref="F105" ca="1">CONCATENATE(INDIRECT(ADDRESS(1,6,1,0,"KeySet"),0),":","""",TEXT(valueMaker!F105,"yyyy/m/d"),"""")</f>
        <v>tanjyoubi:"1971/2/12"</v>
      </c>
      <c r="G105" t="str" cm="1">
        <f t="array" aca="1" ref="G105" ca="1">CONCATENATE(INDIRECT(ADDRESS(1,6,1,0,"KeySet"),0),":","""",TEXT(valueMaker!G105,"yyyy/m/d"),"""")</f>
        <v>tanjyoubi:"2022/11/2"</v>
      </c>
      <c r="H105" t="str" cm="1">
        <f t="array" aca="1" ref="H105" ca="1">CONCATENATE(INDIRECT(ADDRESS(1,6,1,0,"KeySet"),0),":","""",TEXT(valueMaker!H105,"yyyy/m/d"),"""")</f>
        <v>tanjyoubi:"2024/11/1"</v>
      </c>
      <c r="I105" t="str" cm="1">
        <f t="array" aca="1" ref="I105" ca="1">CONCATENATE(INDIRECT(ADDRESS(1,9,1,0,"KeySet"),0),":","""",valueMaker!I105,"""")</f>
        <v>denwaBangou:"090-0540-3584"</v>
      </c>
      <c r="J105" t="str" cm="1">
        <f t="array" aca="1" ref="J105" ca="1">CONCATENATE(INDIRECT(ADDRESS(1,10,1,0,"KeySet"),0),":","""",valueMaker!J105,"""")</f>
        <v>mailAddress:"Zhou_Hong_Wei_44867@outlook.jp.co"</v>
      </c>
      <c r="K105" t="str" cm="1">
        <f t="array" aca="1" ref="K105" ca="1">CONCATENATE(INDIRECT(ADDRESS(1,11,1,0,"KeySet"),0),":","""",valueMaker!K105,"""")</f>
        <v>kaninSyubetu:"高級"</v>
      </c>
      <c r="L105" t="str" cm="1">
        <f t="array" aca="1" ref="L105" ca="1">CONCATENATE(INDIRECT(ADDRESS(1,12,1,0,"KeySet"),0),":","""",valueMaker!L105,"""")</f>
        <v>kaninKengenWB:"有り"</v>
      </c>
      <c r="M105" t="str" cm="1">
        <f t="array" aca="1" ref="M105" ca="1">CONCATENATE(INDIRECT(ADDRESS(1,13,1,0,"KeySet"),0),":","""",valueMaker!M105,"""")</f>
        <v>wakibiri:"10%"</v>
      </c>
      <c r="N105" t="str" cm="1">
        <f t="array" aca="1" ref="N105" ca="1">CONCATENATE(INDIRECT(ADDRESS(1,14,1,0,"KeySet"),0),":","""",valueMaker!N105,"""")</f>
        <v>kaninKengenPoint:"有り"</v>
      </c>
      <c r="O105" t="str" cm="1">
        <f t="array" aca="1" ref="O105" ca="1">CONCATENATE(INDIRECT(ADDRESS(1,15,1,0,"KeySet"),0),":","""",valueMaker!O105,"""")</f>
        <v>point:"103"</v>
      </c>
      <c r="P105" t="str" cm="1">
        <f t="array" aca="1" ref="P105" ca="1">CONCATENATE(INDIRECT(ADDRESS(1,16,1,0,"KeySet"),0),":","""",valueMaker!P105,"""")</f>
        <v>bikou:""</v>
      </c>
    </row>
    <row r="106" spans="1:16">
      <c r="A106" t="str" cm="1">
        <f t="array" aca="1" ref="A106" ca="1">CONCATENATE(INDIRECT(ADDRESS(1,1,1,0,"KeySet"),0),":","""",valueMaker!A106,"""")</f>
        <v>kainBangou:"TD10105"</v>
      </c>
      <c r="B106" t="str" cm="1">
        <f t="array" aca="1" ref="B106" ca="1">CONCATENATE(INDIRECT(ADDRESS(1,2,1,0,"KeySet"),0),":","""",valueMaker!B106,"""")</f>
        <v>kainMeiKanji:"胡劍納"</v>
      </c>
      <c r="C106" t="str" cm="1">
        <f t="array" aca="1" ref="C106" ca="1">CONCATENATE(INDIRECT(ADDRESS(1,3,1,0,"KeySet"),0),":","""",valueMaker!C106,"""")</f>
        <v>kainMeiKana:"ﾎｩ ｼﾞｴﾝ ﾅｰ"</v>
      </c>
      <c r="D106" t="str" cm="1">
        <f t="array" aca="1" ref="D106" ca="1">CONCATENATE(INDIRECT(ADDRESS(1,4,1,0,"KeySet"),0),":","""",valueMaker!D106,"""")</f>
        <v>kainMeiEn:"Hu Jian Na"</v>
      </c>
      <c r="E106" t="str" cm="1">
        <f t="array" aca="1" ref="E106" ca="1">CONCATENATE(INDIRECT(ADDRESS(1,5,1,0,"KeySet"),0),":","""",valueMaker!E106,"""")</f>
        <v>kainGender:"男性"</v>
      </c>
      <c r="F106" t="str" cm="1">
        <f t="array" aca="1" ref="F106" ca="1">CONCATENATE(INDIRECT(ADDRESS(1,6,1,0,"KeySet"),0),":","""",TEXT(valueMaker!F106,"yyyy/m/d"),"""")</f>
        <v>tanjyoubi:"1969/7/28"</v>
      </c>
      <c r="G106" t="str" cm="1">
        <f t="array" aca="1" ref="G106" ca="1">CONCATENATE(INDIRECT(ADDRESS(1,6,1,0,"KeySet"),0),":","""",TEXT(valueMaker!G106,"yyyy/m/d"),"""")</f>
        <v>tanjyoubi:"2001/1/9"</v>
      </c>
      <c r="H106" t="str" cm="1">
        <f t="array" aca="1" ref="H106" ca="1">CONCATENATE(INDIRECT(ADDRESS(1,6,1,0,"KeySet"),0),":","""",TEXT(valueMaker!H106,"yyyy/m/d"),"""")</f>
        <v>tanjyoubi:"2003/1/9"</v>
      </c>
      <c r="I106" t="str" cm="1">
        <f t="array" aca="1" ref="I106" ca="1">CONCATENATE(INDIRECT(ADDRESS(1,9,1,0,"KeySet"),0),":","""",valueMaker!I106,"""")</f>
        <v>denwaBangou:"090-7205-3029"</v>
      </c>
      <c r="J106" t="str" cm="1">
        <f t="array" aca="1" ref="J106" ca="1">CONCATENATE(INDIRECT(ADDRESS(1,10,1,0,"KeySet"),0),":","""",valueMaker!J106,"""")</f>
        <v>mailAddress:"Hu_Jian_Na_36900@outlook.jp.co"</v>
      </c>
      <c r="K106" t="str" cm="1">
        <f t="array" aca="1" ref="K106" ca="1">CONCATENATE(INDIRECT(ADDRESS(1,11,1,0,"KeySet"),0),":","""",valueMaker!K106,"""")</f>
        <v>kaninSyubetu:"普通"</v>
      </c>
      <c r="L106" t="str" cm="1">
        <f t="array" aca="1" ref="L106" ca="1">CONCATENATE(INDIRECT(ADDRESS(1,12,1,0,"KeySet"),0),":","""",valueMaker!L106,"""")</f>
        <v>kaninKengenWB:"-"</v>
      </c>
      <c r="M106" t="str" cm="1">
        <f t="array" aca="1" ref="M106" ca="1">CONCATENATE(INDIRECT(ADDRESS(1,13,1,0,"KeySet"),0),":","""",valueMaker!M106,"""")</f>
        <v>wakibiri:"-"</v>
      </c>
      <c r="N106" t="str" cm="1">
        <f t="array" aca="1" ref="N106" ca="1">CONCATENATE(INDIRECT(ADDRESS(1,14,1,0,"KeySet"),0),":","""",valueMaker!N106,"""")</f>
        <v>kaninKengenPoint:"有り"</v>
      </c>
      <c r="O106" t="str" cm="1">
        <f t="array" aca="1" ref="O106" ca="1">CONCATENATE(INDIRECT(ADDRESS(1,15,1,0,"KeySet"),0),":","""",valueMaker!O106,"""")</f>
        <v>point:"693"</v>
      </c>
      <c r="P106" t="str" cm="1">
        <f t="array" aca="1" ref="P106" ca="1">CONCATENATE(INDIRECT(ADDRESS(1,16,1,0,"KeySet"),0),":","""",valueMaker!P106,"""")</f>
        <v>bikou:""</v>
      </c>
    </row>
    <row r="107" spans="1:16">
      <c r="A107" t="str" cm="1">
        <f t="array" aca="1" ref="A107" ca="1">CONCATENATE(INDIRECT(ADDRESS(1,1,1,0,"KeySet"),0),":","""",valueMaker!A107,"""")</f>
        <v>kainBangou:"TD10106"</v>
      </c>
      <c r="B107" t="str" cm="1">
        <f t="array" aca="1" ref="B107" ca="1">CONCATENATE(INDIRECT(ADDRESS(1,2,1,0,"KeySet"),0),":","""",valueMaker!B107,"""")</f>
        <v>kainMeiKanji:"王若彬"</v>
      </c>
      <c r="C107" t="str" cm="1">
        <f t="array" aca="1" ref="C107" ca="1">CONCATENATE(INDIRECT(ADDRESS(1,3,1,0,"KeySet"),0),":","""",valueMaker!C107,"""")</f>
        <v>kainMeiKana:"ﾜｰﾝ ｩﾙｵ ﾋﾞﾝ"</v>
      </c>
      <c r="D107" t="str" cm="1">
        <f t="array" aca="1" ref="D107" ca="1">CONCATENATE(INDIRECT(ADDRESS(1,4,1,0,"KeySet"),0),":","""",valueMaker!D107,"""")</f>
        <v>kainMeiEn:"Wang Ruo Bin"</v>
      </c>
      <c r="E107" t="str" cm="1">
        <f t="array" aca="1" ref="E107" ca="1">CONCATENATE(INDIRECT(ADDRESS(1,5,1,0,"KeySet"),0),":","""",valueMaker!E107,"""")</f>
        <v>kainGender:"女性"</v>
      </c>
      <c r="F107" t="str" cm="1">
        <f t="array" aca="1" ref="F107" ca="1">CONCATENATE(INDIRECT(ADDRESS(1,6,1,0,"KeySet"),0),":","""",TEXT(valueMaker!F107,"yyyy/m/d"),"""")</f>
        <v>tanjyoubi:"1960/2/9"</v>
      </c>
      <c r="G107" t="str" cm="1">
        <f t="array" aca="1" ref="G107" ca="1">CONCATENATE(INDIRECT(ADDRESS(1,6,1,0,"KeySet"),0),":","""",TEXT(valueMaker!G107,"yyyy/m/d"),"""")</f>
        <v>tanjyoubi:"1995/10/28"</v>
      </c>
      <c r="H107" t="str" cm="1">
        <f t="array" aca="1" ref="H107" ca="1">CONCATENATE(INDIRECT(ADDRESS(1,6,1,0,"KeySet"),0),":","""",TEXT(valueMaker!H107,"yyyy/m/d"),"""")</f>
        <v>tanjyoubi:"1996/10/27"</v>
      </c>
      <c r="I107" t="str" cm="1">
        <f t="array" aca="1" ref="I107" ca="1">CONCATENATE(INDIRECT(ADDRESS(1,9,1,0,"KeySet"),0),":","""",valueMaker!I107,"""")</f>
        <v>denwaBangou:"080-0079-2927"</v>
      </c>
      <c r="J107" t="str" cm="1">
        <f t="array" aca="1" ref="J107" ca="1">CONCATENATE(INDIRECT(ADDRESS(1,10,1,0,"KeySet"),0),":","""",valueMaker!J107,"""")</f>
        <v>mailAddress:"Wang_Ruo Bin_35000@outlook.jp.co"</v>
      </c>
      <c r="K107" t="str" cm="1">
        <f t="array" aca="1" ref="K107" ca="1">CONCATENATE(INDIRECT(ADDRESS(1,11,1,0,"KeySet"),0),":","""",valueMaker!K107,"""")</f>
        <v>kaninSyubetu:"普通"</v>
      </c>
      <c r="L107" t="str" cm="1">
        <f t="array" aca="1" ref="L107" ca="1">CONCATENATE(INDIRECT(ADDRESS(1,12,1,0,"KeySet"),0),":","""",valueMaker!L107,"""")</f>
        <v>kaninKengenWB:"有り"</v>
      </c>
      <c r="M107" t="str" cm="1">
        <f t="array" aca="1" ref="M107" ca="1">CONCATENATE(INDIRECT(ADDRESS(1,13,1,0,"KeySet"),0),":","""",valueMaker!M107,"""")</f>
        <v>wakibiri:"5%"</v>
      </c>
      <c r="N107" t="str" cm="1">
        <f t="array" aca="1" ref="N107" ca="1">CONCATENATE(INDIRECT(ADDRESS(1,14,1,0,"KeySet"),0),":","""",valueMaker!N107,"""")</f>
        <v>kaninKengenPoint:"有り"</v>
      </c>
      <c r="O107" t="str" cm="1">
        <f t="array" aca="1" ref="O107" ca="1">CONCATENATE(INDIRECT(ADDRESS(1,15,1,0,"KeySet"),0),":","""",valueMaker!O107,"""")</f>
        <v>point:"278"</v>
      </c>
      <c r="P107" t="str" cm="1">
        <f t="array" aca="1" ref="P107" ca="1">CONCATENATE(INDIRECT(ADDRESS(1,16,1,0,"KeySet"),0),":","""",valueMaker!P107,"""")</f>
        <v>bikou:""</v>
      </c>
    </row>
    <row r="108" spans="1:16">
      <c r="A108" t="str" cm="1">
        <f t="array" aca="1" ref="A108" ca="1">CONCATENATE(INDIRECT(ADDRESS(1,1,1,0,"KeySet"),0),":","""",valueMaker!A108,"""")</f>
        <v>kainBangou:"TD10107"</v>
      </c>
      <c r="B108" t="str" cm="1">
        <f t="array" aca="1" ref="B108" ca="1">CONCATENATE(INDIRECT(ADDRESS(1,2,1,0,"KeySet"),0),":","""",valueMaker!B108,"""")</f>
        <v>kainMeiKanji:"朱銀池"</v>
      </c>
      <c r="C108" t="str" cm="1">
        <f t="array" aca="1" ref="C108" ca="1">CONCATENATE(INDIRECT(ADDRESS(1,3,1,0,"KeySet"),0),":","""",valueMaker!C108,"""")</f>
        <v>kainMeiKana:"ｼﾞｭｳ ｲﾝ ﾁｰ"</v>
      </c>
      <c r="D108" t="str" cm="1">
        <f t="array" aca="1" ref="D108" ca="1">CONCATENATE(INDIRECT(ADDRESS(1,4,1,0,"KeySet"),0),":","""",valueMaker!D108,"""")</f>
        <v>kainMeiEn:"Zhu Yin Chi"</v>
      </c>
      <c r="E108" t="str" cm="1">
        <f t="array" aca="1" ref="E108" ca="1">CONCATENATE(INDIRECT(ADDRESS(1,5,1,0,"KeySet"),0),":","""",valueMaker!E108,"""")</f>
        <v>kainGender:"女性"</v>
      </c>
      <c r="F108" t="str" cm="1">
        <f t="array" aca="1" ref="F108" ca="1">CONCATENATE(INDIRECT(ADDRESS(1,6,1,0,"KeySet"),0),":","""",TEXT(valueMaker!F108,"yyyy/m/d"),"""")</f>
        <v>tanjyoubi:"1983/7/15"</v>
      </c>
      <c r="G108" t="str" cm="1">
        <f t="array" aca="1" ref="G108" ca="1">CONCATENATE(INDIRECT(ADDRESS(1,6,1,0,"KeySet"),0),":","""",TEXT(valueMaker!G108,"yyyy/m/d"),"""")</f>
        <v>tanjyoubi:"2010/5/4"</v>
      </c>
      <c r="H108" t="str" cm="1">
        <f t="array" aca="1" ref="H108" ca="1">CONCATENATE(INDIRECT(ADDRESS(1,6,1,0,"KeySet"),0),":","""",TEXT(valueMaker!H108,"yyyy/m/d"),"""")</f>
        <v>tanjyoubi:"2012/5/3"</v>
      </c>
      <c r="I108" t="str" cm="1">
        <f t="array" aca="1" ref="I108" ca="1">CONCATENATE(INDIRECT(ADDRESS(1,9,1,0,"KeySet"),0),":","""",valueMaker!I108,"""")</f>
        <v>denwaBangou:"080-2548-6892"</v>
      </c>
      <c r="J108" t="str" cm="1">
        <f t="array" aca="1" ref="J108" ca="1">CONCATENATE(INDIRECT(ADDRESS(1,10,1,0,"KeySet"),0),":","""",valueMaker!J108,"""")</f>
        <v>mailAddress:"Zhu_Yin_Chi_40302@outlook.jp.co"</v>
      </c>
      <c r="K108" t="str" cm="1">
        <f t="array" aca="1" ref="K108" ca="1">CONCATENATE(INDIRECT(ADDRESS(1,11,1,0,"KeySet"),0),":","""",valueMaker!K108,"""")</f>
        <v>kaninSyubetu:"高級"</v>
      </c>
      <c r="L108" t="str" cm="1">
        <f t="array" aca="1" ref="L108" ca="1">CONCATENATE(INDIRECT(ADDRESS(1,12,1,0,"KeySet"),0),":","""",valueMaker!L108,"""")</f>
        <v>kaninKengenWB:"有り"</v>
      </c>
      <c r="M108" t="str" cm="1">
        <f t="array" aca="1" ref="M108" ca="1">CONCATENATE(INDIRECT(ADDRESS(1,13,1,0,"KeySet"),0),":","""",valueMaker!M108,"""")</f>
        <v>wakibiri:"10%"</v>
      </c>
      <c r="N108" t="str" cm="1">
        <f t="array" aca="1" ref="N108" ca="1">CONCATENATE(INDIRECT(ADDRESS(1,14,1,0,"KeySet"),0),":","""",valueMaker!N108,"""")</f>
        <v>kaninKengenPoint:"有り"</v>
      </c>
      <c r="O108" t="str" cm="1">
        <f t="array" aca="1" ref="O108" ca="1">CONCATENATE(INDIRECT(ADDRESS(1,15,1,0,"KeySet"),0),":","""",valueMaker!O108,"""")</f>
        <v>point:"753"</v>
      </c>
      <c r="P108" t="str" cm="1">
        <f t="array" aca="1" ref="P108" ca="1">CONCATENATE(INDIRECT(ADDRESS(1,16,1,0,"KeySet"),0),":","""",valueMaker!P108,"""")</f>
        <v>bikou:""</v>
      </c>
    </row>
    <row r="109" spans="1:16">
      <c r="A109" t="str" cm="1">
        <f t="array" aca="1" ref="A109" ca="1">CONCATENATE(INDIRECT(ADDRESS(1,1,1,0,"KeySet"),0),":","""",valueMaker!A109,"""")</f>
        <v>kainBangou:"TD10108"</v>
      </c>
      <c r="B109" t="str" cm="1">
        <f t="array" aca="1" ref="B109" ca="1">CONCATENATE(INDIRECT(ADDRESS(1,2,1,0,"KeySet"),0),":","""",valueMaker!B109,"""")</f>
        <v>kainMeiKanji:"鄭萬斌"</v>
      </c>
      <c r="C109" t="str" cm="1">
        <f t="array" aca="1" ref="C109" ca="1">CONCATENATE(INDIRECT(ADDRESS(1,3,1,0,"KeySet"),0),":","""",valueMaker!C109,"""")</f>
        <v>kainMeiKana:"ｼﾞｭﾖﾝ ﾜﾝ ﾋﾞﾝ"</v>
      </c>
      <c r="D109" t="str" cm="1">
        <f t="array" aca="1" ref="D109" ca="1">CONCATENATE(INDIRECT(ADDRESS(1,4,1,0,"KeySet"),0),":","""",valueMaker!D109,"""")</f>
        <v>kainMeiEn:"Zheng Wan Bin"</v>
      </c>
      <c r="E109" t="str" cm="1">
        <f t="array" aca="1" ref="E109" ca="1">CONCATENATE(INDIRECT(ADDRESS(1,5,1,0,"KeySet"),0),":","""",valueMaker!E109,"""")</f>
        <v>kainGender:"女性"</v>
      </c>
      <c r="F109" t="str" cm="1">
        <f t="array" aca="1" ref="F109" ca="1">CONCATENATE(INDIRECT(ADDRESS(1,6,1,0,"KeySet"),0),":","""",TEXT(valueMaker!F109,"yyyy/m/d"),"""")</f>
        <v>tanjyoubi:"1983/7/15"</v>
      </c>
      <c r="G109" t="str" cm="1">
        <f t="array" aca="1" ref="G109" ca="1">CONCATENATE(INDIRECT(ADDRESS(1,6,1,0,"KeySet"),0),":","""",TEXT(valueMaker!G109,"yyyy/m/d"),"""")</f>
        <v>tanjyoubi:"2007/3/7"</v>
      </c>
      <c r="H109" t="str" cm="1">
        <f t="array" aca="1" ref="H109" ca="1">CONCATENATE(INDIRECT(ADDRESS(1,6,1,0,"KeySet"),0),":","""",TEXT(valueMaker!H109,"yyyy/m/d"),"""")</f>
        <v>tanjyoubi:"2008/3/6"</v>
      </c>
      <c r="I109" t="str" cm="1">
        <f t="array" aca="1" ref="I109" ca="1">CONCATENATE(INDIRECT(ADDRESS(1,9,1,0,"KeySet"),0),":","""",valueMaker!I109,"""")</f>
        <v>denwaBangou:"090-6658-6810"</v>
      </c>
      <c r="J109" t="str" cm="1">
        <f t="array" aca="1" ref="J109" ca="1">CONCATENATE(INDIRECT(ADDRESS(1,10,1,0,"KeySet"),0),":","""",valueMaker!J109,"""")</f>
        <v>mailAddress:"Zheng_Wan_Bin_39148@outlook.jp.co"</v>
      </c>
      <c r="K109" t="str" cm="1">
        <f t="array" aca="1" ref="K109" ca="1">CONCATENATE(INDIRECT(ADDRESS(1,11,1,0,"KeySet"),0),":","""",valueMaker!K109,"""")</f>
        <v>kaninSyubetu:"普通"</v>
      </c>
      <c r="L109" t="str" cm="1">
        <f t="array" aca="1" ref="L109" ca="1">CONCATENATE(INDIRECT(ADDRESS(1,12,1,0,"KeySet"),0),":","""",valueMaker!L109,"""")</f>
        <v>kaninKengenWB:"有り"</v>
      </c>
      <c r="M109" t="str" cm="1">
        <f t="array" aca="1" ref="M109" ca="1">CONCATENATE(INDIRECT(ADDRESS(1,13,1,0,"KeySet"),0),":","""",valueMaker!M109,"""")</f>
        <v>wakibiri:"5%"</v>
      </c>
      <c r="N109" t="str" cm="1">
        <f t="array" aca="1" ref="N109" ca="1">CONCATENATE(INDIRECT(ADDRESS(1,14,1,0,"KeySet"),0),":","""",valueMaker!N109,"""")</f>
        <v>kaninKengenPoint:"有り"</v>
      </c>
      <c r="O109" t="str" cm="1">
        <f t="array" aca="1" ref="O109" ca="1">CONCATENATE(INDIRECT(ADDRESS(1,15,1,0,"KeySet"),0),":","""",valueMaker!O109,"""")</f>
        <v>point:"595"</v>
      </c>
      <c r="P109" t="str" cm="1">
        <f t="array" aca="1" ref="P109" ca="1">CONCATENATE(INDIRECT(ADDRESS(1,16,1,0,"KeySet"),0),":","""",valueMaker!P109,"""")</f>
        <v>bikou:""</v>
      </c>
    </row>
    <row r="110" spans="1:16">
      <c r="A110" t="str" cm="1">
        <f t="array" aca="1" ref="A110" ca="1">CONCATENATE(INDIRECT(ADDRESS(1,1,1,0,"KeySet"),0),":","""",valueMaker!A110,"""")</f>
        <v>kainBangou:"TD10109"</v>
      </c>
      <c r="B110" t="str" cm="1">
        <f t="array" aca="1" ref="B110" ca="1">CONCATENATE(INDIRECT(ADDRESS(1,2,1,0,"KeySet"),0),":","""",valueMaker!B110,"""")</f>
        <v>kainMeiKanji:"鄭馳微"</v>
      </c>
      <c r="C110" t="str" cm="1">
        <f t="array" aca="1" ref="C110" ca="1">CONCATENATE(INDIRECT(ADDRESS(1,3,1,0,"KeySet"),0),":","""",valueMaker!C110,"""")</f>
        <v>kainMeiKana:"ｼﾞｭﾖﾝ ﾁｰ ｳｴｲ"</v>
      </c>
      <c r="D110" t="str" cm="1">
        <f t="array" aca="1" ref="D110" ca="1">CONCATENATE(INDIRECT(ADDRESS(1,4,1,0,"KeySet"),0),":","""",valueMaker!D110,"""")</f>
        <v>kainMeiEn:"Zheng Chi Wei"</v>
      </c>
      <c r="E110" t="str" cm="1">
        <f t="array" aca="1" ref="E110" ca="1">CONCATENATE(INDIRECT(ADDRESS(1,5,1,0,"KeySet"),0),":","""",valueMaker!E110,"""")</f>
        <v>kainGender:"男性"</v>
      </c>
      <c r="F110" t="str" cm="1">
        <f t="array" aca="1" ref="F110" ca="1">CONCATENATE(INDIRECT(ADDRESS(1,6,1,0,"KeySet"),0),":","""",TEXT(valueMaker!F110,"yyyy/m/d"),"""")</f>
        <v>tanjyoubi:"1968/8/17"</v>
      </c>
      <c r="G110" t="str" cm="1">
        <f t="array" aca="1" ref="G110" ca="1">CONCATENATE(INDIRECT(ADDRESS(1,6,1,0,"KeySet"),0),":","""",TEXT(valueMaker!G110,"yyyy/m/d"),"""")</f>
        <v>tanjyoubi:"2023/8/25"</v>
      </c>
      <c r="H110" t="str" cm="1">
        <f t="array" aca="1" ref="H110" ca="1">CONCATENATE(INDIRECT(ADDRESS(1,6,1,0,"KeySet"),0),":","""",TEXT(valueMaker!H110,"yyyy/m/d"),"""")</f>
        <v>tanjyoubi:"2025/8/24"</v>
      </c>
      <c r="I110" t="str" cm="1">
        <f t="array" aca="1" ref="I110" ca="1">CONCATENATE(INDIRECT(ADDRESS(1,9,1,0,"KeySet"),0),":","""",valueMaker!I110,"""")</f>
        <v>denwaBangou:"080-2306-3863"</v>
      </c>
      <c r="J110" t="str" cm="1">
        <f t="array" aca="1" ref="J110" ca="1">CONCATENATE(INDIRECT(ADDRESS(1,10,1,0,"KeySet"),0),":","""",valueMaker!J110,"""")</f>
        <v>mailAddress:"Zheng_Chi_Wei_45163@outlook.jp.co"</v>
      </c>
      <c r="K110" t="str" cm="1">
        <f t="array" aca="1" ref="K110" ca="1">CONCATENATE(INDIRECT(ADDRESS(1,11,1,0,"KeySet"),0),":","""",valueMaker!K110,"""")</f>
        <v>kaninSyubetu:"高級"</v>
      </c>
      <c r="L110" t="str" cm="1">
        <f t="array" aca="1" ref="L110" ca="1">CONCATENATE(INDIRECT(ADDRESS(1,12,1,0,"KeySet"),0),":","""",valueMaker!L110,"""")</f>
        <v>kaninKengenWB:"有り"</v>
      </c>
      <c r="M110" t="str" cm="1">
        <f t="array" aca="1" ref="M110" ca="1">CONCATENATE(INDIRECT(ADDRESS(1,13,1,0,"KeySet"),0),":","""",valueMaker!M110,"""")</f>
        <v>wakibiri:"10%"</v>
      </c>
      <c r="N110" t="str" cm="1">
        <f t="array" aca="1" ref="N110" ca="1">CONCATENATE(INDIRECT(ADDRESS(1,14,1,0,"KeySet"),0),":","""",valueMaker!N110,"""")</f>
        <v>kaninKengenPoint:"有り"</v>
      </c>
      <c r="O110" t="str" cm="1">
        <f t="array" aca="1" ref="O110" ca="1">CONCATENATE(INDIRECT(ADDRESS(1,15,1,0,"KeySet"),0),":","""",valueMaker!O110,"""")</f>
        <v>point:"870"</v>
      </c>
      <c r="P110" t="str" cm="1">
        <f t="array" aca="1" ref="P110" ca="1">CONCATENATE(INDIRECT(ADDRESS(1,16,1,0,"KeySet"),0),":","""",valueMaker!P110,"""")</f>
        <v>bikou:""</v>
      </c>
    </row>
    <row r="111" spans="1:16">
      <c r="A111" t="str" cm="1">
        <f t="array" aca="1" ref="A111" ca="1">CONCATENATE(INDIRECT(ADDRESS(1,1,1,0,"KeySet"),0),":","""",valueMaker!A111,"""")</f>
        <v>kainBangou:"TD10110"</v>
      </c>
      <c r="B111" t="str" cm="1">
        <f t="array" aca="1" ref="B111" ca="1">CONCATENATE(INDIRECT(ADDRESS(1,2,1,0,"KeySet"),0),":","""",valueMaker!B111,"""")</f>
        <v>kainMeiKanji:"馬存貿"</v>
      </c>
      <c r="C111" t="str" cm="1">
        <f t="array" aca="1" ref="C111" ca="1">CONCATENATE(INDIRECT(ADDRESS(1,3,1,0,"KeySet"),0),":","""",valueMaker!C111,"""")</f>
        <v>kainMeiKana:"ﾏｰ ﾂｩﾝ ﾏｵ"</v>
      </c>
      <c r="D111" t="str" cm="1">
        <f t="array" aca="1" ref="D111" ca="1">CONCATENATE(INDIRECT(ADDRESS(1,4,1,0,"KeySet"),0),":","""",valueMaker!D111,"""")</f>
        <v>kainMeiEn:"Ma Cun Mao"</v>
      </c>
      <c r="E111" t="str" cm="1">
        <f t="array" aca="1" ref="E111" ca="1">CONCATENATE(INDIRECT(ADDRESS(1,5,1,0,"KeySet"),0),":","""",valueMaker!E111,"""")</f>
        <v>kainGender:"男性"</v>
      </c>
      <c r="F111" t="str" cm="1">
        <f t="array" aca="1" ref="F111" ca="1">CONCATENATE(INDIRECT(ADDRESS(1,6,1,0,"KeySet"),0),":","""",TEXT(valueMaker!F111,"yyyy/m/d"),"""")</f>
        <v>tanjyoubi:"1964/6/23"</v>
      </c>
      <c r="G111" t="str" cm="1">
        <f t="array" aca="1" ref="G111" ca="1">CONCATENATE(INDIRECT(ADDRESS(1,6,1,0,"KeySet"),0),":","""",TEXT(valueMaker!G111,"yyyy/m/d"),"""")</f>
        <v>tanjyoubi:"2018/2/8"</v>
      </c>
      <c r="H111" t="str" cm="1">
        <f t="array" aca="1" ref="H111" ca="1">CONCATENATE(INDIRECT(ADDRESS(1,6,1,0,"KeySet"),0),":","""",TEXT(valueMaker!H111,"yyyy/m/d"),"""")</f>
        <v>tanjyoubi:"2020/2/8"</v>
      </c>
      <c r="I111" t="str" cm="1">
        <f t="array" aca="1" ref="I111" ca="1">CONCATENATE(INDIRECT(ADDRESS(1,9,1,0,"KeySet"),0),":","""",valueMaker!I111,"""")</f>
        <v>denwaBangou:"080-9078-0467"</v>
      </c>
      <c r="J111" t="str" cm="1">
        <f t="array" aca="1" ref="J111" ca="1">CONCATENATE(INDIRECT(ADDRESS(1,10,1,0,"KeySet"),0),":","""",valueMaker!J111,"""")</f>
        <v>mailAddress:"Ma_Cun_Mao_43139@outlook.jp.co"</v>
      </c>
      <c r="K111" t="str" cm="1">
        <f t="array" aca="1" ref="K111" ca="1">CONCATENATE(INDIRECT(ADDRESS(1,11,1,0,"KeySet"),0),":","""",valueMaker!K111,"""")</f>
        <v>kaninSyubetu:"普通"</v>
      </c>
      <c r="L111" t="str" cm="1">
        <f t="array" aca="1" ref="L111" ca="1">CONCATENATE(INDIRECT(ADDRESS(1,12,1,0,"KeySet"),0),":","""",valueMaker!L111,"""")</f>
        <v>kaninKengenWB:"有り"</v>
      </c>
      <c r="M111" t="str" cm="1">
        <f t="array" aca="1" ref="M111" ca="1">CONCATENATE(INDIRECT(ADDRESS(1,13,1,0,"KeySet"),0),":","""",valueMaker!M111,"""")</f>
        <v>wakibiri:"5%"</v>
      </c>
      <c r="N111" t="str" cm="1">
        <f t="array" aca="1" ref="N111" ca="1">CONCATENATE(INDIRECT(ADDRESS(1,14,1,0,"KeySet"),0),":","""",valueMaker!N111,"""")</f>
        <v>kaninKengenPoint:"-"</v>
      </c>
      <c r="O111" t="str" cm="1">
        <f t="array" aca="1" ref="O111" ca="1">CONCATENATE(INDIRECT(ADDRESS(1,15,1,0,"KeySet"),0),":","""",valueMaker!O111,"""")</f>
        <v>point:"-"</v>
      </c>
      <c r="P111" t="str" cm="1">
        <f t="array" aca="1" ref="P111" ca="1">CONCATENATE(INDIRECT(ADDRESS(1,16,1,0,"KeySet"),0),":","""",valueMaker!P111,"""")</f>
        <v>bikou:""</v>
      </c>
    </row>
    <row r="112" spans="1:16">
      <c r="A112" t="str" cm="1">
        <f t="array" aca="1" ref="A112" ca="1">CONCATENATE(INDIRECT(ADDRESS(1,1,1,0,"KeySet"),0),":","""",valueMaker!A112,"""")</f>
        <v>kainBangou:"TD10111"</v>
      </c>
      <c r="B112" t="str" cm="1">
        <f t="array" aca="1" ref="B112" ca="1">CONCATENATE(INDIRECT(ADDRESS(1,2,1,0,"KeySet"),0),":","""",valueMaker!B112,"""")</f>
        <v>kainMeiKanji:"郭華瑋"</v>
      </c>
      <c r="C112" t="str" cm="1">
        <f t="array" aca="1" ref="C112" ca="1">CONCATENATE(INDIRECT(ADDRESS(1,3,1,0,"KeySet"),0),":","""",valueMaker!C112,"""")</f>
        <v>kainMeiKana:"ｸﾞｵ ﾎﾜ ｳｴｲ"</v>
      </c>
      <c r="D112" t="str" cm="1">
        <f t="array" aca="1" ref="D112" ca="1">CONCATENATE(INDIRECT(ADDRESS(1,4,1,0,"KeySet"),0),":","""",valueMaker!D112,"""")</f>
        <v>kainMeiEn:"Guo Hua Wei"</v>
      </c>
      <c r="E112" t="str" cm="1">
        <f t="array" aca="1" ref="E112" ca="1">CONCATENATE(INDIRECT(ADDRESS(1,5,1,0,"KeySet"),0),":","""",valueMaker!E112,"""")</f>
        <v>kainGender:"男性"</v>
      </c>
      <c r="F112" t="str" cm="1">
        <f t="array" aca="1" ref="F112" ca="1">CONCATENATE(INDIRECT(ADDRESS(1,6,1,0,"KeySet"),0),":","""",TEXT(valueMaker!F112,"yyyy/m/d"),"""")</f>
        <v>tanjyoubi:"1976/2/5"</v>
      </c>
      <c r="G112" t="str" cm="1">
        <f t="array" aca="1" ref="G112" ca="1">CONCATENATE(INDIRECT(ADDRESS(1,6,1,0,"KeySet"),0),":","""",TEXT(valueMaker!G112,"yyyy/m/d"),"""")</f>
        <v>tanjyoubi:"2004/11/1"</v>
      </c>
      <c r="H112" t="str" cm="1">
        <f t="array" aca="1" ref="H112" ca="1">CONCATENATE(INDIRECT(ADDRESS(1,6,1,0,"KeySet"),0),":","""",TEXT(valueMaker!H112,"yyyy/m/d"),"""")</f>
        <v>tanjyoubi:"2007/11/1"</v>
      </c>
      <c r="I112" t="str" cm="1">
        <f t="array" aca="1" ref="I112" ca="1">CONCATENATE(INDIRECT(ADDRESS(1,9,1,0,"KeySet"),0),":","""",valueMaker!I112,"""")</f>
        <v>denwaBangou:"080-7365-6232"</v>
      </c>
      <c r="J112" t="str" cm="1">
        <f t="array" aca="1" ref="J112" ca="1">CONCATENATE(INDIRECT(ADDRESS(1,10,1,0,"KeySet"),0),":","""",valueMaker!J112,"""")</f>
        <v>mailAddress:"Guo_Hua_Wei_38292@outlook.jp.co"</v>
      </c>
      <c r="K112" t="str" cm="1">
        <f t="array" aca="1" ref="K112" ca="1">CONCATENATE(INDIRECT(ADDRESS(1,11,1,0,"KeySet"),0),":","""",valueMaker!K112,"""")</f>
        <v>kaninSyubetu:"高級"</v>
      </c>
      <c r="L112" t="str" cm="1">
        <f t="array" aca="1" ref="L112" ca="1">CONCATENATE(INDIRECT(ADDRESS(1,12,1,0,"KeySet"),0),":","""",valueMaker!L112,"""")</f>
        <v>kaninKengenWB:"有り"</v>
      </c>
      <c r="M112" t="str" cm="1">
        <f t="array" aca="1" ref="M112" ca="1">CONCATENATE(INDIRECT(ADDRESS(1,13,1,0,"KeySet"),0),":","""",valueMaker!M112,"""")</f>
        <v>wakibiri:"10%"</v>
      </c>
      <c r="N112" t="str" cm="1">
        <f t="array" aca="1" ref="N112" ca="1">CONCATENATE(INDIRECT(ADDRESS(1,14,1,0,"KeySet"),0),":","""",valueMaker!N112,"""")</f>
        <v>kaninKengenPoint:"有り"</v>
      </c>
      <c r="O112" t="str" cm="1">
        <f t="array" aca="1" ref="O112" ca="1">CONCATENATE(INDIRECT(ADDRESS(1,15,1,0,"KeySet"),0),":","""",valueMaker!O112,"""")</f>
        <v>point:"47"</v>
      </c>
      <c r="P112" t="str" cm="1">
        <f t="array" aca="1" ref="P112" ca="1">CONCATENATE(INDIRECT(ADDRESS(1,16,1,0,"KeySet"),0),":","""",valueMaker!P112,"""")</f>
        <v>bikou:""</v>
      </c>
    </row>
    <row r="113" spans="1:16">
      <c r="A113" t="str" cm="1">
        <f t="array" aca="1" ref="A113" ca="1">CONCATENATE(INDIRECT(ADDRESS(1,1,1,0,"KeySet"),0),":","""",valueMaker!A113,"""")</f>
        <v>kainBangou:"TD10112"</v>
      </c>
      <c r="B113" t="str" cm="1">
        <f t="array" aca="1" ref="B113" ca="1">CONCATENATE(INDIRECT(ADDRESS(1,2,1,0,"KeySet"),0),":","""",valueMaker!B113,"""")</f>
        <v>kainMeiKanji:"孫斯蘭"</v>
      </c>
      <c r="C113" t="str" cm="1">
        <f t="array" aca="1" ref="C113" ca="1">CONCATENATE(INDIRECT(ADDRESS(1,3,1,0,"KeySet"),0),":","""",valueMaker!C113,"""")</f>
        <v>kainMeiKana:"ｽｩﾝ ｽｰ ﾗﾝ"</v>
      </c>
      <c r="D113" t="str" cm="1">
        <f t="array" aca="1" ref="D113" ca="1">CONCATENATE(INDIRECT(ADDRESS(1,4,1,0,"KeySet"),0),":","""",valueMaker!D113,"""")</f>
        <v>kainMeiEn:"Sun Si Lan"</v>
      </c>
      <c r="E113" t="str" cm="1">
        <f t="array" aca="1" ref="E113" ca="1">CONCATENATE(INDIRECT(ADDRESS(1,5,1,0,"KeySet"),0),":","""",valueMaker!E113,"""")</f>
        <v>kainGender:"女性"</v>
      </c>
      <c r="F113" t="str" cm="1">
        <f t="array" aca="1" ref="F113" ca="1">CONCATENATE(INDIRECT(ADDRESS(1,6,1,0,"KeySet"),0),":","""",TEXT(valueMaker!F113,"yyyy/m/d"),"""")</f>
        <v>tanjyoubi:"2000/7/22"</v>
      </c>
      <c r="G113" t="str" cm="1">
        <f t="array" aca="1" ref="G113" ca="1">CONCATENATE(INDIRECT(ADDRESS(1,6,1,0,"KeySet"),0),":","""",TEXT(valueMaker!G113,"yyyy/m/d"),"""")</f>
        <v>tanjyoubi:"2022/11/27"</v>
      </c>
      <c r="H113" t="str" cm="1">
        <f t="array" aca="1" ref="H113" ca="1">CONCATENATE(INDIRECT(ADDRESS(1,6,1,0,"KeySet"),0),":","""",TEXT(valueMaker!H113,"yyyy/m/d"),"""")</f>
        <v>tanjyoubi:"2025/11/26"</v>
      </c>
      <c r="I113" t="str" cm="1">
        <f t="array" aca="1" ref="I113" ca="1">CONCATENATE(INDIRECT(ADDRESS(1,9,1,0,"KeySet"),0),":","""",valueMaker!I113,"""")</f>
        <v>denwaBangou:"080-9804-0310"</v>
      </c>
      <c r="J113" t="str" cm="1">
        <f t="array" aca="1" ref="J113" ca="1">CONCATENATE(INDIRECT(ADDRESS(1,10,1,0,"KeySet"),0),":","""",valueMaker!J113,"""")</f>
        <v>mailAddress:"Sun_Si_Lan_44892@outlook.jp.co"</v>
      </c>
      <c r="K113" t="str" cm="1">
        <f t="array" aca="1" ref="K113" ca="1">CONCATENATE(INDIRECT(ADDRESS(1,11,1,0,"KeySet"),0),":","""",valueMaker!K113,"""")</f>
        <v>kaninSyubetu:"高級"</v>
      </c>
      <c r="L113" t="str" cm="1">
        <f t="array" aca="1" ref="L113" ca="1">CONCATENATE(INDIRECT(ADDRESS(1,12,1,0,"KeySet"),0),":","""",valueMaker!L113,"""")</f>
        <v>kaninKengenWB:"有り"</v>
      </c>
      <c r="M113" t="str" cm="1">
        <f t="array" aca="1" ref="M113" ca="1">CONCATENATE(INDIRECT(ADDRESS(1,13,1,0,"KeySet"),0),":","""",valueMaker!M113,"""")</f>
        <v>wakibiri:"10%"</v>
      </c>
      <c r="N113" t="str" cm="1">
        <f t="array" aca="1" ref="N113" ca="1">CONCATENATE(INDIRECT(ADDRESS(1,14,1,0,"KeySet"),0),":","""",valueMaker!N113,"""")</f>
        <v>kaninKengenPoint:"有り"</v>
      </c>
      <c r="O113" t="str" cm="1">
        <f t="array" aca="1" ref="O113" ca="1">CONCATENATE(INDIRECT(ADDRESS(1,15,1,0,"KeySet"),0),":","""",valueMaker!O113,"""")</f>
        <v>point:"19"</v>
      </c>
      <c r="P113" t="str" cm="1">
        <f t="array" aca="1" ref="P113" ca="1">CONCATENATE(INDIRECT(ADDRESS(1,16,1,0,"KeySet"),0),":","""",valueMaker!P113,"""")</f>
        <v>bikou:""</v>
      </c>
    </row>
    <row r="114" spans="1:16">
      <c r="A114" t="str" cm="1">
        <f t="array" aca="1" ref="A114" ca="1">CONCATENATE(INDIRECT(ADDRESS(1,1,1,0,"KeySet"),0),":","""",valueMaker!A114,"""")</f>
        <v>kainBangou:"TD10113"</v>
      </c>
      <c r="B114" t="str" cm="1">
        <f t="array" aca="1" ref="B114" ca="1">CONCATENATE(INDIRECT(ADDRESS(1,2,1,0,"KeySet"),0),":","""",valueMaker!B114,"""")</f>
        <v>kainMeiKanji:"劉湖敏"</v>
      </c>
      <c r="C114" t="str" cm="1">
        <f t="array" aca="1" ref="C114" ca="1">CONCATENATE(INDIRECT(ADDRESS(1,3,1,0,"KeySet"),0),":","""",valueMaker!C114,"""")</f>
        <v>kainMeiKana:"ﾘｳ ﾎｩ ﾐﾝ"</v>
      </c>
      <c r="D114" t="str" cm="1">
        <f t="array" aca="1" ref="D114" ca="1">CONCATENATE(INDIRECT(ADDRESS(1,4,1,0,"KeySet"),0),":","""",valueMaker!D114,"""")</f>
        <v>kainMeiEn:"Liu Hu Min"</v>
      </c>
      <c r="E114" t="str" cm="1">
        <f t="array" aca="1" ref="E114" ca="1">CONCATENATE(INDIRECT(ADDRESS(1,5,1,0,"KeySet"),0),":","""",valueMaker!E114,"""")</f>
        <v>kainGender:"男性"</v>
      </c>
      <c r="F114" t="str" cm="1">
        <f t="array" aca="1" ref="F114" ca="1">CONCATENATE(INDIRECT(ADDRESS(1,6,1,0,"KeySet"),0),":","""",TEXT(valueMaker!F114,"yyyy/m/d"),"""")</f>
        <v>tanjyoubi:"1971/4/14"</v>
      </c>
      <c r="G114" t="str" cm="1">
        <f t="array" aca="1" ref="G114" ca="1">CONCATENATE(INDIRECT(ADDRESS(1,6,1,0,"KeySet"),0),":","""",TEXT(valueMaker!G114,"yyyy/m/d"),"""")</f>
        <v>tanjyoubi:"1990/1/1"</v>
      </c>
      <c r="H114" t="str" cm="1">
        <f t="array" aca="1" ref="H114" ca="1">CONCATENATE(INDIRECT(ADDRESS(1,6,1,0,"KeySet"),0),":","""",TEXT(valueMaker!H114,"yyyy/m/d"),"""")</f>
        <v>tanjyoubi:"1991/1/1"</v>
      </c>
      <c r="I114" t="str" cm="1">
        <f t="array" aca="1" ref="I114" ca="1">CONCATENATE(INDIRECT(ADDRESS(1,9,1,0,"KeySet"),0),":","""",valueMaker!I114,"""")</f>
        <v>denwaBangou:"080-5759-3041"</v>
      </c>
      <c r="J114" t="str" cm="1">
        <f t="array" aca="1" ref="J114" ca="1">CONCATENATE(INDIRECT(ADDRESS(1,10,1,0,"KeySet"),0),":","""",valueMaker!J114,"""")</f>
        <v>mailAddress:"Liu_Hu_Min_32874@outlook.jp.co"</v>
      </c>
      <c r="K114" t="str" cm="1">
        <f t="array" aca="1" ref="K114" ca="1">CONCATENATE(INDIRECT(ADDRESS(1,11,1,0,"KeySet"),0),":","""",valueMaker!K114,"""")</f>
        <v>kaninSyubetu:"普通"</v>
      </c>
      <c r="L114" t="str" cm="1">
        <f t="array" aca="1" ref="L114" ca="1">CONCATENATE(INDIRECT(ADDRESS(1,12,1,0,"KeySet"),0),":","""",valueMaker!L114,"""")</f>
        <v>kaninKengenWB:"有り"</v>
      </c>
      <c r="M114" t="str" cm="1">
        <f t="array" aca="1" ref="M114" ca="1">CONCATENATE(INDIRECT(ADDRESS(1,13,1,0,"KeySet"),0),":","""",valueMaker!M114,"""")</f>
        <v>wakibiri:"5%"</v>
      </c>
      <c r="N114" t="str" cm="1">
        <f t="array" aca="1" ref="N114" ca="1">CONCATENATE(INDIRECT(ADDRESS(1,14,1,0,"KeySet"),0),":","""",valueMaker!N114,"""")</f>
        <v>kaninKengenPoint:"有り"</v>
      </c>
      <c r="O114" t="str" cm="1">
        <f t="array" aca="1" ref="O114" ca="1">CONCATENATE(INDIRECT(ADDRESS(1,15,1,0,"KeySet"),0),":","""",valueMaker!O114,"""")</f>
        <v>point:"768"</v>
      </c>
      <c r="P114" t="str" cm="1">
        <f t="array" aca="1" ref="P114" ca="1">CONCATENATE(INDIRECT(ADDRESS(1,16,1,0,"KeySet"),0),":","""",valueMaker!P114,"""")</f>
        <v>bikou:""</v>
      </c>
    </row>
    <row r="115" spans="1:16">
      <c r="A115" t="str" cm="1">
        <f t="array" aca="1" ref="A115" ca="1">CONCATENATE(INDIRECT(ADDRESS(1,1,1,0,"KeySet"),0),":","""",valueMaker!A115,"""")</f>
        <v>kainBangou:"TD10114"</v>
      </c>
      <c r="B115" t="str" cm="1">
        <f t="array" aca="1" ref="B115" ca="1">CONCATENATE(INDIRECT(ADDRESS(1,2,1,0,"KeySet"),0),":","""",valueMaker!B115,"""")</f>
        <v>kainMeiKanji:"鄭騰威"</v>
      </c>
      <c r="C115" t="str" cm="1">
        <f t="array" aca="1" ref="C115" ca="1">CONCATENATE(INDIRECT(ADDRESS(1,3,1,0,"KeySet"),0),":","""",valueMaker!C115,"""")</f>
        <v>kainMeiKana:"ｼﾞｭﾖﾝ ﾄｩｵﾝ ｳｴｲ"</v>
      </c>
      <c r="D115" t="str" cm="1">
        <f t="array" aca="1" ref="D115" ca="1">CONCATENATE(INDIRECT(ADDRESS(1,4,1,0,"KeySet"),0),":","""",valueMaker!D115,"""")</f>
        <v>kainMeiEn:"Zheng Teng Wei"</v>
      </c>
      <c r="E115" t="str" cm="1">
        <f t="array" aca="1" ref="E115" ca="1">CONCATENATE(INDIRECT(ADDRESS(1,5,1,0,"KeySet"),0),":","""",valueMaker!E115,"""")</f>
        <v>kainGender:"男性"</v>
      </c>
      <c r="F115" t="str" cm="1">
        <f t="array" aca="1" ref="F115" ca="1">CONCATENATE(INDIRECT(ADDRESS(1,6,1,0,"KeySet"),0),":","""",TEXT(valueMaker!F115,"yyyy/m/d"),"""")</f>
        <v>tanjyoubi:"1978/9/3"</v>
      </c>
      <c r="G115" t="str" cm="1">
        <f t="array" aca="1" ref="G115" ca="1">CONCATENATE(INDIRECT(ADDRESS(1,6,1,0,"KeySet"),0),":","""",TEXT(valueMaker!G115,"yyyy/m/d"),"""")</f>
        <v>tanjyoubi:"2015/8/22"</v>
      </c>
      <c r="H115" t="str" cm="1">
        <f t="array" aca="1" ref="H115" ca="1">CONCATENATE(INDIRECT(ADDRESS(1,6,1,0,"KeySet"),0),":","""",TEXT(valueMaker!H115,"yyyy/m/d"),"""")</f>
        <v>tanjyoubi:"2016/8/21"</v>
      </c>
      <c r="I115" t="str" cm="1">
        <f t="array" aca="1" ref="I115" ca="1">CONCATENATE(INDIRECT(ADDRESS(1,9,1,0,"KeySet"),0),":","""",valueMaker!I115,"""")</f>
        <v>denwaBangou:"090-6429-1762"</v>
      </c>
      <c r="J115" t="str" cm="1">
        <f t="array" aca="1" ref="J115" ca="1">CONCATENATE(INDIRECT(ADDRESS(1,10,1,0,"KeySet"),0),":","""",valueMaker!J115,"""")</f>
        <v>mailAddress:"Zheng_Teng_Wei_42238@outlook.jp.co"</v>
      </c>
      <c r="K115" t="str" cm="1">
        <f t="array" aca="1" ref="K115" ca="1">CONCATENATE(INDIRECT(ADDRESS(1,11,1,0,"KeySet"),0),":","""",valueMaker!K115,"""")</f>
        <v>kaninSyubetu:"普通"</v>
      </c>
      <c r="L115" t="str" cm="1">
        <f t="array" aca="1" ref="L115" ca="1">CONCATENATE(INDIRECT(ADDRESS(1,12,1,0,"KeySet"),0),":","""",valueMaker!L115,"""")</f>
        <v>kaninKengenWB:"有り"</v>
      </c>
      <c r="M115" t="str" cm="1">
        <f t="array" aca="1" ref="M115" ca="1">CONCATENATE(INDIRECT(ADDRESS(1,13,1,0,"KeySet"),0),":","""",valueMaker!M115,"""")</f>
        <v>wakibiri:"5%"</v>
      </c>
      <c r="N115" t="str" cm="1">
        <f t="array" aca="1" ref="N115" ca="1">CONCATENATE(INDIRECT(ADDRESS(1,14,1,0,"KeySet"),0),":","""",valueMaker!N115,"""")</f>
        <v>kaninKengenPoint:"有り"</v>
      </c>
      <c r="O115" t="str" cm="1">
        <f t="array" aca="1" ref="O115" ca="1">CONCATENATE(INDIRECT(ADDRESS(1,15,1,0,"KeySet"),0),":","""",valueMaker!O115,"""")</f>
        <v>point:"564"</v>
      </c>
      <c r="P115" t="str" cm="1">
        <f t="array" aca="1" ref="P115" ca="1">CONCATENATE(INDIRECT(ADDRESS(1,16,1,0,"KeySet"),0),":","""",valueMaker!P115,"""")</f>
        <v>bikou:""</v>
      </c>
    </row>
    <row r="116" spans="1:16">
      <c r="A116" t="str" cm="1">
        <f t="array" aca="1" ref="A116" ca="1">CONCATENATE(INDIRECT(ADDRESS(1,1,1,0,"KeySet"),0),":","""",valueMaker!A116,"""")</f>
        <v>kainBangou:"TD10115"</v>
      </c>
      <c r="B116" t="str" cm="1">
        <f t="array" aca="1" ref="B116" ca="1">CONCATENATE(INDIRECT(ADDRESS(1,2,1,0,"KeySet"),0),":","""",valueMaker!B116,"""")</f>
        <v>kainMeiKanji:"梁瀚鴻"</v>
      </c>
      <c r="C116" t="str" cm="1">
        <f t="array" aca="1" ref="C116" ca="1">CONCATENATE(INDIRECT(ADDRESS(1,3,1,0,"KeySet"),0),":","""",valueMaker!C116,"""")</f>
        <v>kainMeiKana:"ﾘﾔｰﾝ ﾊﾝ ﾎｰﾝ"</v>
      </c>
      <c r="D116" t="str" cm="1">
        <f t="array" aca="1" ref="D116" ca="1">CONCATENATE(INDIRECT(ADDRESS(1,4,1,0,"KeySet"),0),":","""",valueMaker!D116,"""")</f>
        <v>kainMeiEn:"Liang Han Hong"</v>
      </c>
      <c r="E116" t="str" cm="1">
        <f t="array" aca="1" ref="E116" ca="1">CONCATENATE(INDIRECT(ADDRESS(1,5,1,0,"KeySet"),0),":","""",valueMaker!E116,"""")</f>
        <v>kainGender:"女性"</v>
      </c>
      <c r="F116" t="str" cm="1">
        <f t="array" aca="1" ref="F116" ca="1">CONCATENATE(INDIRECT(ADDRESS(1,6,1,0,"KeySet"),0),":","""",TEXT(valueMaker!F116,"yyyy/m/d"),"""")</f>
        <v>tanjyoubi:"1979/10/28"</v>
      </c>
      <c r="G116" t="str" cm="1">
        <f t="array" aca="1" ref="G116" ca="1">CONCATENATE(INDIRECT(ADDRESS(1,6,1,0,"KeySet"),0),":","""",TEXT(valueMaker!G116,"yyyy/m/d"),"""")</f>
        <v>tanjyoubi:"2004/2/25"</v>
      </c>
      <c r="H116" t="str" cm="1">
        <f t="array" aca="1" ref="H116" ca="1">CONCATENATE(INDIRECT(ADDRESS(1,6,1,0,"KeySet"),0),":","""",TEXT(valueMaker!H116,"yyyy/m/d"),"""")</f>
        <v>tanjyoubi:"2005/2/24"</v>
      </c>
      <c r="I116" t="str" cm="1">
        <f t="array" aca="1" ref="I116" ca="1">CONCATENATE(INDIRECT(ADDRESS(1,9,1,0,"KeySet"),0),":","""",valueMaker!I116,"""")</f>
        <v>denwaBangou:"080-1279-3451"</v>
      </c>
      <c r="J116" t="str" cm="1">
        <f t="array" aca="1" ref="J116" ca="1">CONCATENATE(INDIRECT(ADDRESS(1,10,1,0,"KeySet"),0),":","""",valueMaker!J116,"""")</f>
        <v>mailAddress:"Liang_Han_Hong_38042@outlook.jp.co"</v>
      </c>
      <c r="K116" t="str" cm="1">
        <f t="array" aca="1" ref="K116" ca="1">CONCATENATE(INDIRECT(ADDRESS(1,11,1,0,"KeySet"),0),":","""",valueMaker!K116,"""")</f>
        <v>kaninSyubetu:"高級"</v>
      </c>
      <c r="L116" t="str" cm="1">
        <f t="array" aca="1" ref="L116" ca="1">CONCATENATE(INDIRECT(ADDRESS(1,12,1,0,"KeySet"),0),":","""",valueMaker!L116,"""")</f>
        <v>kaninKengenWB:"有り"</v>
      </c>
      <c r="M116" t="str" cm="1">
        <f t="array" aca="1" ref="M116" ca="1">CONCATENATE(INDIRECT(ADDRESS(1,13,1,0,"KeySet"),0),":","""",valueMaker!M116,"""")</f>
        <v>wakibiri:"10%"</v>
      </c>
      <c r="N116" t="str" cm="1">
        <f t="array" aca="1" ref="N116" ca="1">CONCATENATE(INDIRECT(ADDRESS(1,14,1,0,"KeySet"),0),":","""",valueMaker!N116,"""")</f>
        <v>kaninKengenPoint:"有り"</v>
      </c>
      <c r="O116" t="str" cm="1">
        <f t="array" aca="1" ref="O116" ca="1">CONCATENATE(INDIRECT(ADDRESS(1,15,1,0,"KeySet"),0),":","""",valueMaker!O116,"""")</f>
        <v>point:"328"</v>
      </c>
      <c r="P116" t="str" cm="1">
        <f t="array" aca="1" ref="P116" ca="1">CONCATENATE(INDIRECT(ADDRESS(1,16,1,0,"KeySet"),0),":","""",valueMaker!P116,"""")</f>
        <v>bikou:""</v>
      </c>
    </row>
    <row r="117" spans="1:16">
      <c r="A117" t="str" cm="1">
        <f t="array" aca="1" ref="A117" ca="1">CONCATENATE(INDIRECT(ADDRESS(1,1,1,0,"KeySet"),0),":","""",valueMaker!A117,"""")</f>
        <v>kainBangou:"TD10116"</v>
      </c>
      <c r="B117" t="str" cm="1">
        <f t="array" aca="1" ref="B117" ca="1">CONCATENATE(INDIRECT(ADDRESS(1,2,1,0,"KeySet"),0),":","""",valueMaker!B117,"""")</f>
        <v>kainMeiKanji:"謝樂真"</v>
      </c>
      <c r="C117" t="str" cm="1">
        <f t="array" aca="1" ref="C117" ca="1">CONCATENATE(INDIRECT(ADDRESS(1,3,1,0,"KeySet"),0),":","""",valueMaker!C117,"""")</f>
        <v>kainMeiKana:"ｼｴ ﾛｰｧ ｼﾞｪﾝ"</v>
      </c>
      <c r="D117" t="str" cm="1">
        <f t="array" aca="1" ref="D117" ca="1">CONCATENATE(INDIRECT(ADDRESS(1,4,1,0,"KeySet"),0),":","""",valueMaker!D117,"""")</f>
        <v>kainMeiEn:"Xie Le Zhen"</v>
      </c>
      <c r="E117" t="str" cm="1">
        <f t="array" aca="1" ref="E117" ca="1">CONCATENATE(INDIRECT(ADDRESS(1,5,1,0,"KeySet"),0),":","""",valueMaker!E117,"""")</f>
        <v>kainGender:"男性"</v>
      </c>
      <c r="F117" t="str" cm="1">
        <f t="array" aca="1" ref="F117" ca="1">CONCATENATE(INDIRECT(ADDRESS(1,6,1,0,"KeySet"),0),":","""",TEXT(valueMaker!F117,"yyyy/m/d"),"""")</f>
        <v>tanjyoubi:"1986/5/13"</v>
      </c>
      <c r="G117" t="str" cm="1">
        <f t="array" aca="1" ref="G117" ca="1">CONCATENATE(INDIRECT(ADDRESS(1,6,1,0,"KeySet"),0),":","""",TEXT(valueMaker!G117,"yyyy/m/d"),"""")</f>
        <v>tanjyoubi:"2019/8/18"</v>
      </c>
      <c r="H117" t="str" cm="1">
        <f t="array" aca="1" ref="H117" ca="1">CONCATENATE(INDIRECT(ADDRESS(1,6,1,0,"KeySet"),0),":","""",TEXT(valueMaker!H117,"yyyy/m/d"),"""")</f>
        <v>tanjyoubi:"2021/8/17"</v>
      </c>
      <c r="I117" t="str" cm="1">
        <f t="array" aca="1" ref="I117" ca="1">CONCATENATE(INDIRECT(ADDRESS(1,9,1,0,"KeySet"),0),":","""",valueMaker!I117,"""")</f>
        <v>denwaBangou:"080-2930-8712"</v>
      </c>
      <c r="J117" t="str" cm="1">
        <f t="array" aca="1" ref="J117" ca="1">CONCATENATE(INDIRECT(ADDRESS(1,10,1,0,"KeySet"),0),":","""",valueMaker!J117,"""")</f>
        <v>mailAddress:"Xie_Le Zhen_43695@outlook.jp.co"</v>
      </c>
      <c r="K117" t="str" cm="1">
        <f t="array" aca="1" ref="K117" ca="1">CONCATENATE(INDIRECT(ADDRESS(1,11,1,0,"KeySet"),0),":","""",valueMaker!K117,"""")</f>
        <v>kaninSyubetu:"高級"</v>
      </c>
      <c r="L117" t="str" cm="1">
        <f t="array" aca="1" ref="L117" ca="1">CONCATENATE(INDIRECT(ADDRESS(1,12,1,0,"KeySet"),0),":","""",valueMaker!L117,"""")</f>
        <v>kaninKengenWB:"有り"</v>
      </c>
      <c r="M117" t="str" cm="1">
        <f t="array" aca="1" ref="M117" ca="1">CONCATENATE(INDIRECT(ADDRESS(1,13,1,0,"KeySet"),0),":","""",valueMaker!M117,"""")</f>
        <v>wakibiri:"10%"</v>
      </c>
      <c r="N117" t="str" cm="1">
        <f t="array" aca="1" ref="N117" ca="1">CONCATENATE(INDIRECT(ADDRESS(1,14,1,0,"KeySet"),0),":","""",valueMaker!N117,"""")</f>
        <v>kaninKengenPoint:"有り"</v>
      </c>
      <c r="O117" t="str" cm="1">
        <f t="array" aca="1" ref="O117" ca="1">CONCATENATE(INDIRECT(ADDRESS(1,15,1,0,"KeySet"),0),":","""",valueMaker!O117,"""")</f>
        <v>point:"615"</v>
      </c>
      <c r="P117" t="str" cm="1">
        <f t="array" aca="1" ref="P117" ca="1">CONCATENATE(INDIRECT(ADDRESS(1,16,1,0,"KeySet"),0),":","""",valueMaker!P117,"""")</f>
        <v>bikou:""</v>
      </c>
    </row>
    <row r="118" spans="1:16">
      <c r="A118" t="str" cm="1">
        <f t="array" aca="1" ref="A118" ca="1">CONCATENATE(INDIRECT(ADDRESS(1,1,1,0,"KeySet"),0),":","""",valueMaker!A118,"""")</f>
        <v>kainBangou:"TD10117"</v>
      </c>
      <c r="B118" t="str" cm="1">
        <f t="array" aca="1" ref="B118" ca="1">CONCATENATE(INDIRECT(ADDRESS(1,2,1,0,"KeySet"),0),":","""",valueMaker!B118,"""")</f>
        <v>kainMeiKanji:"郭資速"</v>
      </c>
      <c r="C118" t="str" cm="1">
        <f t="array" aca="1" ref="C118" ca="1">CONCATENATE(INDIRECT(ADDRESS(1,3,1,0,"KeySet"),0),":","""",valueMaker!C118,"""")</f>
        <v>kainMeiKana:"ｸﾞｵ ｽﾞｰ ｽｩ"</v>
      </c>
      <c r="D118" t="str" cm="1">
        <f t="array" aca="1" ref="D118" ca="1">CONCATENATE(INDIRECT(ADDRESS(1,4,1,0,"KeySet"),0),":","""",valueMaker!D118,"""")</f>
        <v>kainMeiEn:"Guo Zi Su"</v>
      </c>
      <c r="E118" t="str" cm="1">
        <f t="array" aca="1" ref="E118" ca="1">CONCATENATE(INDIRECT(ADDRESS(1,5,1,0,"KeySet"),0),":","""",valueMaker!E118,"""")</f>
        <v>kainGender:"男性"</v>
      </c>
      <c r="F118" t="str" cm="1">
        <f t="array" aca="1" ref="F118" ca="1">CONCATENATE(INDIRECT(ADDRESS(1,6,1,0,"KeySet"),0),":","""",TEXT(valueMaker!F118,"yyyy/m/d"),"""")</f>
        <v>tanjyoubi:"2004/2/16"</v>
      </c>
      <c r="G118" t="str" cm="1">
        <f t="array" aca="1" ref="G118" ca="1">CONCATENATE(INDIRECT(ADDRESS(1,6,1,0,"KeySet"),0),":","""",TEXT(valueMaker!G118,"yyyy/m/d"),"""")</f>
        <v>tanjyoubi:"2023/12/5"</v>
      </c>
      <c r="H118" t="str" cm="1">
        <f t="array" aca="1" ref="H118" ca="1">CONCATENATE(INDIRECT(ADDRESS(1,6,1,0,"KeySet"),0),":","""",TEXT(valueMaker!H118,"yyyy/m/d"),"""")</f>
        <v>tanjyoubi:"2025/12/4"</v>
      </c>
      <c r="I118" t="str" cm="1">
        <f t="array" aca="1" ref="I118" ca="1">CONCATENATE(INDIRECT(ADDRESS(1,9,1,0,"KeySet"),0),":","""",valueMaker!I118,"""")</f>
        <v>denwaBangou:"090-2271-2074"</v>
      </c>
      <c r="J118" t="str" cm="1">
        <f t="array" aca="1" ref="J118" ca="1">CONCATENATE(INDIRECT(ADDRESS(1,10,1,0,"KeySet"),0),":","""",valueMaker!J118,"""")</f>
        <v>mailAddress:"Guo_Zi_Su_45265@outlook.jp.co"</v>
      </c>
      <c r="K118" t="str" cm="1">
        <f t="array" aca="1" ref="K118" ca="1">CONCATENATE(INDIRECT(ADDRESS(1,11,1,0,"KeySet"),0),":","""",valueMaker!K118,"""")</f>
        <v>kaninSyubetu:"高級"</v>
      </c>
      <c r="L118" t="str" cm="1">
        <f t="array" aca="1" ref="L118" ca="1">CONCATENATE(INDIRECT(ADDRESS(1,12,1,0,"KeySet"),0),":","""",valueMaker!L118,"""")</f>
        <v>kaninKengenWB:"有り"</v>
      </c>
      <c r="M118" t="str" cm="1">
        <f t="array" aca="1" ref="M118" ca="1">CONCATENATE(INDIRECT(ADDRESS(1,13,1,0,"KeySet"),0),":","""",valueMaker!M118,"""")</f>
        <v>wakibiri:"10%"</v>
      </c>
      <c r="N118" t="str" cm="1">
        <f t="array" aca="1" ref="N118" ca="1">CONCATENATE(INDIRECT(ADDRESS(1,14,1,0,"KeySet"),0),":","""",valueMaker!N118,"""")</f>
        <v>kaninKengenPoint:"-"</v>
      </c>
      <c r="O118" t="str" cm="1">
        <f t="array" aca="1" ref="O118" ca="1">CONCATENATE(INDIRECT(ADDRESS(1,15,1,0,"KeySet"),0),":","""",valueMaker!O118,"""")</f>
        <v>point:"-"</v>
      </c>
      <c r="P118" t="str" cm="1">
        <f t="array" aca="1" ref="P118" ca="1">CONCATENATE(INDIRECT(ADDRESS(1,16,1,0,"KeySet"),0),":","""",valueMaker!P118,"""")</f>
        <v>bikou:""</v>
      </c>
    </row>
    <row r="119" spans="1:16">
      <c r="A119" t="str" cm="1">
        <f t="array" aca="1" ref="A119" ca="1">CONCATENATE(INDIRECT(ADDRESS(1,1,1,0,"KeySet"),0),":","""",valueMaker!A119,"""")</f>
        <v>kainBangou:"TD10118"</v>
      </c>
      <c r="B119" t="str" cm="1">
        <f t="array" aca="1" ref="B119" ca="1">CONCATENATE(INDIRECT(ADDRESS(1,2,1,0,"KeySet"),0),":","""",valueMaker!B119,"""")</f>
        <v>kainMeiKanji:"韓唯慶"</v>
      </c>
      <c r="C119" t="str" cm="1">
        <f t="array" aca="1" ref="C119" ca="1">CONCATENATE(INDIRECT(ADDRESS(1,3,1,0,"KeySet"),0),":","""",valueMaker!C119,"""")</f>
        <v>kainMeiKana:"ﾊﾝ ｳｴｲ ﾁｰﾝ"</v>
      </c>
      <c r="D119" t="str" cm="1">
        <f t="array" aca="1" ref="D119" ca="1">CONCATENATE(INDIRECT(ADDRESS(1,4,1,0,"KeySet"),0),":","""",valueMaker!D119,"""")</f>
        <v>kainMeiEn:"Han Wei Qing"</v>
      </c>
      <c r="E119" t="str" cm="1">
        <f t="array" aca="1" ref="E119" ca="1">CONCATENATE(INDIRECT(ADDRESS(1,5,1,0,"KeySet"),0),":","""",valueMaker!E119,"""")</f>
        <v>kainGender:"女性"</v>
      </c>
      <c r="F119" t="str" cm="1">
        <f t="array" aca="1" ref="F119" ca="1">CONCATENATE(INDIRECT(ADDRESS(1,6,1,0,"KeySet"),0),":","""",TEXT(valueMaker!F119,"yyyy/m/d"),"""")</f>
        <v>tanjyoubi:"1974/9/2"</v>
      </c>
      <c r="G119" t="str" cm="1">
        <f t="array" aca="1" ref="G119" ca="1">CONCATENATE(INDIRECT(ADDRESS(1,6,1,0,"KeySet"),0),":","""",TEXT(valueMaker!G119,"yyyy/m/d"),"""")</f>
        <v>tanjyoubi:"1995/9/21"</v>
      </c>
      <c r="H119" t="str" cm="1">
        <f t="array" aca="1" ref="H119" ca="1">CONCATENATE(INDIRECT(ADDRESS(1,6,1,0,"KeySet"),0),":","""",TEXT(valueMaker!H119,"yyyy/m/d"),"""")</f>
        <v>tanjyoubi:"1997/9/20"</v>
      </c>
      <c r="I119" t="str" cm="1">
        <f t="array" aca="1" ref="I119" ca="1">CONCATENATE(INDIRECT(ADDRESS(1,9,1,0,"KeySet"),0),":","""",valueMaker!I119,"""")</f>
        <v>denwaBangou:"090-0333-7756"</v>
      </c>
      <c r="J119" t="str" cm="1">
        <f t="array" aca="1" ref="J119" ca="1">CONCATENATE(INDIRECT(ADDRESS(1,10,1,0,"KeySet"),0),":","""",valueMaker!J119,"""")</f>
        <v>mailAddress:"Han_Wei_Qing_34963@outlook.jp.co"</v>
      </c>
      <c r="K119" t="str" cm="1">
        <f t="array" aca="1" ref="K119" ca="1">CONCATENATE(INDIRECT(ADDRESS(1,11,1,0,"KeySet"),0),":","""",valueMaker!K119,"""")</f>
        <v>kaninSyubetu:"高級"</v>
      </c>
      <c r="L119" t="str" cm="1">
        <f t="array" aca="1" ref="L119" ca="1">CONCATENATE(INDIRECT(ADDRESS(1,12,1,0,"KeySet"),0),":","""",valueMaker!L119,"""")</f>
        <v>kaninKengenWB:"有り"</v>
      </c>
      <c r="M119" t="str" cm="1">
        <f t="array" aca="1" ref="M119" ca="1">CONCATENATE(INDIRECT(ADDRESS(1,13,1,0,"KeySet"),0),":","""",valueMaker!M119,"""")</f>
        <v>wakibiri:"10%"</v>
      </c>
      <c r="N119" t="str" cm="1">
        <f t="array" aca="1" ref="N119" ca="1">CONCATENATE(INDIRECT(ADDRESS(1,14,1,0,"KeySet"),0),":","""",valueMaker!N119,"""")</f>
        <v>kaninKengenPoint:"有り"</v>
      </c>
      <c r="O119" t="str" cm="1">
        <f t="array" aca="1" ref="O119" ca="1">CONCATENATE(INDIRECT(ADDRESS(1,15,1,0,"KeySet"),0),":","""",valueMaker!O119,"""")</f>
        <v>point:"881"</v>
      </c>
      <c r="P119" t="str" cm="1">
        <f t="array" aca="1" ref="P119" ca="1">CONCATENATE(INDIRECT(ADDRESS(1,16,1,0,"KeySet"),0),":","""",valueMaker!P119,"""")</f>
        <v>bikou:""</v>
      </c>
    </row>
    <row r="120" spans="1:16">
      <c r="A120" t="str" cm="1">
        <f t="array" aca="1" ref="A120" ca="1">CONCATENATE(INDIRECT(ADDRESS(1,1,1,0,"KeySet"),0),":","""",valueMaker!A120,"""")</f>
        <v>kainBangou:"TD10119"</v>
      </c>
      <c r="B120" t="str" cm="1">
        <f t="array" aca="1" ref="B120" ca="1">CONCATENATE(INDIRECT(ADDRESS(1,2,1,0,"KeySet"),0),":","""",valueMaker!B120,"""")</f>
        <v>kainMeiKanji:"韓慶興"</v>
      </c>
      <c r="C120" t="str" cm="1">
        <f t="array" aca="1" ref="C120" ca="1">CONCATENATE(INDIRECT(ADDRESS(1,3,1,0,"KeySet"),0),":","""",valueMaker!C120,"""")</f>
        <v>kainMeiKana:"ﾊﾝ ﾁｰﾝ ｼｰﾝ"</v>
      </c>
      <c r="D120" t="str" cm="1">
        <f t="array" aca="1" ref="D120" ca="1">CONCATENATE(INDIRECT(ADDRESS(1,4,1,0,"KeySet"),0),":","""",valueMaker!D120,"""")</f>
        <v>kainMeiEn:"Han Qing Xing"</v>
      </c>
      <c r="E120" t="str" cm="1">
        <f t="array" aca="1" ref="E120" ca="1">CONCATENATE(INDIRECT(ADDRESS(1,5,1,0,"KeySet"),0),":","""",valueMaker!E120,"""")</f>
        <v>kainGender:"男性"</v>
      </c>
      <c r="F120" t="str" cm="1">
        <f t="array" aca="1" ref="F120" ca="1">CONCATENATE(INDIRECT(ADDRESS(1,6,1,0,"KeySet"),0),":","""",TEXT(valueMaker!F120,"yyyy/m/d"),"""")</f>
        <v>tanjyoubi:"1963/10/15"</v>
      </c>
      <c r="G120" t="str" cm="1">
        <f t="array" aca="1" ref="G120" ca="1">CONCATENATE(INDIRECT(ADDRESS(1,6,1,0,"KeySet"),0),":","""",TEXT(valueMaker!G120,"yyyy/m/d"),"""")</f>
        <v>tanjyoubi:"1990/9/18"</v>
      </c>
      <c r="H120" t="str" cm="1">
        <f t="array" aca="1" ref="H120" ca="1">CONCATENATE(INDIRECT(ADDRESS(1,6,1,0,"KeySet"),0),":","""",TEXT(valueMaker!H120,"yyyy/m/d"),"""")</f>
        <v>tanjyoubi:"1992/9/17"</v>
      </c>
      <c r="I120" t="str" cm="1">
        <f t="array" aca="1" ref="I120" ca="1">CONCATENATE(INDIRECT(ADDRESS(1,9,1,0,"KeySet"),0),":","""",valueMaker!I120,"""")</f>
        <v>denwaBangou:"080-5189-5394"</v>
      </c>
      <c r="J120" t="str" cm="1">
        <f t="array" aca="1" ref="J120" ca="1">CONCATENATE(INDIRECT(ADDRESS(1,10,1,0,"KeySet"),0),":","""",valueMaker!J120,"""")</f>
        <v>mailAddress:"Han_Qing_Xing_33134@outlook.jp.co"</v>
      </c>
      <c r="K120" t="str" cm="1">
        <f t="array" aca="1" ref="K120" ca="1">CONCATENATE(INDIRECT(ADDRESS(1,11,1,0,"KeySet"),0),":","""",valueMaker!K120,"""")</f>
        <v>kaninSyubetu:"普通"</v>
      </c>
      <c r="L120" t="str" cm="1">
        <f t="array" aca="1" ref="L120" ca="1">CONCATENATE(INDIRECT(ADDRESS(1,12,1,0,"KeySet"),0),":","""",valueMaker!L120,"""")</f>
        <v>kaninKengenWB:"有り"</v>
      </c>
      <c r="M120" t="str" cm="1">
        <f t="array" aca="1" ref="M120" ca="1">CONCATENATE(INDIRECT(ADDRESS(1,13,1,0,"KeySet"),0),":","""",valueMaker!M120,"""")</f>
        <v>wakibiri:"5%"</v>
      </c>
      <c r="N120" t="str" cm="1">
        <f t="array" aca="1" ref="N120" ca="1">CONCATENATE(INDIRECT(ADDRESS(1,14,1,0,"KeySet"),0),":","""",valueMaker!N120,"""")</f>
        <v>kaninKengenPoint:"有り"</v>
      </c>
      <c r="O120" t="str" cm="1">
        <f t="array" aca="1" ref="O120" ca="1">CONCATENATE(INDIRECT(ADDRESS(1,15,1,0,"KeySet"),0),":","""",valueMaker!O120,"""")</f>
        <v>point:"351"</v>
      </c>
      <c r="P120" t="str" cm="1">
        <f t="array" aca="1" ref="P120" ca="1">CONCATENATE(INDIRECT(ADDRESS(1,16,1,0,"KeySet"),0),":","""",valueMaker!P120,"""")</f>
        <v>bikou:""</v>
      </c>
    </row>
    <row r="121" spans="1:16">
      <c r="A121" t="str" cm="1">
        <f t="array" aca="1" ref="A121" ca="1">CONCATENATE(INDIRECT(ADDRESS(1,1,1,0,"KeySet"),0),":","""",valueMaker!A121,"""")</f>
        <v>kainBangou:"TD10120"</v>
      </c>
      <c r="B121" t="str" cm="1">
        <f t="array" aca="1" ref="B121" ca="1">CONCATENATE(INDIRECT(ADDRESS(1,2,1,0,"KeySet"),0),":","""",valueMaker!B121,"""")</f>
        <v>kainMeiKanji:"周領東"</v>
      </c>
      <c r="C121" t="str" cm="1">
        <f t="array" aca="1" ref="C121" ca="1">CONCATENATE(INDIRECT(ADDRESS(1,3,1,0,"KeySet"),0),":","""",valueMaker!C121,"""")</f>
        <v>kainMeiKana:"ｼﾞｮｳ ﾘｰﾝ ﾄﾞｰﾝ"</v>
      </c>
      <c r="D121" t="str" cm="1">
        <f t="array" aca="1" ref="D121" ca="1">CONCATENATE(INDIRECT(ADDRESS(1,4,1,0,"KeySet"),0),":","""",valueMaker!D121,"""")</f>
        <v>kainMeiEn:"Zhou Ling Dong"</v>
      </c>
      <c r="E121" t="str" cm="1">
        <f t="array" aca="1" ref="E121" ca="1">CONCATENATE(INDIRECT(ADDRESS(1,5,1,0,"KeySet"),0),":","""",valueMaker!E121,"""")</f>
        <v>kainGender:"女性"</v>
      </c>
      <c r="F121" t="str" cm="1">
        <f t="array" aca="1" ref="F121" ca="1">CONCATENATE(INDIRECT(ADDRESS(1,6,1,0,"KeySet"),0),":","""",TEXT(valueMaker!F121,"yyyy/m/d"),"""")</f>
        <v>tanjyoubi:"1991/2/17"</v>
      </c>
      <c r="G121" t="str" cm="1">
        <f t="array" aca="1" ref="G121" ca="1">CONCATENATE(INDIRECT(ADDRESS(1,6,1,0,"KeySet"),0),":","""",TEXT(valueMaker!G121,"yyyy/m/d"),"""")</f>
        <v>tanjyoubi:"2017/1/3"</v>
      </c>
      <c r="H121" t="str" cm="1">
        <f t="array" aca="1" ref="H121" ca="1">CONCATENATE(INDIRECT(ADDRESS(1,6,1,0,"KeySet"),0),":","""",TEXT(valueMaker!H121,"yyyy/m/d"),"""")</f>
        <v>tanjyoubi:"2019/1/3"</v>
      </c>
      <c r="I121" t="str" cm="1">
        <f t="array" aca="1" ref="I121" ca="1">CONCATENATE(INDIRECT(ADDRESS(1,9,1,0,"KeySet"),0),":","""",valueMaker!I121,"""")</f>
        <v>denwaBangou:"080-1897-2899"</v>
      </c>
      <c r="J121" t="str" cm="1">
        <f t="array" aca="1" ref="J121" ca="1">CONCATENATE(INDIRECT(ADDRESS(1,10,1,0,"KeySet"),0),":","""",valueMaker!J121,"""")</f>
        <v>mailAddress:"Zhou_Ling_Dong_42738@outlook.jp.co"</v>
      </c>
      <c r="K121" t="str" cm="1">
        <f t="array" aca="1" ref="K121" ca="1">CONCATENATE(INDIRECT(ADDRESS(1,11,1,0,"KeySet"),0),":","""",valueMaker!K121,"""")</f>
        <v>kaninSyubetu:"高級"</v>
      </c>
      <c r="L121" t="str" cm="1">
        <f t="array" aca="1" ref="L121" ca="1">CONCATENATE(INDIRECT(ADDRESS(1,12,1,0,"KeySet"),0),":","""",valueMaker!L121,"""")</f>
        <v>kaninKengenWB:"有り"</v>
      </c>
      <c r="M121" t="str" cm="1">
        <f t="array" aca="1" ref="M121" ca="1">CONCATENATE(INDIRECT(ADDRESS(1,13,1,0,"KeySet"),0),":","""",valueMaker!M121,"""")</f>
        <v>wakibiri:"10%"</v>
      </c>
      <c r="N121" t="str" cm="1">
        <f t="array" aca="1" ref="N121" ca="1">CONCATENATE(INDIRECT(ADDRESS(1,14,1,0,"KeySet"),0),":","""",valueMaker!N121,"""")</f>
        <v>kaninKengenPoint:"有り"</v>
      </c>
      <c r="O121" t="str" cm="1">
        <f t="array" aca="1" ref="O121" ca="1">CONCATENATE(INDIRECT(ADDRESS(1,15,1,0,"KeySet"),0),":","""",valueMaker!O121,"""")</f>
        <v>point:"794"</v>
      </c>
      <c r="P121" t="str" cm="1">
        <f t="array" aca="1" ref="P121" ca="1">CONCATENATE(INDIRECT(ADDRESS(1,16,1,0,"KeySet"),0),":","""",valueMaker!P121,"""")</f>
        <v>bikou:""</v>
      </c>
    </row>
    <row r="122" spans="1:16">
      <c r="A122" t="str" cm="1">
        <f t="array" aca="1" ref="A122" ca="1">CONCATENATE(INDIRECT(ADDRESS(1,1,1,0,"KeySet"),0),":","""",valueMaker!A122,"""")</f>
        <v>kainBangou:"TD10121"</v>
      </c>
      <c r="B122" t="str" cm="1">
        <f t="array" aca="1" ref="B122" ca="1">CONCATENATE(INDIRECT(ADDRESS(1,2,1,0,"KeySet"),0),":","""",valueMaker!B122,"""")</f>
        <v>kainMeiKanji:"謝起泉"</v>
      </c>
      <c r="C122" t="str" cm="1">
        <f t="array" aca="1" ref="C122" ca="1">CONCATENATE(INDIRECT(ADDRESS(1,3,1,0,"KeySet"),0),":","""",valueMaker!C122,"""")</f>
        <v>kainMeiKana:"ｼｴ ﾁｲ ﾁｭｴﾝ"</v>
      </c>
      <c r="D122" t="str" cm="1">
        <f t="array" aca="1" ref="D122" ca="1">CONCATENATE(INDIRECT(ADDRESS(1,4,1,0,"KeySet"),0),":","""",valueMaker!D122,"""")</f>
        <v>kainMeiEn:"Xie Qi Quan"</v>
      </c>
      <c r="E122" t="str" cm="1">
        <f t="array" aca="1" ref="E122" ca="1">CONCATENATE(INDIRECT(ADDRESS(1,5,1,0,"KeySet"),0),":","""",valueMaker!E122,"""")</f>
        <v>kainGender:"男性"</v>
      </c>
      <c r="F122" t="str" cm="1">
        <f t="array" aca="1" ref="F122" ca="1">CONCATENATE(INDIRECT(ADDRESS(1,6,1,0,"KeySet"),0),":","""",TEXT(valueMaker!F122,"yyyy/m/d"),"""")</f>
        <v>tanjyoubi:"2001/10/11"</v>
      </c>
      <c r="G122" t="str" cm="1">
        <f t="array" aca="1" ref="G122" ca="1">CONCATENATE(INDIRECT(ADDRESS(1,6,1,0,"KeySet"),0),":","""",TEXT(valueMaker!G122,"yyyy/m/d"),"""")</f>
        <v>tanjyoubi:"2022/7/21"</v>
      </c>
      <c r="H122" t="str" cm="1">
        <f t="array" aca="1" ref="H122" ca="1">CONCATENATE(INDIRECT(ADDRESS(1,6,1,0,"KeySet"),0),":","""",TEXT(valueMaker!H122,"yyyy/m/d"),"""")</f>
        <v>tanjyoubi:"2025/7/20"</v>
      </c>
      <c r="I122" t="str" cm="1">
        <f t="array" aca="1" ref="I122" ca="1">CONCATENATE(INDIRECT(ADDRESS(1,9,1,0,"KeySet"),0),":","""",valueMaker!I122,"""")</f>
        <v>denwaBangou:"090-3950-3936"</v>
      </c>
      <c r="J122" t="str" cm="1">
        <f t="array" aca="1" ref="J122" ca="1">CONCATENATE(INDIRECT(ADDRESS(1,10,1,0,"KeySet"),0),":","""",valueMaker!J122,"""")</f>
        <v>mailAddress:"Xie_Qi_Quan_44763@outlook.jp.co"</v>
      </c>
      <c r="K122" t="str" cm="1">
        <f t="array" aca="1" ref="K122" ca="1">CONCATENATE(INDIRECT(ADDRESS(1,11,1,0,"KeySet"),0),":","""",valueMaker!K122,"""")</f>
        <v>kaninSyubetu:"普通"</v>
      </c>
      <c r="L122" t="str" cm="1">
        <f t="array" aca="1" ref="L122" ca="1">CONCATENATE(INDIRECT(ADDRESS(1,12,1,0,"KeySet"),0),":","""",valueMaker!L122,"""")</f>
        <v>kaninKengenWB:"有り"</v>
      </c>
      <c r="M122" t="str" cm="1">
        <f t="array" aca="1" ref="M122" ca="1">CONCATENATE(INDIRECT(ADDRESS(1,13,1,0,"KeySet"),0),":","""",valueMaker!M122,"""")</f>
        <v>wakibiri:"5%"</v>
      </c>
      <c r="N122" t="str" cm="1">
        <f t="array" aca="1" ref="N122" ca="1">CONCATENATE(INDIRECT(ADDRESS(1,14,1,0,"KeySet"),0),":","""",valueMaker!N122,"""")</f>
        <v>kaninKengenPoint:"-"</v>
      </c>
      <c r="O122" t="str" cm="1">
        <f t="array" aca="1" ref="O122" ca="1">CONCATENATE(INDIRECT(ADDRESS(1,15,1,0,"KeySet"),0),":","""",valueMaker!O122,"""")</f>
        <v>point:"-"</v>
      </c>
      <c r="P122" t="str" cm="1">
        <f t="array" aca="1" ref="P122" ca="1">CONCATENATE(INDIRECT(ADDRESS(1,16,1,0,"KeySet"),0),":","""",valueMaker!P122,"""")</f>
        <v>bikou:""</v>
      </c>
    </row>
    <row r="123" spans="1:16">
      <c r="A123" t="str" cm="1">
        <f t="array" aca="1" ref="A123" ca="1">CONCATENATE(INDIRECT(ADDRESS(1,1,1,0,"KeySet"),0),":","""",valueMaker!A123,"""")</f>
        <v>kainBangou:"TD10122"</v>
      </c>
      <c r="B123" t="str" cm="1">
        <f t="array" aca="1" ref="B123" ca="1">CONCATENATE(INDIRECT(ADDRESS(1,2,1,0,"KeySet"),0),":","""",valueMaker!B123,"""")</f>
        <v>kainMeiKanji:"謝貴昂"</v>
      </c>
      <c r="C123" t="str" cm="1">
        <f t="array" aca="1" ref="C123" ca="1">CONCATENATE(INDIRECT(ADDRESS(1,3,1,0,"KeySet"),0),":","""",valueMaker!C123,"""")</f>
        <v>kainMeiKana:"ｼｴ ｸﾞｲ ｱｰﾝ"</v>
      </c>
      <c r="D123" t="str" cm="1">
        <f t="array" aca="1" ref="D123" ca="1">CONCATENATE(INDIRECT(ADDRESS(1,4,1,0,"KeySet"),0),":","""",valueMaker!D123,"""")</f>
        <v>kainMeiEn:"Xie Gui Ang"</v>
      </c>
      <c r="E123" t="str" cm="1">
        <f t="array" aca="1" ref="E123" ca="1">CONCATENATE(INDIRECT(ADDRESS(1,5,1,0,"KeySet"),0),":","""",valueMaker!E123,"""")</f>
        <v>kainGender:"-"</v>
      </c>
      <c r="F123" t="str" cm="1">
        <f t="array" aca="1" ref="F123" ca="1">CONCATENATE(INDIRECT(ADDRESS(1,6,1,0,"KeySet"),0),":","""",TEXT(valueMaker!F123,"yyyy/m/d"),"""")</f>
        <v>tanjyoubi:"1988/7/8"</v>
      </c>
      <c r="G123" t="str" cm="1">
        <f t="array" aca="1" ref="G123" ca="1">CONCATENATE(INDIRECT(ADDRESS(1,6,1,0,"KeySet"),0),":","""",TEXT(valueMaker!G123,"yyyy/m/d"),"""")</f>
        <v>tanjyoubi:"2020/8/4"</v>
      </c>
      <c r="H123" t="str" cm="1">
        <f t="array" aca="1" ref="H123" ca="1">CONCATENATE(INDIRECT(ADDRESS(1,6,1,0,"KeySet"),0),":","""",TEXT(valueMaker!H123,"yyyy/m/d"),"""")</f>
        <v>tanjyoubi:"2021/8/4"</v>
      </c>
      <c r="I123" t="str" cm="1">
        <f t="array" aca="1" ref="I123" ca="1">CONCATENATE(INDIRECT(ADDRESS(1,9,1,0,"KeySet"),0),":","""",valueMaker!I123,"""")</f>
        <v>denwaBangou:"090-3180-5407"</v>
      </c>
      <c r="J123" t="str" cm="1">
        <f t="array" aca="1" ref="J123" ca="1">CONCATENATE(INDIRECT(ADDRESS(1,10,1,0,"KeySet"),0),":","""",valueMaker!J123,"""")</f>
        <v>mailAddress:"Xie_Gui_Ang_44047@outlook.jp.co"</v>
      </c>
      <c r="K123" t="str" cm="1">
        <f t="array" aca="1" ref="K123" ca="1">CONCATENATE(INDIRECT(ADDRESS(1,11,1,0,"KeySet"),0),":","""",valueMaker!K123,"""")</f>
        <v>kaninSyubetu:"普通"</v>
      </c>
      <c r="L123" t="str" cm="1">
        <f t="array" aca="1" ref="L123" ca="1">CONCATENATE(INDIRECT(ADDRESS(1,12,1,0,"KeySet"),0),":","""",valueMaker!L123,"""")</f>
        <v>kaninKengenWB:"有り"</v>
      </c>
      <c r="M123" t="str" cm="1">
        <f t="array" aca="1" ref="M123" ca="1">CONCATENATE(INDIRECT(ADDRESS(1,13,1,0,"KeySet"),0),":","""",valueMaker!M123,"""")</f>
        <v>wakibiri:"5%"</v>
      </c>
      <c r="N123" t="str" cm="1">
        <f t="array" aca="1" ref="N123" ca="1">CONCATENATE(INDIRECT(ADDRESS(1,14,1,0,"KeySet"),0),":","""",valueMaker!N123,"""")</f>
        <v>kaninKengenPoint:"有り"</v>
      </c>
      <c r="O123" t="str" cm="1">
        <f t="array" aca="1" ref="O123" ca="1">CONCATENATE(INDIRECT(ADDRESS(1,15,1,0,"KeySet"),0),":","""",valueMaker!O123,"""")</f>
        <v>point:"415"</v>
      </c>
      <c r="P123" t="str" cm="1">
        <f t="array" aca="1" ref="P123" ca="1">CONCATENATE(INDIRECT(ADDRESS(1,16,1,0,"KeySet"),0),":","""",valueMaker!P123,"""")</f>
        <v>bikou:""</v>
      </c>
    </row>
    <row r="124" spans="1:16">
      <c r="A124" t="str" cm="1">
        <f t="array" aca="1" ref="A124" ca="1">CONCATENATE(INDIRECT(ADDRESS(1,1,1,0,"KeySet"),0),":","""",valueMaker!A124,"""")</f>
        <v>kainBangou:"TD10123"</v>
      </c>
      <c r="B124" t="str" cm="1">
        <f t="array" aca="1" ref="B124" ca="1">CONCATENATE(INDIRECT(ADDRESS(1,2,1,0,"KeySet"),0),":","""",valueMaker!B124,"""")</f>
        <v>kainMeiKanji:"于台亭"</v>
      </c>
      <c r="C124" t="str" cm="1">
        <f t="array" aca="1" ref="C124" ca="1">CONCATENATE(INDIRECT(ADDRESS(1,3,1,0,"KeySet"),0),":","""",valueMaker!C124,"""")</f>
        <v>kainMeiKana:"ﾕｲ ﾀｲ ﾃｨｰﾝ"</v>
      </c>
      <c r="D124" t="str" cm="1">
        <f t="array" aca="1" ref="D124" ca="1">CONCATENATE(INDIRECT(ADDRESS(1,4,1,0,"KeySet"),0),":","""",valueMaker!D124,"""")</f>
        <v>kainMeiEn:"Yu Tai Ting"</v>
      </c>
      <c r="E124" t="str" cm="1">
        <f t="array" aca="1" ref="E124" ca="1">CONCATENATE(INDIRECT(ADDRESS(1,5,1,0,"KeySet"),0),":","""",valueMaker!E124,"""")</f>
        <v>kainGender:"女性"</v>
      </c>
      <c r="F124" t="str" cm="1">
        <f t="array" aca="1" ref="F124" ca="1">CONCATENATE(INDIRECT(ADDRESS(1,6,1,0,"KeySet"),0),":","""",TEXT(valueMaker!F124,"yyyy/m/d"),"""")</f>
        <v>tanjyoubi:"1964/5/4"</v>
      </c>
      <c r="G124" t="str" cm="1">
        <f t="array" aca="1" ref="G124" ca="1">CONCATENATE(INDIRECT(ADDRESS(1,6,1,0,"KeySet"),0),":","""",TEXT(valueMaker!G124,"yyyy/m/d"),"""")</f>
        <v>tanjyoubi:"2012/11/1"</v>
      </c>
      <c r="H124" t="str" cm="1">
        <f t="array" aca="1" ref="H124" ca="1">CONCATENATE(INDIRECT(ADDRESS(1,6,1,0,"KeySet"),0),":","""",TEXT(valueMaker!H124,"yyyy/m/d"),"""")</f>
        <v>tanjyoubi:"2015/11/1"</v>
      </c>
      <c r="I124" t="str" cm="1">
        <f t="array" aca="1" ref="I124" ca="1">CONCATENATE(INDIRECT(ADDRESS(1,9,1,0,"KeySet"),0),":","""",valueMaker!I124,"""")</f>
        <v>denwaBangou:"090-4810-4832"</v>
      </c>
      <c r="J124" t="str" cm="1">
        <f t="array" aca="1" ref="J124" ca="1">CONCATENATE(INDIRECT(ADDRESS(1,10,1,0,"KeySet"),0),":","""",valueMaker!J124,"""")</f>
        <v>mailAddress:"Yu_Tai_Ting_41214@outlook.jp.co"</v>
      </c>
      <c r="K124" t="str" cm="1">
        <f t="array" aca="1" ref="K124" ca="1">CONCATENATE(INDIRECT(ADDRESS(1,11,1,0,"KeySet"),0),":","""",valueMaker!K124,"""")</f>
        <v>kaninSyubetu:"普通"</v>
      </c>
      <c r="L124" t="str" cm="1">
        <f t="array" aca="1" ref="L124" ca="1">CONCATENATE(INDIRECT(ADDRESS(1,12,1,0,"KeySet"),0),":","""",valueMaker!L124,"""")</f>
        <v>kaninKengenWB:"有り"</v>
      </c>
      <c r="M124" t="str" cm="1">
        <f t="array" aca="1" ref="M124" ca="1">CONCATENATE(INDIRECT(ADDRESS(1,13,1,0,"KeySet"),0),":","""",valueMaker!M124,"""")</f>
        <v>wakibiri:"5%"</v>
      </c>
      <c r="N124" t="str" cm="1">
        <f t="array" aca="1" ref="N124" ca="1">CONCATENATE(INDIRECT(ADDRESS(1,14,1,0,"KeySet"),0),":","""",valueMaker!N124,"""")</f>
        <v>kaninKengenPoint:"有り"</v>
      </c>
      <c r="O124" t="str" cm="1">
        <f t="array" aca="1" ref="O124" ca="1">CONCATENATE(INDIRECT(ADDRESS(1,15,1,0,"KeySet"),0),":","""",valueMaker!O124,"""")</f>
        <v>point:"342"</v>
      </c>
      <c r="P124" t="str" cm="1">
        <f t="array" aca="1" ref="P124" ca="1">CONCATENATE(INDIRECT(ADDRESS(1,16,1,0,"KeySet"),0),":","""",valueMaker!P124,"""")</f>
        <v>bikou:""</v>
      </c>
    </row>
    <row r="125" spans="1:16">
      <c r="A125" t="str" cm="1">
        <f t="array" aca="1" ref="A125" ca="1">CONCATENATE(INDIRECT(ADDRESS(1,1,1,0,"KeySet"),0),":","""",valueMaker!A125,"""")</f>
        <v>kainBangou:"TD10124"</v>
      </c>
      <c r="B125" t="str" cm="1">
        <f t="array" aca="1" ref="B125" ca="1">CONCATENATE(INDIRECT(ADDRESS(1,2,1,0,"KeySet"),0),":","""",valueMaker!B125,"""")</f>
        <v>kainMeiKanji:"黃靜慶"</v>
      </c>
      <c r="C125" t="str" cm="1">
        <f t="array" aca="1" ref="C125" ca="1">CONCATENATE(INDIRECT(ADDRESS(1,3,1,0,"KeySet"),0),":","""",valueMaker!C125,"""")</f>
        <v>kainMeiKana:"ﾎﾜｰﾝ ｼﾞｰﾝ ﾁｰﾝ"</v>
      </c>
      <c r="D125" t="str" cm="1">
        <f t="array" aca="1" ref="D125" ca="1">CONCATENATE(INDIRECT(ADDRESS(1,4,1,0,"KeySet"),0),":","""",valueMaker!D125,"""")</f>
        <v>kainMeiEn:"Huang Jing Qing"</v>
      </c>
      <c r="E125" t="str" cm="1">
        <f t="array" aca="1" ref="E125" ca="1">CONCATENATE(INDIRECT(ADDRESS(1,5,1,0,"KeySet"),0),":","""",valueMaker!E125,"""")</f>
        <v>kainGender:"男性"</v>
      </c>
      <c r="F125" t="str" cm="1">
        <f t="array" aca="1" ref="F125" ca="1">CONCATENATE(INDIRECT(ADDRESS(1,6,1,0,"KeySet"),0),":","""",TEXT(valueMaker!F125,"yyyy/m/d"),"""")</f>
        <v>tanjyoubi:"1986/6/24"</v>
      </c>
      <c r="G125" t="str" cm="1">
        <f t="array" aca="1" ref="G125" ca="1">CONCATENATE(INDIRECT(ADDRESS(1,6,1,0,"KeySet"),0),":","""",TEXT(valueMaker!G125,"yyyy/m/d"),"""")</f>
        <v>tanjyoubi:"2014/1/10"</v>
      </c>
      <c r="H125" t="str" cm="1">
        <f t="array" aca="1" ref="H125" ca="1">CONCATENATE(INDIRECT(ADDRESS(1,6,1,0,"KeySet"),0),":","""",TEXT(valueMaker!H125,"yyyy/m/d"),"""")</f>
        <v>tanjyoubi:"2016/1/10"</v>
      </c>
      <c r="I125" t="str" cm="1">
        <f t="array" aca="1" ref="I125" ca="1">CONCATENATE(INDIRECT(ADDRESS(1,9,1,0,"KeySet"),0),":","""",valueMaker!I125,"""")</f>
        <v>denwaBangou:"080-4085-4064"</v>
      </c>
      <c r="J125" t="str" cm="1">
        <f t="array" aca="1" ref="J125" ca="1">CONCATENATE(INDIRECT(ADDRESS(1,10,1,0,"KeySet"),0),":","""",valueMaker!J125,"""")</f>
        <v>mailAddress:"Huang_Jing_Qing_41649@outlook.jp.co"</v>
      </c>
      <c r="K125" t="str" cm="1">
        <f t="array" aca="1" ref="K125" ca="1">CONCATENATE(INDIRECT(ADDRESS(1,11,1,0,"KeySet"),0),":","""",valueMaker!K125,"""")</f>
        <v>kaninSyubetu:"普通"</v>
      </c>
      <c r="L125" t="str" cm="1">
        <f t="array" aca="1" ref="L125" ca="1">CONCATENATE(INDIRECT(ADDRESS(1,12,1,0,"KeySet"),0),":","""",valueMaker!L125,"""")</f>
        <v>kaninKengenWB:"-"</v>
      </c>
      <c r="M125" t="str" cm="1">
        <f t="array" aca="1" ref="M125" ca="1">CONCATENATE(INDIRECT(ADDRESS(1,13,1,0,"KeySet"),0),":","""",valueMaker!M125,"""")</f>
        <v>wakibiri:"-"</v>
      </c>
      <c r="N125" t="str" cm="1">
        <f t="array" aca="1" ref="N125" ca="1">CONCATENATE(INDIRECT(ADDRESS(1,14,1,0,"KeySet"),0),":","""",valueMaker!N125,"""")</f>
        <v>kaninKengenPoint:"有り"</v>
      </c>
      <c r="O125" t="str" cm="1">
        <f t="array" aca="1" ref="O125" ca="1">CONCATENATE(INDIRECT(ADDRESS(1,15,1,0,"KeySet"),0),":","""",valueMaker!O125,"""")</f>
        <v>point:"67"</v>
      </c>
      <c r="P125" t="str" cm="1">
        <f t="array" aca="1" ref="P125" ca="1">CONCATENATE(INDIRECT(ADDRESS(1,16,1,0,"KeySet"),0),":","""",valueMaker!P125,"""")</f>
        <v>bikou:""</v>
      </c>
    </row>
    <row r="126" spans="1:16">
      <c r="A126" t="str" cm="1">
        <f t="array" aca="1" ref="A126" ca="1">CONCATENATE(INDIRECT(ADDRESS(1,1,1,0,"KeySet"),0),":","""",valueMaker!A126,"""")</f>
        <v>kainBangou:"TD10125"</v>
      </c>
      <c r="B126" t="str" cm="1">
        <f t="array" aca="1" ref="B126" ca="1">CONCATENATE(INDIRECT(ADDRESS(1,2,1,0,"KeySet"),0),":","""",valueMaker!B126,"""")</f>
        <v>kainMeiKanji:"胡都耿"</v>
      </c>
      <c r="C126" t="str" cm="1">
        <f t="array" aca="1" ref="C126" ca="1">CONCATENATE(INDIRECT(ADDRESS(1,3,1,0,"KeySet"),0),":","""",valueMaker!C126,"""")</f>
        <v>kainMeiKana:"ﾎｩ ﾄﾞｳ ｸﾞｵﾝ"</v>
      </c>
      <c r="D126" t="str" cm="1">
        <f t="array" aca="1" ref="D126" ca="1">CONCATENATE(INDIRECT(ADDRESS(1,4,1,0,"KeySet"),0),":","""",valueMaker!D126,"""")</f>
        <v>kainMeiEn:"Hu Dou Geng"</v>
      </c>
      <c r="E126" t="str" cm="1">
        <f t="array" aca="1" ref="E126" ca="1">CONCATENATE(INDIRECT(ADDRESS(1,5,1,0,"KeySet"),0),":","""",valueMaker!E126,"""")</f>
        <v>kainGender:"女性"</v>
      </c>
      <c r="F126" t="str" cm="1">
        <f t="array" aca="1" ref="F126" ca="1">CONCATENATE(INDIRECT(ADDRESS(1,6,1,0,"KeySet"),0),":","""",TEXT(valueMaker!F126,"yyyy/m/d"),"""")</f>
        <v>tanjyoubi:"2001/3/18"</v>
      </c>
      <c r="G126" t="str" cm="1">
        <f t="array" aca="1" ref="G126" ca="1">CONCATENATE(INDIRECT(ADDRESS(1,6,1,0,"KeySet"),0),":","""",TEXT(valueMaker!G126,"yyyy/m/d"),"""")</f>
        <v>tanjyoubi:"2020/5/26"</v>
      </c>
      <c r="H126" t="str" cm="1">
        <f t="array" aca="1" ref="H126" ca="1">CONCATENATE(INDIRECT(ADDRESS(1,6,1,0,"KeySet"),0),":","""",TEXT(valueMaker!H126,"yyyy/m/d"),"""")</f>
        <v>tanjyoubi:"2021/5/26"</v>
      </c>
      <c r="I126" t="str" cm="1">
        <f t="array" aca="1" ref="I126" ca="1">CONCATENATE(INDIRECT(ADDRESS(1,9,1,0,"KeySet"),0),":","""",valueMaker!I126,"""")</f>
        <v>denwaBangou:"080-7162-5448"</v>
      </c>
      <c r="J126" t="str" cm="1">
        <f t="array" aca="1" ref="J126" ca="1">CONCATENATE(INDIRECT(ADDRESS(1,10,1,0,"KeySet"),0),":","""",valueMaker!J126,"""")</f>
        <v>mailAddress:"Hu_Dou Geng_43977@outlook.jp.co"</v>
      </c>
      <c r="K126" t="str" cm="1">
        <f t="array" aca="1" ref="K126" ca="1">CONCATENATE(INDIRECT(ADDRESS(1,11,1,0,"KeySet"),0),":","""",valueMaker!K126,"""")</f>
        <v>kaninSyubetu:"高級"</v>
      </c>
      <c r="L126" t="str" cm="1">
        <f t="array" aca="1" ref="L126" ca="1">CONCATENATE(INDIRECT(ADDRESS(1,12,1,0,"KeySet"),0),":","""",valueMaker!L126,"""")</f>
        <v>kaninKengenWB:"有り"</v>
      </c>
      <c r="M126" t="str" cm="1">
        <f t="array" aca="1" ref="M126" ca="1">CONCATENATE(INDIRECT(ADDRESS(1,13,1,0,"KeySet"),0),":","""",valueMaker!M126,"""")</f>
        <v>wakibiri:"10%"</v>
      </c>
      <c r="N126" t="str" cm="1">
        <f t="array" aca="1" ref="N126" ca="1">CONCATENATE(INDIRECT(ADDRESS(1,14,1,0,"KeySet"),0),":","""",valueMaker!N126,"""")</f>
        <v>kaninKengenPoint:"-"</v>
      </c>
      <c r="O126" t="str" cm="1">
        <f t="array" aca="1" ref="O126" ca="1">CONCATENATE(INDIRECT(ADDRESS(1,15,1,0,"KeySet"),0),":","""",valueMaker!O126,"""")</f>
        <v>point:"-"</v>
      </c>
      <c r="P126" t="str" cm="1">
        <f t="array" aca="1" ref="P126" ca="1">CONCATENATE(INDIRECT(ADDRESS(1,16,1,0,"KeySet"),0),":","""",valueMaker!P126,"""")</f>
        <v>bikou:""</v>
      </c>
    </row>
    <row r="127" spans="1:16">
      <c r="A127" t="str" cm="1">
        <f t="array" aca="1" ref="A127" ca="1">CONCATENATE(INDIRECT(ADDRESS(1,1,1,0,"KeySet"),0),":","""",valueMaker!A127,"""")</f>
        <v>kainBangou:"TD10126"</v>
      </c>
      <c r="B127" t="str" cm="1">
        <f t="array" aca="1" ref="B127" ca="1">CONCATENATE(INDIRECT(ADDRESS(1,2,1,0,"KeySet"),0),":","""",valueMaker!B127,"""")</f>
        <v>kainMeiKanji:"吳媛雲"</v>
      </c>
      <c r="C127" t="str" cm="1">
        <f t="array" aca="1" ref="C127" ca="1">CONCATENATE(INDIRECT(ADDRESS(1,3,1,0,"KeySet"),0),":","""",valueMaker!C127,"""")</f>
        <v>kainMeiKana:"ｳｰ ﾕｴﾝ ﾕｲﾝ"</v>
      </c>
      <c r="D127" t="str" cm="1">
        <f t="array" aca="1" ref="D127" ca="1">CONCATENATE(INDIRECT(ADDRESS(1,4,1,0,"KeySet"),0),":","""",valueMaker!D127,"""")</f>
        <v>kainMeiEn:"Wu Yuan Yun"</v>
      </c>
      <c r="E127" t="str" cm="1">
        <f t="array" aca="1" ref="E127" ca="1">CONCATENATE(INDIRECT(ADDRESS(1,5,1,0,"KeySet"),0),":","""",valueMaker!E127,"""")</f>
        <v>kainGender:"男性"</v>
      </c>
      <c r="F127" t="str" cm="1">
        <f t="array" aca="1" ref="F127" ca="1">CONCATENATE(INDIRECT(ADDRESS(1,6,1,0,"KeySet"),0),":","""",TEXT(valueMaker!F127,"yyyy/m/d"),"""")</f>
        <v>tanjyoubi:"1996/5/29"</v>
      </c>
      <c r="G127" t="str" cm="1">
        <f t="array" aca="1" ref="G127" ca="1">CONCATENATE(INDIRECT(ADDRESS(1,6,1,0,"KeySet"),0),":","""",TEXT(valueMaker!G127,"yyyy/m/d"),"""")</f>
        <v>tanjyoubi:"2020/4/4"</v>
      </c>
      <c r="H127" t="str" cm="1">
        <f t="array" aca="1" ref="H127" ca="1">CONCATENATE(INDIRECT(ADDRESS(1,6,1,0,"KeySet"),0),":","""",TEXT(valueMaker!H127,"yyyy/m/d"),"""")</f>
        <v>tanjyoubi:"2022/4/4"</v>
      </c>
      <c r="I127" t="str" cm="1">
        <f t="array" aca="1" ref="I127" ca="1">CONCATENATE(INDIRECT(ADDRESS(1,9,1,0,"KeySet"),0),":","""",valueMaker!I127,"""")</f>
        <v>denwaBangou:"090-8623-0538"</v>
      </c>
      <c r="J127" t="str" cm="1">
        <f t="array" aca="1" ref="J127" ca="1">CONCATENATE(INDIRECT(ADDRESS(1,10,1,0,"KeySet"),0),":","""",valueMaker!J127,"""")</f>
        <v>mailAddress:"Wu_Yuan_Yun_43925@outlook.jp.co"</v>
      </c>
      <c r="K127" t="str" cm="1">
        <f t="array" aca="1" ref="K127" ca="1">CONCATENATE(INDIRECT(ADDRESS(1,11,1,0,"KeySet"),0),":","""",valueMaker!K127,"""")</f>
        <v>kaninSyubetu:"高級"</v>
      </c>
      <c r="L127" t="str" cm="1">
        <f t="array" aca="1" ref="L127" ca="1">CONCATENATE(INDIRECT(ADDRESS(1,12,1,0,"KeySet"),0),":","""",valueMaker!L127,"""")</f>
        <v>kaninKengenWB:"有り"</v>
      </c>
      <c r="M127" t="str" cm="1">
        <f t="array" aca="1" ref="M127" ca="1">CONCATENATE(INDIRECT(ADDRESS(1,13,1,0,"KeySet"),0),":","""",valueMaker!M127,"""")</f>
        <v>wakibiri:"10%"</v>
      </c>
      <c r="N127" t="str" cm="1">
        <f t="array" aca="1" ref="N127" ca="1">CONCATENATE(INDIRECT(ADDRESS(1,14,1,0,"KeySet"),0),":","""",valueMaker!N127,"""")</f>
        <v>kaninKengenPoint:"有り"</v>
      </c>
      <c r="O127" t="str" cm="1">
        <f t="array" aca="1" ref="O127" ca="1">CONCATENATE(INDIRECT(ADDRESS(1,15,1,0,"KeySet"),0),":","""",valueMaker!O127,"""")</f>
        <v>point:"19"</v>
      </c>
      <c r="P127" t="str" cm="1">
        <f t="array" aca="1" ref="P127" ca="1">CONCATENATE(INDIRECT(ADDRESS(1,16,1,0,"KeySet"),0),":","""",valueMaker!P127,"""")</f>
        <v>bikou:""</v>
      </c>
    </row>
    <row r="128" spans="1:16">
      <c r="A128" t="str" cm="1">
        <f t="array" aca="1" ref="A128" ca="1">CONCATENATE(INDIRECT(ADDRESS(1,1,1,0,"KeySet"),0),":","""",valueMaker!A128,"""")</f>
        <v>kainBangou:"TD10127"</v>
      </c>
      <c r="B128" t="str" cm="1">
        <f t="array" aca="1" ref="B128" ca="1">CONCATENATE(INDIRECT(ADDRESS(1,2,1,0,"KeySet"),0),":","""",valueMaker!B128,"""")</f>
        <v>kainMeiKanji:"楊菏本"</v>
      </c>
      <c r="C128" t="str" cm="1">
        <f t="array" aca="1" ref="C128" ca="1">CONCATENATE(INDIRECT(ADDRESS(1,3,1,0,"KeySet"),0),":","""",valueMaker!C128,"""")</f>
        <v>kainMeiKana:"ﾔｰﾝ ﾎｰｧ ﾍﾞﾝ"</v>
      </c>
      <c r="D128" t="str" cm="1">
        <f t="array" aca="1" ref="D128" ca="1">CONCATENATE(INDIRECT(ADDRESS(1,4,1,0,"KeySet"),0),":","""",valueMaker!D128,"""")</f>
        <v>kainMeiEn:"Yang He Ben"</v>
      </c>
      <c r="E128" t="str" cm="1">
        <f t="array" aca="1" ref="E128" ca="1">CONCATENATE(INDIRECT(ADDRESS(1,5,1,0,"KeySet"),0),":","""",valueMaker!E128,"""")</f>
        <v>kainGender:"-"</v>
      </c>
      <c r="F128" t="str" cm="1">
        <f t="array" aca="1" ref="F128" ca="1">CONCATENATE(INDIRECT(ADDRESS(1,6,1,0,"KeySet"),0),":","""",TEXT(valueMaker!F128,"yyyy/m/d"),"""")</f>
        <v>tanjyoubi:"1982/10/31"</v>
      </c>
      <c r="G128" t="str" cm="1">
        <f t="array" aca="1" ref="G128" ca="1">CONCATENATE(INDIRECT(ADDRESS(1,6,1,0,"KeySet"),0),":","""",TEXT(valueMaker!G128,"yyyy/m/d"),"""")</f>
        <v>tanjyoubi:"2004/4/15"</v>
      </c>
      <c r="H128" t="str" cm="1">
        <f t="array" aca="1" ref="H128" ca="1">CONCATENATE(INDIRECT(ADDRESS(1,6,1,0,"KeySet"),0),":","""",TEXT(valueMaker!H128,"yyyy/m/d"),"""")</f>
        <v>tanjyoubi:"2007/4/15"</v>
      </c>
      <c r="I128" t="str" cm="1">
        <f t="array" aca="1" ref="I128" ca="1">CONCATENATE(INDIRECT(ADDRESS(1,9,1,0,"KeySet"),0),":","""",valueMaker!I128,"""")</f>
        <v>denwaBangou:"090-5642-0334"</v>
      </c>
      <c r="J128" t="str" cm="1">
        <f t="array" aca="1" ref="J128" ca="1">CONCATENATE(INDIRECT(ADDRESS(1,10,1,0,"KeySet"),0),":","""",valueMaker!J128,"""")</f>
        <v>mailAddress:"Yang_He_Ben_38092@outlook.jp.co"</v>
      </c>
      <c r="K128" t="str" cm="1">
        <f t="array" aca="1" ref="K128" ca="1">CONCATENATE(INDIRECT(ADDRESS(1,11,1,0,"KeySet"),0),":","""",valueMaker!K128,"""")</f>
        <v>kaninSyubetu:"普通"</v>
      </c>
      <c r="L128" t="str" cm="1">
        <f t="array" aca="1" ref="L128" ca="1">CONCATENATE(INDIRECT(ADDRESS(1,12,1,0,"KeySet"),0),":","""",valueMaker!L128,"""")</f>
        <v>kaninKengenWB:"有り"</v>
      </c>
      <c r="M128" t="str" cm="1">
        <f t="array" aca="1" ref="M128" ca="1">CONCATENATE(INDIRECT(ADDRESS(1,13,1,0,"KeySet"),0),":","""",valueMaker!M128,"""")</f>
        <v>wakibiri:"5%"</v>
      </c>
      <c r="N128" t="str" cm="1">
        <f t="array" aca="1" ref="N128" ca="1">CONCATENATE(INDIRECT(ADDRESS(1,14,1,0,"KeySet"),0),":","""",valueMaker!N128,"""")</f>
        <v>kaninKengenPoint:"有り"</v>
      </c>
      <c r="O128" t="str" cm="1">
        <f t="array" aca="1" ref="O128" ca="1">CONCATENATE(INDIRECT(ADDRESS(1,15,1,0,"KeySet"),0),":","""",valueMaker!O128,"""")</f>
        <v>point:"457"</v>
      </c>
      <c r="P128" t="str" cm="1">
        <f t="array" aca="1" ref="P128" ca="1">CONCATENATE(INDIRECT(ADDRESS(1,16,1,0,"KeySet"),0),":","""",valueMaker!P128,"""")</f>
        <v>bikou:""</v>
      </c>
    </row>
    <row r="129" spans="1:16">
      <c r="A129" t="str" cm="1">
        <f t="array" aca="1" ref="A129" ca="1">CONCATENATE(INDIRECT(ADDRESS(1,1,1,0,"KeySet"),0),":","""",valueMaker!A129,"""")</f>
        <v>kainBangou:"TD10128"</v>
      </c>
      <c r="B129" t="str" cm="1">
        <f t="array" aca="1" ref="B129" ca="1">CONCATENATE(INDIRECT(ADDRESS(1,2,1,0,"KeySet"),0),":","""",valueMaker!B129,"""")</f>
        <v>kainMeiKanji:"馬慶睿"</v>
      </c>
      <c r="C129" t="str" cm="1">
        <f t="array" aca="1" ref="C129" ca="1">CONCATENATE(INDIRECT(ADDRESS(1,3,1,0,"KeySet"),0),":","""",valueMaker!C129,"""")</f>
        <v>kainMeiKana:"ﾏｰ ﾁｰﾝ ｩﾙｲ"</v>
      </c>
      <c r="D129" t="str" cm="1">
        <f t="array" aca="1" ref="D129" ca="1">CONCATENATE(INDIRECT(ADDRESS(1,4,1,0,"KeySet"),0),":","""",valueMaker!D129,"""")</f>
        <v>kainMeiEn:"Ma Qing Rui"</v>
      </c>
      <c r="E129" t="str" cm="1">
        <f t="array" aca="1" ref="E129" ca="1">CONCATENATE(INDIRECT(ADDRESS(1,5,1,0,"KeySet"),0),":","""",valueMaker!E129,"""")</f>
        <v>kainGender:"女性"</v>
      </c>
      <c r="F129" t="str" cm="1">
        <f t="array" aca="1" ref="F129" ca="1">CONCATENATE(INDIRECT(ADDRESS(1,6,1,0,"KeySet"),0),":","""",TEXT(valueMaker!F129,"yyyy/m/d"),"""")</f>
        <v>tanjyoubi:"1961/7/9"</v>
      </c>
      <c r="G129" t="str" cm="1">
        <f t="array" aca="1" ref="G129" ca="1">CONCATENATE(INDIRECT(ADDRESS(1,6,1,0,"KeySet"),0),":","""",TEXT(valueMaker!G129,"yyyy/m/d"),"""")</f>
        <v>tanjyoubi:"2014/11/23"</v>
      </c>
      <c r="H129" t="str" cm="1">
        <f t="array" aca="1" ref="H129" ca="1">CONCATENATE(INDIRECT(ADDRESS(1,6,1,0,"KeySet"),0),":","""",TEXT(valueMaker!H129,"yyyy/m/d"),"""")</f>
        <v>tanjyoubi:"2016/11/22"</v>
      </c>
      <c r="I129" t="str" cm="1">
        <f t="array" aca="1" ref="I129" ca="1">CONCATENATE(INDIRECT(ADDRESS(1,9,1,0,"KeySet"),0),":","""",valueMaker!I129,"""")</f>
        <v>denwaBangou:"080-5463-2162"</v>
      </c>
      <c r="J129" t="str" cm="1">
        <f t="array" aca="1" ref="J129" ca="1">CONCATENATE(INDIRECT(ADDRESS(1,10,1,0,"KeySet"),0),":","""",valueMaker!J129,"""")</f>
        <v>mailAddress:"Ma_Qing_Rui_41966@outlook.jp.co"</v>
      </c>
      <c r="K129" t="str" cm="1">
        <f t="array" aca="1" ref="K129" ca="1">CONCATENATE(INDIRECT(ADDRESS(1,11,1,0,"KeySet"),0),":","""",valueMaker!K129,"""")</f>
        <v>kaninSyubetu:"普通"</v>
      </c>
      <c r="L129" t="str" cm="1">
        <f t="array" aca="1" ref="L129" ca="1">CONCATENATE(INDIRECT(ADDRESS(1,12,1,0,"KeySet"),0),":","""",valueMaker!L129,"""")</f>
        <v>kaninKengenWB:"有り"</v>
      </c>
      <c r="M129" t="str" cm="1">
        <f t="array" aca="1" ref="M129" ca="1">CONCATENATE(INDIRECT(ADDRESS(1,13,1,0,"KeySet"),0),":","""",valueMaker!M129,"""")</f>
        <v>wakibiri:"5%"</v>
      </c>
      <c r="N129" t="str" cm="1">
        <f t="array" aca="1" ref="N129" ca="1">CONCATENATE(INDIRECT(ADDRESS(1,14,1,0,"KeySet"),0),":","""",valueMaker!N129,"""")</f>
        <v>kaninKengenPoint:"有り"</v>
      </c>
      <c r="O129" t="str" cm="1">
        <f t="array" aca="1" ref="O129" ca="1">CONCATENATE(INDIRECT(ADDRESS(1,15,1,0,"KeySet"),0),":","""",valueMaker!O129,"""")</f>
        <v>point:"530"</v>
      </c>
      <c r="P129" t="str" cm="1">
        <f t="array" aca="1" ref="P129" ca="1">CONCATENATE(INDIRECT(ADDRESS(1,16,1,0,"KeySet"),0),":","""",valueMaker!P129,"""")</f>
        <v>bikou:""</v>
      </c>
    </row>
    <row r="130" spans="1:16">
      <c r="A130" t="str" cm="1">
        <f t="array" aca="1" ref="A130" ca="1">CONCATENATE(INDIRECT(ADDRESS(1,1,1,0,"KeySet"),0),":","""",valueMaker!A130,"""")</f>
        <v>kainBangou:"TD10129"</v>
      </c>
      <c r="B130" t="str" cm="1">
        <f t="array" aca="1" ref="B130" ca="1">CONCATENATE(INDIRECT(ADDRESS(1,2,1,0,"KeySet"),0),":","""",valueMaker!B130,"""")</f>
        <v>kainMeiKanji:"王浦盟"</v>
      </c>
      <c r="C130" t="str" cm="1">
        <f t="array" aca="1" ref="C130" ca="1">CONCATENATE(INDIRECT(ADDRESS(1,3,1,0,"KeySet"),0),":","""",valueMaker!C130,"""")</f>
        <v>kainMeiKana:"ﾜｰﾝ ﾌﾟｩ ﾑｵﾝ"</v>
      </c>
      <c r="D130" t="str" cm="1">
        <f t="array" aca="1" ref="D130" ca="1">CONCATENATE(INDIRECT(ADDRESS(1,4,1,0,"KeySet"),0),":","""",valueMaker!D130,"""")</f>
        <v>kainMeiEn:"Wang Pu Meng"</v>
      </c>
      <c r="E130" t="str" cm="1">
        <f t="array" aca="1" ref="E130" ca="1">CONCATENATE(INDIRECT(ADDRESS(1,5,1,0,"KeySet"),0),":","""",valueMaker!E130,"""")</f>
        <v>kainGender:"女性"</v>
      </c>
      <c r="F130" t="str" cm="1">
        <f t="array" aca="1" ref="F130" ca="1">CONCATENATE(INDIRECT(ADDRESS(1,6,1,0,"KeySet"),0),":","""",TEXT(valueMaker!F130,"yyyy/m/d"),"""")</f>
        <v>tanjyoubi:"1997/2/16"</v>
      </c>
      <c r="G130" t="str" cm="1">
        <f t="array" aca="1" ref="G130" ca="1">CONCATENATE(INDIRECT(ADDRESS(1,6,1,0,"KeySet"),0),":","""",TEXT(valueMaker!G130,"yyyy/m/d"),"""")</f>
        <v>tanjyoubi:"2021/7/20"</v>
      </c>
      <c r="H130" t="str" cm="1">
        <f t="array" aca="1" ref="H130" ca="1">CONCATENATE(INDIRECT(ADDRESS(1,6,1,0,"KeySet"),0),":","""",TEXT(valueMaker!H130,"yyyy/m/d"),"""")</f>
        <v>tanjyoubi:"2022/7/20"</v>
      </c>
      <c r="I130" t="str" cm="1">
        <f t="array" aca="1" ref="I130" ca="1">CONCATENATE(INDIRECT(ADDRESS(1,9,1,0,"KeySet"),0),":","""",valueMaker!I130,"""")</f>
        <v>denwaBangou:"090-8219-3531"</v>
      </c>
      <c r="J130" t="str" cm="1">
        <f t="array" aca="1" ref="J130" ca="1">CONCATENATE(INDIRECT(ADDRESS(1,10,1,0,"KeySet"),0),":","""",valueMaker!J130,"""")</f>
        <v>mailAddress:"Wang_Pu_Meng_44397@outlook.jp.co"</v>
      </c>
      <c r="K130" t="str" cm="1">
        <f t="array" aca="1" ref="K130" ca="1">CONCATENATE(INDIRECT(ADDRESS(1,11,1,0,"KeySet"),0),":","""",valueMaker!K130,"""")</f>
        <v>kaninSyubetu:"普通"</v>
      </c>
      <c r="L130" t="str" cm="1">
        <f t="array" aca="1" ref="L130" ca="1">CONCATENATE(INDIRECT(ADDRESS(1,12,1,0,"KeySet"),0),":","""",valueMaker!L130,"""")</f>
        <v>kaninKengenWB:"-"</v>
      </c>
      <c r="M130" t="str" cm="1">
        <f t="array" aca="1" ref="M130" ca="1">CONCATENATE(INDIRECT(ADDRESS(1,13,1,0,"KeySet"),0),":","""",valueMaker!M130,"""")</f>
        <v>wakibiri:"-"</v>
      </c>
      <c r="N130" t="str" cm="1">
        <f t="array" aca="1" ref="N130" ca="1">CONCATENATE(INDIRECT(ADDRESS(1,14,1,0,"KeySet"),0),":","""",valueMaker!N130,"""")</f>
        <v>kaninKengenPoint:"有り"</v>
      </c>
      <c r="O130" t="str" cm="1">
        <f t="array" aca="1" ref="O130" ca="1">CONCATENATE(INDIRECT(ADDRESS(1,15,1,0,"KeySet"),0),":","""",valueMaker!O130,"""")</f>
        <v>point:"125"</v>
      </c>
      <c r="P130" t="str" cm="1">
        <f t="array" aca="1" ref="P130" ca="1">CONCATENATE(INDIRECT(ADDRESS(1,16,1,0,"KeySet"),0),":","""",valueMaker!P130,"""")</f>
        <v>bikou:""</v>
      </c>
    </row>
    <row r="131" spans="1:16">
      <c r="A131" t="str" cm="1">
        <f t="array" aca="1" ref="A131" ca="1">CONCATENATE(INDIRECT(ADDRESS(1,1,1,0,"KeySet"),0),":","""",valueMaker!A131,"""")</f>
        <v>kainBangou:"TD10130"</v>
      </c>
      <c r="B131" t="str" cm="1">
        <f t="array" aca="1" ref="B131" ca="1">CONCATENATE(INDIRECT(ADDRESS(1,2,1,0,"KeySet"),0),":","""",valueMaker!B131,"""")</f>
        <v>kainMeiKanji:"吳謙垚"</v>
      </c>
      <c r="C131" t="str" cm="1">
        <f t="array" aca="1" ref="C131" ca="1">CONCATENATE(INDIRECT(ADDRESS(1,3,1,0,"KeySet"),0),":","""",valueMaker!C131,"""")</f>
        <v>kainMeiKana:"ｳｰ ﾁｴﾝ ﾔｵ"</v>
      </c>
      <c r="D131" t="str" cm="1">
        <f t="array" aca="1" ref="D131" ca="1">CONCATENATE(INDIRECT(ADDRESS(1,4,1,0,"KeySet"),0),":","""",valueMaker!D131,"""")</f>
        <v>kainMeiEn:"Wu Qian Yao"</v>
      </c>
      <c r="E131" t="str" cm="1">
        <f t="array" aca="1" ref="E131" ca="1">CONCATENATE(INDIRECT(ADDRESS(1,5,1,0,"KeySet"),0),":","""",valueMaker!E131,"""")</f>
        <v>kainGender:"女性"</v>
      </c>
      <c r="F131" t="str" cm="1">
        <f t="array" aca="1" ref="F131" ca="1">CONCATENATE(INDIRECT(ADDRESS(1,6,1,0,"KeySet"),0),":","""",TEXT(valueMaker!F131,"yyyy/m/d"),"""")</f>
        <v>tanjyoubi:"1964/6/11"</v>
      </c>
      <c r="G131" t="str" cm="1">
        <f t="array" aca="1" ref="G131" ca="1">CONCATENATE(INDIRECT(ADDRESS(1,6,1,0,"KeySet"),0),":","""",TEXT(valueMaker!G131,"yyyy/m/d"),"""")</f>
        <v>tanjyoubi:"2004/12/27"</v>
      </c>
      <c r="H131" t="str" cm="1">
        <f t="array" aca="1" ref="H131" ca="1">CONCATENATE(INDIRECT(ADDRESS(1,6,1,0,"KeySet"),0),":","""",TEXT(valueMaker!H131,"yyyy/m/d"),"""")</f>
        <v>tanjyoubi:"2006/12/27"</v>
      </c>
      <c r="I131" t="str" cm="1">
        <f t="array" aca="1" ref="I131" ca="1">CONCATENATE(INDIRECT(ADDRESS(1,9,1,0,"KeySet"),0),":","""",valueMaker!I131,"""")</f>
        <v>denwaBangou:"080-0155-5190"</v>
      </c>
      <c r="J131" t="str" cm="1">
        <f t="array" aca="1" ref="J131" ca="1">CONCATENATE(INDIRECT(ADDRESS(1,10,1,0,"KeySet"),0),":","""",valueMaker!J131,"""")</f>
        <v>mailAddress:"Wu_Qian_Yao_38348@outlook.jp.co"</v>
      </c>
      <c r="K131" t="str" cm="1">
        <f t="array" aca="1" ref="K131" ca="1">CONCATENATE(INDIRECT(ADDRESS(1,11,1,0,"KeySet"),0),":","""",valueMaker!K131,"""")</f>
        <v>kaninSyubetu:"普通"</v>
      </c>
      <c r="L131" t="str" cm="1">
        <f t="array" aca="1" ref="L131" ca="1">CONCATENATE(INDIRECT(ADDRESS(1,12,1,0,"KeySet"),0),":","""",valueMaker!L131,"""")</f>
        <v>kaninKengenWB:"有り"</v>
      </c>
      <c r="M131" t="str" cm="1">
        <f t="array" aca="1" ref="M131" ca="1">CONCATENATE(INDIRECT(ADDRESS(1,13,1,0,"KeySet"),0),":","""",valueMaker!M131,"""")</f>
        <v>wakibiri:"5%"</v>
      </c>
      <c r="N131" t="str" cm="1">
        <f t="array" aca="1" ref="N131" ca="1">CONCATENATE(INDIRECT(ADDRESS(1,14,1,0,"KeySet"),0),":","""",valueMaker!N131,"""")</f>
        <v>kaninKengenPoint:"有り"</v>
      </c>
      <c r="O131" t="str" cm="1">
        <f t="array" aca="1" ref="O131" ca="1">CONCATENATE(INDIRECT(ADDRESS(1,15,1,0,"KeySet"),0),":","""",valueMaker!O131,"""")</f>
        <v>point:"899"</v>
      </c>
      <c r="P131" t="str" cm="1">
        <f t="array" aca="1" ref="P131" ca="1">CONCATENATE(INDIRECT(ADDRESS(1,16,1,0,"KeySet"),0),":","""",valueMaker!P131,"""")</f>
        <v>bikou:""</v>
      </c>
    </row>
    <row r="132" spans="1:16">
      <c r="A132" t="str" cm="1">
        <f t="array" aca="1" ref="A132" ca="1">CONCATENATE(INDIRECT(ADDRESS(1,1,1,0,"KeySet"),0),":","""",valueMaker!A132,"""")</f>
        <v>kainBangou:"TD10131"</v>
      </c>
      <c r="B132" t="str" cm="1">
        <f t="array" aca="1" ref="B132" ca="1">CONCATENATE(INDIRECT(ADDRESS(1,2,1,0,"KeySet"),0),":","""",valueMaker!B132,"""")</f>
        <v>kainMeiKanji:"周朴雷"</v>
      </c>
      <c r="C132" t="str" cm="1">
        <f t="array" aca="1" ref="C132" ca="1">CONCATENATE(INDIRECT(ADDRESS(1,3,1,0,"KeySet"),0),":","""",valueMaker!C132,"""")</f>
        <v>kainMeiKana:"ｼﾞｮｳ ﾌﾟｩ ﾚｲ"</v>
      </c>
      <c r="D132" t="str" cm="1">
        <f t="array" aca="1" ref="D132" ca="1">CONCATENATE(INDIRECT(ADDRESS(1,4,1,0,"KeySet"),0),":","""",valueMaker!D132,"""")</f>
        <v>kainMeiEn:"Zhou Pu Lei"</v>
      </c>
      <c r="E132" t="str" cm="1">
        <f t="array" aca="1" ref="E132" ca="1">CONCATENATE(INDIRECT(ADDRESS(1,5,1,0,"KeySet"),0),":","""",valueMaker!E132,"""")</f>
        <v>kainGender:"女性"</v>
      </c>
      <c r="F132" t="str" cm="1">
        <f t="array" aca="1" ref="F132" ca="1">CONCATENATE(INDIRECT(ADDRESS(1,6,1,0,"KeySet"),0),":","""",TEXT(valueMaker!F132,"yyyy/m/d"),"""")</f>
        <v>tanjyoubi:"2002/12/19"</v>
      </c>
      <c r="G132" t="str" cm="1">
        <f t="array" aca="1" ref="G132" ca="1">CONCATENATE(INDIRECT(ADDRESS(1,6,1,0,"KeySet"),0),":","""",TEXT(valueMaker!G132,"yyyy/m/d"),"""")</f>
        <v>tanjyoubi:"2021/4/11"</v>
      </c>
      <c r="H132" t="str" cm="1">
        <f t="array" aca="1" ref="H132" ca="1">CONCATENATE(INDIRECT(ADDRESS(1,6,1,0,"KeySet"),0),":","""",TEXT(valueMaker!H132,"yyyy/m/d"),"""")</f>
        <v>tanjyoubi:"2022/4/11"</v>
      </c>
      <c r="I132" t="str" cm="1">
        <f t="array" aca="1" ref="I132" ca="1">CONCATENATE(INDIRECT(ADDRESS(1,9,1,0,"KeySet"),0),":","""",valueMaker!I132,"""")</f>
        <v>denwaBangou:"080-9138-1599"</v>
      </c>
      <c r="J132" t="str" cm="1">
        <f t="array" aca="1" ref="J132" ca="1">CONCATENATE(INDIRECT(ADDRESS(1,10,1,0,"KeySet"),0),":","""",valueMaker!J132,"""")</f>
        <v>mailAddress:"Zhou_Pu Lei_44297@outlook.jp.co"</v>
      </c>
      <c r="K132" t="str" cm="1">
        <f t="array" aca="1" ref="K132" ca="1">CONCATENATE(INDIRECT(ADDRESS(1,11,1,0,"KeySet"),0),":","""",valueMaker!K132,"""")</f>
        <v>kaninSyubetu:"普通"</v>
      </c>
      <c r="L132" t="str" cm="1">
        <f t="array" aca="1" ref="L132" ca="1">CONCATENATE(INDIRECT(ADDRESS(1,12,1,0,"KeySet"),0),":","""",valueMaker!L132,"""")</f>
        <v>kaninKengenWB:"有り"</v>
      </c>
      <c r="M132" t="str" cm="1">
        <f t="array" aca="1" ref="M132" ca="1">CONCATENATE(INDIRECT(ADDRESS(1,13,1,0,"KeySet"),0),":","""",valueMaker!M132,"""")</f>
        <v>wakibiri:"5%"</v>
      </c>
      <c r="N132" t="str" cm="1">
        <f t="array" aca="1" ref="N132" ca="1">CONCATENATE(INDIRECT(ADDRESS(1,14,1,0,"KeySet"),0),":","""",valueMaker!N132,"""")</f>
        <v>kaninKengenPoint:"有り"</v>
      </c>
      <c r="O132" t="str" cm="1">
        <f t="array" aca="1" ref="O132" ca="1">CONCATENATE(INDIRECT(ADDRESS(1,15,1,0,"KeySet"),0),":","""",valueMaker!O132,"""")</f>
        <v>point:"798"</v>
      </c>
      <c r="P132" t="str" cm="1">
        <f t="array" aca="1" ref="P132" ca="1">CONCATENATE(INDIRECT(ADDRESS(1,16,1,0,"KeySet"),0),":","""",valueMaker!P132,"""")</f>
        <v>bikou:""</v>
      </c>
    </row>
    <row r="133" spans="1:16">
      <c r="A133" t="str" cm="1">
        <f t="array" aca="1" ref="A133" ca="1">CONCATENATE(INDIRECT(ADDRESS(1,1,1,0,"KeySet"),0),":","""",valueMaker!A133,"""")</f>
        <v>kainBangou:"TD10132"</v>
      </c>
      <c r="B133" t="str" cm="1">
        <f t="array" aca="1" ref="B133" ca="1">CONCATENATE(INDIRECT(ADDRESS(1,2,1,0,"KeySet"),0),":","""",valueMaker!B133,"""")</f>
        <v>kainMeiKanji:"朱亞芬"</v>
      </c>
      <c r="C133" t="str" cm="1">
        <f t="array" aca="1" ref="C133" ca="1">CONCATENATE(INDIRECT(ADDRESS(1,3,1,0,"KeySet"),0),":","""",valueMaker!C133,"""")</f>
        <v>kainMeiKana:"ｼﾞｭｳ ﾔｰ ﾌｪﾝ"</v>
      </c>
      <c r="D133" t="str" cm="1">
        <f t="array" aca="1" ref="D133" ca="1">CONCATENATE(INDIRECT(ADDRESS(1,4,1,0,"KeySet"),0),":","""",valueMaker!D133,"""")</f>
        <v>kainMeiEn:"Zhu Ya Fen"</v>
      </c>
      <c r="E133" t="str" cm="1">
        <f t="array" aca="1" ref="E133" ca="1">CONCATENATE(INDIRECT(ADDRESS(1,5,1,0,"KeySet"),0),":","""",valueMaker!E133,"""")</f>
        <v>kainGender:"-"</v>
      </c>
      <c r="F133" t="str" cm="1">
        <f t="array" aca="1" ref="F133" ca="1">CONCATENATE(INDIRECT(ADDRESS(1,6,1,0,"KeySet"),0),":","""",TEXT(valueMaker!F133,"yyyy/m/d"),"""")</f>
        <v>tanjyoubi:"1984/4/26"</v>
      </c>
      <c r="G133" t="str" cm="1">
        <f t="array" aca="1" ref="G133" ca="1">CONCATENATE(INDIRECT(ADDRESS(1,6,1,0,"KeySet"),0),":","""",TEXT(valueMaker!G133,"yyyy/m/d"),"""")</f>
        <v>tanjyoubi:"2015/8/29"</v>
      </c>
      <c r="H133" t="str" cm="1">
        <f t="array" aca="1" ref="H133" ca="1">CONCATENATE(INDIRECT(ADDRESS(1,6,1,0,"KeySet"),0),":","""",TEXT(valueMaker!H133,"yyyy/m/d"),"""")</f>
        <v>tanjyoubi:"2017/8/28"</v>
      </c>
      <c r="I133" t="str" cm="1">
        <f t="array" aca="1" ref="I133" ca="1">CONCATENATE(INDIRECT(ADDRESS(1,9,1,0,"KeySet"),0),":","""",valueMaker!I133,"""")</f>
        <v>denwaBangou:"090-2688-1550"</v>
      </c>
      <c r="J133" t="str" cm="1">
        <f t="array" aca="1" ref="J133" ca="1">CONCATENATE(INDIRECT(ADDRESS(1,10,1,0,"KeySet"),0),":","""",valueMaker!J133,"""")</f>
        <v>mailAddress:"Zhu_Ya_Fen_42245@outlook.jp.co"</v>
      </c>
      <c r="K133" t="str" cm="1">
        <f t="array" aca="1" ref="K133" ca="1">CONCATENATE(INDIRECT(ADDRESS(1,11,1,0,"KeySet"),0),":","""",valueMaker!K133,"""")</f>
        <v>kaninSyubetu:"普通"</v>
      </c>
      <c r="L133" t="str" cm="1">
        <f t="array" aca="1" ref="L133" ca="1">CONCATENATE(INDIRECT(ADDRESS(1,12,1,0,"KeySet"),0),":","""",valueMaker!L133,"""")</f>
        <v>kaninKengenWB:"有り"</v>
      </c>
      <c r="M133" t="str" cm="1">
        <f t="array" aca="1" ref="M133" ca="1">CONCATENATE(INDIRECT(ADDRESS(1,13,1,0,"KeySet"),0),":","""",valueMaker!M133,"""")</f>
        <v>wakibiri:"5%"</v>
      </c>
      <c r="N133" t="str" cm="1">
        <f t="array" aca="1" ref="N133" ca="1">CONCATENATE(INDIRECT(ADDRESS(1,14,1,0,"KeySet"),0),":","""",valueMaker!N133,"""")</f>
        <v>kaninKengenPoint:"有り"</v>
      </c>
      <c r="O133" t="str" cm="1">
        <f t="array" aca="1" ref="O133" ca="1">CONCATENATE(INDIRECT(ADDRESS(1,15,1,0,"KeySet"),0),":","""",valueMaker!O133,"""")</f>
        <v>point:"166"</v>
      </c>
      <c r="P133" t="str" cm="1">
        <f t="array" aca="1" ref="P133" ca="1">CONCATENATE(INDIRECT(ADDRESS(1,16,1,0,"KeySet"),0),":","""",valueMaker!P133,"""")</f>
        <v>bikou:""</v>
      </c>
    </row>
    <row r="134" spans="1:16">
      <c r="A134" t="str" cm="1">
        <f t="array" aca="1" ref="A134" ca="1">CONCATENATE(INDIRECT(ADDRESS(1,1,1,0,"KeySet"),0),":","""",valueMaker!A134,"""")</f>
        <v>kainBangou:"TD10133"</v>
      </c>
      <c r="B134" t="str" cm="1">
        <f t="array" aca="1" ref="B134" ca="1">CONCATENATE(INDIRECT(ADDRESS(1,2,1,0,"KeySet"),0),":","""",valueMaker!B134,"""")</f>
        <v>kainMeiKanji:"鄭盈年"</v>
      </c>
      <c r="C134" t="str" cm="1">
        <f t="array" aca="1" ref="C134" ca="1">CONCATENATE(INDIRECT(ADDRESS(1,3,1,0,"KeySet"),0),":","""",valueMaker!C134,"""")</f>
        <v>kainMeiKana:"ｼﾞｭﾖﾝ ｲｰﾝ ﾆｴﾝ"</v>
      </c>
      <c r="D134" t="str" cm="1">
        <f t="array" aca="1" ref="D134" ca="1">CONCATENATE(INDIRECT(ADDRESS(1,4,1,0,"KeySet"),0),":","""",valueMaker!D134,"""")</f>
        <v>kainMeiEn:"Zheng Ying Nian"</v>
      </c>
      <c r="E134" t="str" cm="1">
        <f t="array" aca="1" ref="E134" ca="1">CONCATENATE(INDIRECT(ADDRESS(1,5,1,0,"KeySet"),0),":","""",valueMaker!E134,"""")</f>
        <v>kainGender:"女性"</v>
      </c>
      <c r="F134" t="str" cm="1">
        <f t="array" aca="1" ref="F134" ca="1">CONCATENATE(INDIRECT(ADDRESS(1,6,1,0,"KeySet"),0),":","""",TEXT(valueMaker!F134,"yyyy/m/d"),"""")</f>
        <v>tanjyoubi:"1960/12/18"</v>
      </c>
      <c r="G134" t="str" cm="1">
        <f t="array" aca="1" ref="G134" ca="1">CONCATENATE(INDIRECT(ADDRESS(1,6,1,0,"KeySet"),0),":","""",TEXT(valueMaker!G134,"yyyy/m/d"),"""")</f>
        <v>tanjyoubi:"2020/10/27"</v>
      </c>
      <c r="H134" t="str" cm="1">
        <f t="array" aca="1" ref="H134" ca="1">CONCATENATE(INDIRECT(ADDRESS(1,6,1,0,"KeySet"),0),":","""",TEXT(valueMaker!H134,"yyyy/m/d"),"""")</f>
        <v>tanjyoubi:"2022/10/27"</v>
      </c>
      <c r="I134" t="str" cm="1">
        <f t="array" aca="1" ref="I134" ca="1">CONCATENATE(INDIRECT(ADDRESS(1,9,1,0,"KeySet"),0),":","""",valueMaker!I134,"""")</f>
        <v>denwaBangou:"090-0042-6846"</v>
      </c>
      <c r="J134" t="str" cm="1">
        <f t="array" aca="1" ref="J134" ca="1">CONCATENATE(INDIRECT(ADDRESS(1,10,1,0,"KeySet"),0),":","""",valueMaker!J134,"""")</f>
        <v>mailAddress:"Zheng_Ying_Nian_44131@outlook.jp.co"</v>
      </c>
      <c r="K134" t="str" cm="1">
        <f t="array" aca="1" ref="K134" ca="1">CONCATENATE(INDIRECT(ADDRESS(1,11,1,0,"KeySet"),0),":","""",valueMaker!K134,"""")</f>
        <v>kaninSyubetu:"普通"</v>
      </c>
      <c r="L134" t="str" cm="1">
        <f t="array" aca="1" ref="L134" ca="1">CONCATENATE(INDIRECT(ADDRESS(1,12,1,0,"KeySet"),0),":","""",valueMaker!L134,"""")</f>
        <v>kaninKengenWB:"-"</v>
      </c>
      <c r="M134" t="str" cm="1">
        <f t="array" aca="1" ref="M134" ca="1">CONCATENATE(INDIRECT(ADDRESS(1,13,1,0,"KeySet"),0),":","""",valueMaker!M134,"""")</f>
        <v>wakibiri:"-"</v>
      </c>
      <c r="N134" t="str" cm="1">
        <f t="array" aca="1" ref="N134" ca="1">CONCATENATE(INDIRECT(ADDRESS(1,14,1,0,"KeySet"),0),":","""",valueMaker!N134,"""")</f>
        <v>kaninKengenPoint:"有り"</v>
      </c>
      <c r="O134" t="str" cm="1">
        <f t="array" aca="1" ref="O134" ca="1">CONCATENATE(INDIRECT(ADDRESS(1,15,1,0,"KeySet"),0),":","""",valueMaker!O134,"""")</f>
        <v>point:"694"</v>
      </c>
      <c r="P134" t="str" cm="1">
        <f t="array" aca="1" ref="P134" ca="1">CONCATENATE(INDIRECT(ADDRESS(1,16,1,0,"KeySet"),0),":","""",valueMaker!P134,"""")</f>
        <v>bikou:""</v>
      </c>
    </row>
    <row r="135" spans="1:16">
      <c r="A135" t="str" cm="1">
        <f t="array" aca="1" ref="A135" ca="1">CONCATENATE(INDIRECT(ADDRESS(1,1,1,0,"KeySet"),0),":","""",valueMaker!A135,"""")</f>
        <v>kainBangou:"TD10134"</v>
      </c>
      <c r="B135" t="str" cm="1">
        <f t="array" aca="1" ref="B135" ca="1">CONCATENATE(INDIRECT(ADDRESS(1,2,1,0,"KeySet"),0),":","""",valueMaker!B135,"""")</f>
        <v>kainMeiKanji:"王依思"</v>
      </c>
      <c r="C135" t="str" cm="1">
        <f t="array" aca="1" ref="C135" ca="1">CONCATENATE(INDIRECT(ADDRESS(1,3,1,0,"KeySet"),0),":","""",valueMaker!C135,"""")</f>
        <v>kainMeiKana:"ﾜｰﾝ ｲｰ ｽｰ"</v>
      </c>
      <c r="D135" t="str" cm="1">
        <f t="array" aca="1" ref="D135" ca="1">CONCATENATE(INDIRECT(ADDRESS(1,4,1,0,"KeySet"),0),":","""",valueMaker!D135,"""")</f>
        <v>kainMeiEn:"Wang Yi Si"</v>
      </c>
      <c r="E135" t="str" cm="1">
        <f t="array" aca="1" ref="E135" ca="1">CONCATENATE(INDIRECT(ADDRESS(1,5,1,0,"KeySet"),0),":","""",valueMaker!E135,"""")</f>
        <v>kainGender:"女性"</v>
      </c>
      <c r="F135" t="str" cm="1">
        <f t="array" aca="1" ref="F135" ca="1">CONCATENATE(INDIRECT(ADDRESS(1,6,1,0,"KeySet"),0),":","""",TEXT(valueMaker!F135,"yyyy/m/d"),"""")</f>
        <v>tanjyoubi:"1997/7/4"</v>
      </c>
      <c r="G135" t="str" cm="1">
        <f t="array" aca="1" ref="G135" ca="1">CONCATENATE(INDIRECT(ADDRESS(1,6,1,0,"KeySet"),0),":","""",TEXT(valueMaker!G135,"yyyy/m/d"),"""")</f>
        <v>tanjyoubi:"2023/8/12"</v>
      </c>
      <c r="H135" t="str" cm="1">
        <f t="array" aca="1" ref="H135" ca="1">CONCATENATE(INDIRECT(ADDRESS(1,6,1,0,"KeySet"),0),":","""",TEXT(valueMaker!H135,"yyyy/m/d"),"""")</f>
        <v>tanjyoubi:"2024/8/11"</v>
      </c>
      <c r="I135" t="str" cm="1">
        <f t="array" aca="1" ref="I135" ca="1">CONCATENATE(INDIRECT(ADDRESS(1,9,1,0,"KeySet"),0),":","""",valueMaker!I135,"""")</f>
        <v>denwaBangou:"090-0324-0599"</v>
      </c>
      <c r="J135" t="str" cm="1">
        <f t="array" aca="1" ref="J135" ca="1">CONCATENATE(INDIRECT(ADDRESS(1,10,1,0,"KeySet"),0),":","""",valueMaker!J135,"""")</f>
        <v>mailAddress:"Wang_Yi_Si_45150@outlook.jp.co"</v>
      </c>
      <c r="K135" t="str" cm="1">
        <f t="array" aca="1" ref="K135" ca="1">CONCATENATE(INDIRECT(ADDRESS(1,11,1,0,"KeySet"),0),":","""",valueMaker!K135,"""")</f>
        <v>kaninSyubetu:"普通"</v>
      </c>
      <c r="L135" t="str" cm="1">
        <f t="array" aca="1" ref="L135" ca="1">CONCATENATE(INDIRECT(ADDRESS(1,12,1,0,"KeySet"),0),":","""",valueMaker!L135,"""")</f>
        <v>kaninKengenWB:"有り"</v>
      </c>
      <c r="M135" t="str" cm="1">
        <f t="array" aca="1" ref="M135" ca="1">CONCATENATE(INDIRECT(ADDRESS(1,13,1,0,"KeySet"),0),":","""",valueMaker!M135,"""")</f>
        <v>wakibiri:"5%"</v>
      </c>
      <c r="N135" t="str" cm="1">
        <f t="array" aca="1" ref="N135" ca="1">CONCATENATE(INDIRECT(ADDRESS(1,14,1,0,"KeySet"),0),":","""",valueMaker!N135,"""")</f>
        <v>kaninKengenPoint:"有り"</v>
      </c>
      <c r="O135" t="str" cm="1">
        <f t="array" aca="1" ref="O135" ca="1">CONCATENATE(INDIRECT(ADDRESS(1,15,1,0,"KeySet"),0),":","""",valueMaker!O135,"""")</f>
        <v>point:"414"</v>
      </c>
      <c r="P135" t="str" cm="1">
        <f t="array" aca="1" ref="P135" ca="1">CONCATENATE(INDIRECT(ADDRESS(1,16,1,0,"KeySet"),0),":","""",valueMaker!P135,"""")</f>
        <v>bikou:""</v>
      </c>
    </row>
    <row r="136" spans="1:16">
      <c r="A136" t="str" cm="1">
        <f t="array" aca="1" ref="A136" ca="1">CONCATENATE(INDIRECT(ADDRESS(1,1,1,0,"KeySet"),0),":","""",valueMaker!A136,"""")</f>
        <v>kainBangou:"TD10135"</v>
      </c>
      <c r="B136" t="str" cm="1">
        <f t="array" aca="1" ref="B136" ca="1">CONCATENATE(INDIRECT(ADDRESS(1,2,1,0,"KeySet"),0),":","""",valueMaker!B136,"""")</f>
        <v>kainMeiKanji:"謝勤財"</v>
      </c>
      <c r="C136" t="str" cm="1">
        <f t="array" aca="1" ref="C136" ca="1">CONCATENATE(INDIRECT(ADDRESS(1,3,1,0,"KeySet"),0),":","""",valueMaker!C136,"""")</f>
        <v>kainMeiKana:"ｼｴ ﾁﾝ ﾂｧｲ"</v>
      </c>
      <c r="D136" t="str" cm="1">
        <f t="array" aca="1" ref="D136" ca="1">CONCATENATE(INDIRECT(ADDRESS(1,4,1,0,"KeySet"),0),":","""",valueMaker!D136,"""")</f>
        <v>kainMeiEn:"Xie Qin Cai"</v>
      </c>
      <c r="E136" t="str" cm="1">
        <f t="array" aca="1" ref="E136" ca="1">CONCATENATE(INDIRECT(ADDRESS(1,5,1,0,"KeySet"),0),":","""",valueMaker!E136,"""")</f>
        <v>kainGender:"男性"</v>
      </c>
      <c r="F136" t="str" cm="1">
        <f t="array" aca="1" ref="F136" ca="1">CONCATENATE(INDIRECT(ADDRESS(1,6,1,0,"KeySet"),0),":","""",TEXT(valueMaker!F136,"yyyy/m/d"),"""")</f>
        <v>tanjyoubi:"1982/3/30"</v>
      </c>
      <c r="G136" t="str" cm="1">
        <f t="array" aca="1" ref="G136" ca="1">CONCATENATE(INDIRECT(ADDRESS(1,6,1,0,"KeySet"),0),":","""",TEXT(valueMaker!G136,"yyyy/m/d"),"""")</f>
        <v>tanjyoubi:"2016/4/14"</v>
      </c>
      <c r="H136" t="str" cm="1">
        <f t="array" aca="1" ref="H136" ca="1">CONCATENATE(INDIRECT(ADDRESS(1,6,1,0,"KeySet"),0),":","""",TEXT(valueMaker!H136,"yyyy/m/d"),"""")</f>
        <v>tanjyoubi:"2017/4/14"</v>
      </c>
      <c r="I136" t="str" cm="1">
        <f t="array" aca="1" ref="I136" ca="1">CONCATENATE(INDIRECT(ADDRESS(1,9,1,0,"KeySet"),0),":","""",valueMaker!I136,"""")</f>
        <v>denwaBangou:"080-3321-1833"</v>
      </c>
      <c r="J136" t="str" cm="1">
        <f t="array" aca="1" ref="J136" ca="1">CONCATENATE(INDIRECT(ADDRESS(1,10,1,0,"KeySet"),0),":","""",valueMaker!J136,"""")</f>
        <v>mailAddress:"Xie_Qin_Cai_42474@outlook.jp.co"</v>
      </c>
      <c r="K136" t="str" cm="1">
        <f t="array" aca="1" ref="K136" ca="1">CONCATENATE(INDIRECT(ADDRESS(1,11,1,0,"KeySet"),0),":","""",valueMaker!K136,"""")</f>
        <v>kaninSyubetu:"普通"</v>
      </c>
      <c r="L136" t="str" cm="1">
        <f t="array" aca="1" ref="L136" ca="1">CONCATENATE(INDIRECT(ADDRESS(1,12,1,0,"KeySet"),0),":","""",valueMaker!L136,"""")</f>
        <v>kaninKengenWB:"有り"</v>
      </c>
      <c r="M136" t="str" cm="1">
        <f t="array" aca="1" ref="M136" ca="1">CONCATENATE(INDIRECT(ADDRESS(1,13,1,0,"KeySet"),0),":","""",valueMaker!M136,"""")</f>
        <v>wakibiri:"5%"</v>
      </c>
      <c r="N136" t="str" cm="1">
        <f t="array" aca="1" ref="N136" ca="1">CONCATENATE(INDIRECT(ADDRESS(1,14,1,0,"KeySet"),0),":","""",valueMaker!N136,"""")</f>
        <v>kaninKengenPoint:"有り"</v>
      </c>
      <c r="O136" t="str" cm="1">
        <f t="array" aca="1" ref="O136" ca="1">CONCATENATE(INDIRECT(ADDRESS(1,15,1,0,"KeySet"),0),":","""",valueMaker!O136,"""")</f>
        <v>point:"306"</v>
      </c>
      <c r="P136" t="str" cm="1">
        <f t="array" aca="1" ref="P136" ca="1">CONCATENATE(INDIRECT(ADDRESS(1,16,1,0,"KeySet"),0),":","""",valueMaker!P136,"""")</f>
        <v>bikou:""</v>
      </c>
    </row>
    <row r="137" spans="1:16">
      <c r="A137" t="str" cm="1">
        <f t="array" aca="1" ref="A137" ca="1">CONCATENATE(INDIRECT(ADDRESS(1,1,1,0,"KeySet"),0),":","""",valueMaker!A137,"""")</f>
        <v>kainBangou:"TD10136"</v>
      </c>
      <c r="B137" t="str" cm="1">
        <f t="array" aca="1" ref="B137" ca="1">CONCATENATE(INDIRECT(ADDRESS(1,2,1,0,"KeySet"),0),":","""",valueMaker!B137,"""")</f>
        <v>kainMeiKanji:"周謙毅"</v>
      </c>
      <c r="C137" t="str" cm="1">
        <f t="array" aca="1" ref="C137" ca="1">CONCATENATE(INDIRECT(ADDRESS(1,3,1,0,"KeySet"),0),":","""",valueMaker!C137,"""")</f>
        <v>kainMeiKana:"ｼﾞｮｳ ﾁｴﾝ ｲｰ"</v>
      </c>
      <c r="D137" t="str" cm="1">
        <f t="array" aca="1" ref="D137" ca="1">CONCATENATE(INDIRECT(ADDRESS(1,4,1,0,"KeySet"),0),":","""",valueMaker!D137,"""")</f>
        <v>kainMeiEn:"Zhou Qian Yi"</v>
      </c>
      <c r="E137" t="str" cm="1">
        <f t="array" aca="1" ref="E137" ca="1">CONCATENATE(INDIRECT(ADDRESS(1,5,1,0,"KeySet"),0),":","""",valueMaker!E137,"""")</f>
        <v>kainGender:"女性"</v>
      </c>
      <c r="F137" t="str" cm="1">
        <f t="array" aca="1" ref="F137" ca="1">CONCATENATE(INDIRECT(ADDRESS(1,6,1,0,"KeySet"),0),":","""",TEXT(valueMaker!F137,"yyyy/m/d"),"""")</f>
        <v>tanjyoubi:"1962/7/4"</v>
      </c>
      <c r="G137" t="str" cm="1">
        <f t="array" aca="1" ref="G137" ca="1">CONCATENATE(INDIRECT(ADDRESS(1,6,1,0,"KeySet"),0),":","""",TEXT(valueMaker!G137,"yyyy/m/d"),"""")</f>
        <v>tanjyoubi:"1983/6/9"</v>
      </c>
      <c r="H137" t="str" cm="1">
        <f t="array" aca="1" ref="H137" ca="1">CONCATENATE(INDIRECT(ADDRESS(1,6,1,0,"KeySet"),0),":","""",TEXT(valueMaker!H137,"yyyy/m/d"),"""")</f>
        <v>tanjyoubi:"1984/6/8"</v>
      </c>
      <c r="I137" t="str" cm="1">
        <f t="array" aca="1" ref="I137" ca="1">CONCATENATE(INDIRECT(ADDRESS(1,9,1,0,"KeySet"),0),":","""",valueMaker!I137,"""")</f>
        <v>denwaBangou:"090-3707-7139"</v>
      </c>
      <c r="J137" t="str" cm="1">
        <f t="array" aca="1" ref="J137" ca="1">CONCATENATE(INDIRECT(ADDRESS(1,10,1,0,"KeySet"),0),":","""",valueMaker!J137,"""")</f>
        <v>mailAddress:"Zhou_Qian_Yi_30476@outlook.jp.co"</v>
      </c>
      <c r="K137" t="str" cm="1">
        <f t="array" aca="1" ref="K137" ca="1">CONCATENATE(INDIRECT(ADDRESS(1,11,1,0,"KeySet"),0),":","""",valueMaker!K137,"""")</f>
        <v>kaninSyubetu:"高級"</v>
      </c>
      <c r="L137" t="str" cm="1">
        <f t="array" aca="1" ref="L137" ca="1">CONCATENATE(INDIRECT(ADDRESS(1,12,1,0,"KeySet"),0),":","""",valueMaker!L137,"""")</f>
        <v>kaninKengenWB:"有り"</v>
      </c>
      <c r="M137" t="str" cm="1">
        <f t="array" aca="1" ref="M137" ca="1">CONCATENATE(INDIRECT(ADDRESS(1,13,1,0,"KeySet"),0),":","""",valueMaker!M137,"""")</f>
        <v>wakibiri:"10%"</v>
      </c>
      <c r="N137" t="str" cm="1">
        <f t="array" aca="1" ref="N137" ca="1">CONCATENATE(INDIRECT(ADDRESS(1,14,1,0,"KeySet"),0),":","""",valueMaker!N137,"""")</f>
        <v>kaninKengenPoint:"有り"</v>
      </c>
      <c r="O137" t="str" cm="1">
        <f t="array" aca="1" ref="O137" ca="1">CONCATENATE(INDIRECT(ADDRESS(1,15,1,0,"KeySet"),0),":","""",valueMaker!O137,"""")</f>
        <v>point:"177"</v>
      </c>
      <c r="P137" t="str" cm="1">
        <f t="array" aca="1" ref="P137" ca="1">CONCATENATE(INDIRECT(ADDRESS(1,16,1,0,"KeySet"),0),":","""",valueMaker!P137,"""")</f>
        <v>bikou:""</v>
      </c>
    </row>
    <row r="138" spans="1:16">
      <c r="A138" t="str" cm="1">
        <f t="array" aca="1" ref="A138" ca="1">CONCATENATE(INDIRECT(ADDRESS(1,1,1,0,"KeySet"),0),":","""",valueMaker!A138,"""")</f>
        <v>kainBangou:"TD10137"</v>
      </c>
      <c r="B138" t="str" cm="1">
        <f t="array" aca="1" ref="B138" ca="1">CONCATENATE(INDIRECT(ADDRESS(1,2,1,0,"KeySet"),0),":","""",valueMaker!B138,"""")</f>
        <v>kainMeiKanji:"張菏飛"</v>
      </c>
      <c r="C138" t="str" cm="1">
        <f t="array" aca="1" ref="C138" ca="1">CONCATENATE(INDIRECT(ADDRESS(1,3,1,0,"KeySet"),0),":","""",valueMaker!C138,"""")</f>
        <v>kainMeiKana:"ｼﾞｬｰﾝ ﾎｰｧ ﾌｪｲ"</v>
      </c>
      <c r="D138" t="str" cm="1">
        <f t="array" aca="1" ref="D138" ca="1">CONCATENATE(INDIRECT(ADDRESS(1,4,1,0,"KeySet"),0),":","""",valueMaker!D138,"""")</f>
        <v>kainMeiEn:"Zhang He Fei"</v>
      </c>
      <c r="E138" t="str" cm="1">
        <f t="array" aca="1" ref="E138" ca="1">CONCATENATE(INDIRECT(ADDRESS(1,5,1,0,"KeySet"),0),":","""",valueMaker!E138,"""")</f>
        <v>kainGender:"女性"</v>
      </c>
      <c r="F138" t="str" cm="1">
        <f t="array" aca="1" ref="F138" ca="1">CONCATENATE(INDIRECT(ADDRESS(1,6,1,0,"KeySet"),0),":","""",TEXT(valueMaker!F138,"yyyy/m/d"),"""")</f>
        <v>tanjyoubi:"1974/6/18"</v>
      </c>
      <c r="G138" t="str" cm="1">
        <f t="array" aca="1" ref="G138" ca="1">CONCATENATE(INDIRECT(ADDRESS(1,6,1,0,"KeySet"),0),":","""",TEXT(valueMaker!G138,"yyyy/m/d"),"""")</f>
        <v>tanjyoubi:"2018/7/19"</v>
      </c>
      <c r="H138" t="str" cm="1">
        <f t="array" aca="1" ref="H138" ca="1">CONCATENATE(INDIRECT(ADDRESS(1,6,1,0,"KeySet"),0),":","""",TEXT(valueMaker!H138,"yyyy/m/d"),"""")</f>
        <v>tanjyoubi:"2020/7/18"</v>
      </c>
      <c r="I138" t="str" cm="1">
        <f t="array" aca="1" ref="I138" ca="1">CONCATENATE(INDIRECT(ADDRESS(1,9,1,0,"KeySet"),0),":","""",valueMaker!I138,"""")</f>
        <v>denwaBangou:"080-3116-9059"</v>
      </c>
      <c r="J138" t="str" cm="1">
        <f t="array" aca="1" ref="J138" ca="1">CONCATENATE(INDIRECT(ADDRESS(1,10,1,0,"KeySet"),0),":","""",valueMaker!J138,"""")</f>
        <v>mailAddress:"Zhang_He_Fei_43300@outlook.jp.co"</v>
      </c>
      <c r="K138" t="str" cm="1">
        <f t="array" aca="1" ref="K138" ca="1">CONCATENATE(INDIRECT(ADDRESS(1,11,1,0,"KeySet"),0),":","""",valueMaker!K138,"""")</f>
        <v>kaninSyubetu:"普通"</v>
      </c>
      <c r="L138" t="str" cm="1">
        <f t="array" aca="1" ref="L138" ca="1">CONCATENATE(INDIRECT(ADDRESS(1,12,1,0,"KeySet"),0),":","""",valueMaker!L138,"""")</f>
        <v>kaninKengenWB:"-"</v>
      </c>
      <c r="M138" t="str" cm="1">
        <f t="array" aca="1" ref="M138" ca="1">CONCATENATE(INDIRECT(ADDRESS(1,13,1,0,"KeySet"),0),":","""",valueMaker!M138,"""")</f>
        <v>wakibiri:"-"</v>
      </c>
      <c r="N138" t="str" cm="1">
        <f t="array" aca="1" ref="N138" ca="1">CONCATENATE(INDIRECT(ADDRESS(1,14,1,0,"KeySet"),0),":","""",valueMaker!N138,"""")</f>
        <v>kaninKengenPoint:"有り"</v>
      </c>
      <c r="O138" t="str" cm="1">
        <f t="array" aca="1" ref="O138" ca="1">CONCATENATE(INDIRECT(ADDRESS(1,15,1,0,"KeySet"),0),":","""",valueMaker!O138,"""")</f>
        <v>point:"74"</v>
      </c>
      <c r="P138" t="str" cm="1">
        <f t="array" aca="1" ref="P138" ca="1">CONCATENATE(INDIRECT(ADDRESS(1,16,1,0,"KeySet"),0),":","""",valueMaker!P138,"""")</f>
        <v>bikou:""</v>
      </c>
    </row>
    <row r="139" spans="1:16">
      <c r="A139" t="str" cm="1">
        <f t="array" aca="1" ref="A139" ca="1">CONCATENATE(INDIRECT(ADDRESS(1,1,1,0,"KeySet"),0),":","""",valueMaker!A139,"""")</f>
        <v>kainBangou:"TD10138"</v>
      </c>
      <c r="B139" t="str" cm="1">
        <f t="array" aca="1" ref="B139" ca="1">CONCATENATE(INDIRECT(ADDRESS(1,2,1,0,"KeySet"),0),":","""",valueMaker!B139,"""")</f>
        <v>kainMeiKanji:"馮鋒逸"</v>
      </c>
      <c r="C139" t="str" cm="1">
        <f t="array" aca="1" ref="C139" ca="1">CONCATENATE(INDIRECT(ADDRESS(1,3,1,0,"KeySet"),0),":","""",valueMaker!C139,"""")</f>
        <v>kainMeiKana:"ﾌｵﾝ ﾌｵﾝ ｲｰ"</v>
      </c>
      <c r="D139" t="str" cm="1">
        <f t="array" aca="1" ref="D139" ca="1">CONCATENATE(INDIRECT(ADDRESS(1,4,1,0,"KeySet"),0),":","""",valueMaker!D139,"""")</f>
        <v>kainMeiEn:"Feng Feng Yi"</v>
      </c>
      <c r="E139" t="str" cm="1">
        <f t="array" aca="1" ref="E139" ca="1">CONCATENATE(INDIRECT(ADDRESS(1,5,1,0,"KeySet"),0),":","""",valueMaker!E139,"""")</f>
        <v>kainGender:"男性"</v>
      </c>
      <c r="F139" t="str" cm="1">
        <f t="array" aca="1" ref="F139" ca="1">CONCATENATE(INDIRECT(ADDRESS(1,6,1,0,"KeySet"),0),":","""",TEXT(valueMaker!F139,"yyyy/m/d"),"""")</f>
        <v>tanjyoubi:"1987/10/31"</v>
      </c>
      <c r="G139" t="str" cm="1">
        <f t="array" aca="1" ref="G139" ca="1">CONCATENATE(INDIRECT(ADDRESS(1,6,1,0,"KeySet"),0),":","""",TEXT(valueMaker!G139,"yyyy/m/d"),"""")</f>
        <v>tanjyoubi:"2010/3/5"</v>
      </c>
      <c r="H139" t="str" cm="1">
        <f t="array" aca="1" ref="H139" ca="1">CONCATENATE(INDIRECT(ADDRESS(1,6,1,0,"KeySet"),0),":","""",TEXT(valueMaker!H139,"yyyy/m/d"),"""")</f>
        <v>tanjyoubi:"2011/3/5"</v>
      </c>
      <c r="I139" t="str" cm="1">
        <f t="array" aca="1" ref="I139" ca="1">CONCATENATE(INDIRECT(ADDRESS(1,9,1,0,"KeySet"),0),":","""",valueMaker!I139,"""")</f>
        <v>denwaBangou:"080-9763-8956"</v>
      </c>
      <c r="J139" t="str" cm="1">
        <f t="array" aca="1" ref="J139" ca="1">CONCATENATE(INDIRECT(ADDRESS(1,10,1,0,"KeySet"),0),":","""",valueMaker!J139,"""")</f>
        <v>mailAddress:"Feng_Feng_Yi_40242@outlook.jp.co"</v>
      </c>
      <c r="K139" t="str" cm="1">
        <f t="array" aca="1" ref="K139" ca="1">CONCATENATE(INDIRECT(ADDRESS(1,11,1,0,"KeySet"),0),":","""",valueMaker!K139,"""")</f>
        <v>kaninSyubetu:"普通"</v>
      </c>
      <c r="L139" t="str" cm="1">
        <f t="array" aca="1" ref="L139" ca="1">CONCATENATE(INDIRECT(ADDRESS(1,12,1,0,"KeySet"),0),":","""",valueMaker!L139,"""")</f>
        <v>kaninKengenWB:"-"</v>
      </c>
      <c r="M139" t="str" cm="1">
        <f t="array" aca="1" ref="M139" ca="1">CONCATENATE(INDIRECT(ADDRESS(1,13,1,0,"KeySet"),0),":","""",valueMaker!M139,"""")</f>
        <v>wakibiri:"-"</v>
      </c>
      <c r="N139" t="str" cm="1">
        <f t="array" aca="1" ref="N139" ca="1">CONCATENATE(INDIRECT(ADDRESS(1,14,1,0,"KeySet"),0),":","""",valueMaker!N139,"""")</f>
        <v>kaninKengenPoint:"有り"</v>
      </c>
      <c r="O139" t="str" cm="1">
        <f t="array" aca="1" ref="O139" ca="1">CONCATENATE(INDIRECT(ADDRESS(1,15,1,0,"KeySet"),0),":","""",valueMaker!O139,"""")</f>
        <v>point:"264"</v>
      </c>
      <c r="P139" t="str" cm="1">
        <f t="array" aca="1" ref="P139" ca="1">CONCATENATE(INDIRECT(ADDRESS(1,16,1,0,"KeySet"),0),":","""",valueMaker!P139,"""")</f>
        <v>bikou:""</v>
      </c>
    </row>
    <row r="140" spans="1:16">
      <c r="A140" t="str" cm="1">
        <f t="array" aca="1" ref="A140" ca="1">CONCATENATE(INDIRECT(ADDRESS(1,1,1,0,"KeySet"),0),":","""",valueMaker!A140,"""")</f>
        <v>kainBangou:"TD10139"</v>
      </c>
      <c r="B140" t="str" cm="1">
        <f t="array" aca="1" ref="B140" ca="1">CONCATENATE(INDIRECT(ADDRESS(1,2,1,0,"KeySet"),0),":","""",valueMaker!B140,"""")</f>
        <v>kainMeiKanji:"郭泓唯"</v>
      </c>
      <c r="C140" t="str" cm="1">
        <f t="array" aca="1" ref="C140" ca="1">CONCATENATE(INDIRECT(ADDRESS(1,3,1,0,"KeySet"),0),":","""",valueMaker!C140,"""")</f>
        <v>kainMeiKana:"ｸﾞｵ ﾎｰﾝ ｳｴｲ"</v>
      </c>
      <c r="D140" t="str" cm="1">
        <f t="array" aca="1" ref="D140" ca="1">CONCATENATE(INDIRECT(ADDRESS(1,4,1,0,"KeySet"),0),":","""",valueMaker!D140,"""")</f>
        <v>kainMeiEn:"Guo Hong Wei"</v>
      </c>
      <c r="E140" t="str" cm="1">
        <f t="array" aca="1" ref="E140" ca="1">CONCATENATE(INDIRECT(ADDRESS(1,5,1,0,"KeySet"),0),":","""",valueMaker!E140,"""")</f>
        <v>kainGender:"男性"</v>
      </c>
      <c r="F140" t="str" cm="1">
        <f t="array" aca="1" ref="F140" ca="1">CONCATENATE(INDIRECT(ADDRESS(1,6,1,0,"KeySet"),0),":","""",TEXT(valueMaker!F140,"yyyy/m/d"),"""")</f>
        <v>tanjyoubi:"1972/4/17"</v>
      </c>
      <c r="G140" t="str" cm="1">
        <f t="array" aca="1" ref="G140" ca="1">CONCATENATE(INDIRECT(ADDRESS(1,6,1,0,"KeySet"),0),":","""",TEXT(valueMaker!G140,"yyyy/m/d"),"""")</f>
        <v>tanjyoubi:"2021/8/19"</v>
      </c>
      <c r="H140" t="str" cm="1">
        <f t="array" aca="1" ref="H140" ca="1">CONCATENATE(INDIRECT(ADDRESS(1,6,1,0,"KeySet"),0),":","""",TEXT(valueMaker!H140,"yyyy/m/d"),"""")</f>
        <v>tanjyoubi:"2022/8/19"</v>
      </c>
      <c r="I140" t="str" cm="1">
        <f t="array" aca="1" ref="I140" ca="1">CONCATENATE(INDIRECT(ADDRESS(1,9,1,0,"KeySet"),0),":","""",valueMaker!I140,"""")</f>
        <v>denwaBangou:"090-8567-9377"</v>
      </c>
      <c r="J140" t="str" cm="1">
        <f t="array" aca="1" ref="J140" ca="1">CONCATENATE(INDIRECT(ADDRESS(1,10,1,0,"KeySet"),0),":","""",valueMaker!J140,"""")</f>
        <v>mailAddress:"Guo_Hong_Wei_44427@outlook.jp.co"</v>
      </c>
      <c r="K140" t="str" cm="1">
        <f t="array" aca="1" ref="K140" ca="1">CONCATENATE(INDIRECT(ADDRESS(1,11,1,0,"KeySet"),0),":","""",valueMaker!K140,"""")</f>
        <v>kaninSyubetu:"高級"</v>
      </c>
      <c r="L140" t="str" cm="1">
        <f t="array" aca="1" ref="L140" ca="1">CONCATENATE(INDIRECT(ADDRESS(1,12,1,0,"KeySet"),0),":","""",valueMaker!L140,"""")</f>
        <v>kaninKengenWB:"有り"</v>
      </c>
      <c r="M140" t="str" cm="1">
        <f t="array" aca="1" ref="M140" ca="1">CONCATENATE(INDIRECT(ADDRESS(1,13,1,0,"KeySet"),0),":","""",valueMaker!M140,"""")</f>
        <v>wakibiri:"10%"</v>
      </c>
      <c r="N140" t="str" cm="1">
        <f t="array" aca="1" ref="N140" ca="1">CONCATENATE(INDIRECT(ADDRESS(1,14,1,0,"KeySet"),0),":","""",valueMaker!N140,"""")</f>
        <v>kaninKengenPoint:"有り"</v>
      </c>
      <c r="O140" t="str" cm="1">
        <f t="array" aca="1" ref="O140" ca="1">CONCATENATE(INDIRECT(ADDRESS(1,15,1,0,"KeySet"),0),":","""",valueMaker!O140,"""")</f>
        <v>point:"80"</v>
      </c>
      <c r="P140" t="str" cm="1">
        <f t="array" aca="1" ref="P140" ca="1">CONCATENATE(INDIRECT(ADDRESS(1,16,1,0,"KeySet"),0),":","""",valueMaker!P140,"""")</f>
        <v>bikou:""</v>
      </c>
    </row>
    <row r="141" spans="1:16">
      <c r="A141" t="str" cm="1">
        <f t="array" aca="1" ref="A141" ca="1">CONCATENATE(INDIRECT(ADDRESS(1,1,1,0,"KeySet"),0),":","""",valueMaker!A141,"""")</f>
        <v>kainBangou:"TD10140"</v>
      </c>
      <c r="B141" t="str" cm="1">
        <f t="array" aca="1" ref="B141" ca="1">CONCATENATE(INDIRECT(ADDRESS(1,2,1,0,"KeySet"),0),":","""",valueMaker!B141,"""")</f>
        <v>kainMeiKanji:"馮禾博"</v>
      </c>
      <c r="C141" t="str" cm="1">
        <f t="array" aca="1" ref="C141" ca="1">CONCATENATE(INDIRECT(ADDRESS(1,3,1,0,"KeySet"),0),":","""",valueMaker!C141,"""")</f>
        <v>kainMeiKana:"ﾌｵﾝ ﾎｰｧ ﾎﾞｰ"</v>
      </c>
      <c r="D141" t="str" cm="1">
        <f t="array" aca="1" ref="D141" ca="1">CONCATENATE(INDIRECT(ADDRESS(1,4,1,0,"KeySet"),0),":","""",valueMaker!D141,"""")</f>
        <v>kainMeiEn:"Feng He Bo"</v>
      </c>
      <c r="E141" t="str" cm="1">
        <f t="array" aca="1" ref="E141" ca="1">CONCATENATE(INDIRECT(ADDRESS(1,5,1,0,"KeySet"),0),":","""",valueMaker!E141,"""")</f>
        <v>kainGender:"女性"</v>
      </c>
      <c r="F141" t="str" cm="1">
        <f t="array" aca="1" ref="F141" ca="1">CONCATENATE(INDIRECT(ADDRESS(1,6,1,0,"KeySet"),0),":","""",TEXT(valueMaker!F141,"yyyy/m/d"),"""")</f>
        <v>tanjyoubi:"1985/3/4"</v>
      </c>
      <c r="G141" t="str" cm="1">
        <f t="array" aca="1" ref="G141" ca="1">CONCATENATE(INDIRECT(ADDRESS(1,6,1,0,"KeySet"),0),":","""",TEXT(valueMaker!G141,"yyyy/m/d"),"""")</f>
        <v>tanjyoubi:"2021/2/15"</v>
      </c>
      <c r="H141" t="str" cm="1">
        <f t="array" aca="1" ref="H141" ca="1">CONCATENATE(INDIRECT(ADDRESS(1,6,1,0,"KeySet"),0),":","""",TEXT(valueMaker!H141,"yyyy/m/d"),"""")</f>
        <v>tanjyoubi:"2022/2/15"</v>
      </c>
      <c r="I141" t="str" cm="1">
        <f t="array" aca="1" ref="I141" ca="1">CONCATENATE(INDIRECT(ADDRESS(1,9,1,0,"KeySet"),0),":","""",valueMaker!I141,"""")</f>
        <v>denwaBangou:"090-8866-4049"</v>
      </c>
      <c r="J141" t="str" cm="1">
        <f t="array" aca="1" ref="J141" ca="1">CONCATENATE(INDIRECT(ADDRESS(1,10,1,0,"KeySet"),0),":","""",valueMaker!J141,"""")</f>
        <v>mailAddress:"Feng_He_Bo_44242@outlook.jp.co"</v>
      </c>
      <c r="K141" t="str" cm="1">
        <f t="array" aca="1" ref="K141" ca="1">CONCATENATE(INDIRECT(ADDRESS(1,11,1,0,"KeySet"),0),":","""",valueMaker!K141,"""")</f>
        <v>kaninSyubetu:"普通"</v>
      </c>
      <c r="L141" t="str" cm="1">
        <f t="array" aca="1" ref="L141" ca="1">CONCATENATE(INDIRECT(ADDRESS(1,12,1,0,"KeySet"),0),":","""",valueMaker!L141,"""")</f>
        <v>kaninKengenWB:"有り"</v>
      </c>
      <c r="M141" t="str" cm="1">
        <f t="array" aca="1" ref="M141" ca="1">CONCATENATE(INDIRECT(ADDRESS(1,13,1,0,"KeySet"),0),":","""",valueMaker!M141,"""")</f>
        <v>wakibiri:"5%"</v>
      </c>
      <c r="N141" t="str" cm="1">
        <f t="array" aca="1" ref="N141" ca="1">CONCATENATE(INDIRECT(ADDRESS(1,14,1,0,"KeySet"),0),":","""",valueMaker!N141,"""")</f>
        <v>kaninKengenPoint:"有り"</v>
      </c>
      <c r="O141" t="str" cm="1">
        <f t="array" aca="1" ref="O141" ca="1">CONCATENATE(INDIRECT(ADDRESS(1,15,1,0,"KeySet"),0),":","""",valueMaker!O141,"""")</f>
        <v>point:"424"</v>
      </c>
      <c r="P141" t="str" cm="1">
        <f t="array" aca="1" ref="P141" ca="1">CONCATENATE(INDIRECT(ADDRESS(1,16,1,0,"KeySet"),0),":","""",valueMaker!P141,"""")</f>
        <v>bikou:""</v>
      </c>
    </row>
    <row r="142" spans="1:16">
      <c r="A142" t="str" cm="1">
        <f t="array" aca="1" ref="A142" ca="1">CONCATENATE(INDIRECT(ADDRESS(1,1,1,0,"KeySet"),0),":","""",valueMaker!A142,"""")</f>
        <v>kainBangou:"TD10141"</v>
      </c>
      <c r="B142" t="str" cm="1">
        <f t="array" aca="1" ref="B142" ca="1">CONCATENATE(INDIRECT(ADDRESS(1,2,1,0,"KeySet"),0),":","""",valueMaker!B142,"""")</f>
        <v>kainMeiKanji:"周晟輝"</v>
      </c>
      <c r="C142" t="str" cm="1">
        <f t="array" aca="1" ref="C142" ca="1">CONCATENATE(INDIRECT(ADDRESS(1,3,1,0,"KeySet"),0),":","""",valueMaker!C142,"""")</f>
        <v>kainMeiKana:"ｼﾞｮｳ ｼｭﾖﾝ ﾎｩｲ"</v>
      </c>
      <c r="D142" t="str" cm="1">
        <f t="array" aca="1" ref="D142" ca="1">CONCATENATE(INDIRECT(ADDRESS(1,4,1,0,"KeySet"),0),":","""",valueMaker!D142,"""")</f>
        <v>kainMeiEn:"Zhou Sheng Hui"</v>
      </c>
      <c r="E142" t="str" cm="1">
        <f t="array" aca="1" ref="E142" ca="1">CONCATENATE(INDIRECT(ADDRESS(1,5,1,0,"KeySet"),0),":","""",valueMaker!E142,"""")</f>
        <v>kainGender:"女性"</v>
      </c>
      <c r="F142" t="str" cm="1">
        <f t="array" aca="1" ref="F142" ca="1">CONCATENATE(INDIRECT(ADDRESS(1,6,1,0,"KeySet"),0),":","""",TEXT(valueMaker!F142,"yyyy/m/d"),"""")</f>
        <v>tanjyoubi:"2004/4/7"</v>
      </c>
      <c r="G142" t="str" cm="1">
        <f t="array" aca="1" ref="G142" ca="1">CONCATENATE(INDIRECT(ADDRESS(1,6,1,0,"KeySet"),0),":","""",TEXT(valueMaker!G142,"yyyy/m/d"),"""")</f>
        <v>tanjyoubi:"2022/12/19"</v>
      </c>
      <c r="H142" t="str" cm="1">
        <f t="array" aca="1" ref="H142" ca="1">CONCATENATE(INDIRECT(ADDRESS(1,6,1,0,"KeySet"),0),":","""",TEXT(valueMaker!H142,"yyyy/m/d"),"""")</f>
        <v>tanjyoubi:"2024/12/18"</v>
      </c>
      <c r="I142" t="str" cm="1">
        <f t="array" aca="1" ref="I142" ca="1">CONCATENATE(INDIRECT(ADDRESS(1,9,1,0,"KeySet"),0),":","""",valueMaker!I142,"""")</f>
        <v>denwaBangou:"090-3225-9212"</v>
      </c>
      <c r="J142" t="str" cm="1">
        <f t="array" aca="1" ref="J142" ca="1">CONCATENATE(INDIRECT(ADDRESS(1,10,1,0,"KeySet"),0),":","""",valueMaker!J142,"""")</f>
        <v>mailAddress:"Zhou_Sheng_Hui_44914@outlook.jp.co"</v>
      </c>
      <c r="K142" t="str" cm="1">
        <f t="array" aca="1" ref="K142" ca="1">CONCATENATE(INDIRECT(ADDRESS(1,11,1,0,"KeySet"),0),":","""",valueMaker!K142,"""")</f>
        <v>kaninSyubetu:"高級"</v>
      </c>
      <c r="L142" t="str" cm="1">
        <f t="array" aca="1" ref="L142" ca="1">CONCATENATE(INDIRECT(ADDRESS(1,12,1,0,"KeySet"),0),":","""",valueMaker!L142,"""")</f>
        <v>kaninKengenWB:"有り"</v>
      </c>
      <c r="M142" t="str" cm="1">
        <f t="array" aca="1" ref="M142" ca="1">CONCATENATE(INDIRECT(ADDRESS(1,13,1,0,"KeySet"),0),":","""",valueMaker!M142,"""")</f>
        <v>wakibiri:"10%"</v>
      </c>
      <c r="N142" t="str" cm="1">
        <f t="array" aca="1" ref="N142" ca="1">CONCATENATE(INDIRECT(ADDRESS(1,14,1,0,"KeySet"),0),":","""",valueMaker!N142,"""")</f>
        <v>kaninKengenPoint:"有り"</v>
      </c>
      <c r="O142" t="str" cm="1">
        <f t="array" aca="1" ref="O142" ca="1">CONCATENATE(INDIRECT(ADDRESS(1,15,1,0,"KeySet"),0),":","""",valueMaker!O142,"""")</f>
        <v>point:"856"</v>
      </c>
      <c r="P142" t="str" cm="1">
        <f t="array" aca="1" ref="P142" ca="1">CONCATENATE(INDIRECT(ADDRESS(1,16,1,0,"KeySet"),0),":","""",valueMaker!P142,"""")</f>
        <v>bikou:""</v>
      </c>
    </row>
    <row r="143" spans="1:16">
      <c r="A143" t="str" cm="1">
        <f t="array" aca="1" ref="A143" ca="1">CONCATENATE(INDIRECT(ADDRESS(1,1,1,0,"KeySet"),0),":","""",valueMaker!A143,"""")</f>
        <v>kainBangou:"TD10142"</v>
      </c>
      <c r="B143" t="str" cm="1">
        <f t="array" aca="1" ref="B143" ca="1">CONCATENATE(INDIRECT(ADDRESS(1,2,1,0,"KeySet"),0),":","""",valueMaker!B143,"""")</f>
        <v>kainMeiKanji:"黃緣杭"</v>
      </c>
      <c r="C143" t="str" cm="1">
        <f t="array" aca="1" ref="C143" ca="1">CONCATENATE(INDIRECT(ADDRESS(1,3,1,0,"KeySet"),0),":","""",valueMaker!C143,"""")</f>
        <v>kainMeiKana:"ﾎﾜｰﾝ ﾕｴﾝ ﾊｰﾝ"</v>
      </c>
      <c r="D143" t="str" cm="1">
        <f t="array" aca="1" ref="D143" ca="1">CONCATENATE(INDIRECT(ADDRESS(1,4,1,0,"KeySet"),0),":","""",valueMaker!D143,"""")</f>
        <v>kainMeiEn:"Huang Yuan Hang"</v>
      </c>
      <c r="E143" t="str" cm="1">
        <f t="array" aca="1" ref="E143" ca="1">CONCATENATE(INDIRECT(ADDRESS(1,5,1,0,"KeySet"),0),":","""",valueMaker!E143,"""")</f>
        <v>kainGender:"女性"</v>
      </c>
      <c r="F143" t="str" cm="1">
        <f t="array" aca="1" ref="F143" ca="1">CONCATENATE(INDIRECT(ADDRESS(1,6,1,0,"KeySet"),0),":","""",TEXT(valueMaker!F143,"yyyy/m/d"),"""")</f>
        <v>tanjyoubi:"1976/10/2"</v>
      </c>
      <c r="G143" t="str" cm="1">
        <f t="array" aca="1" ref="G143" ca="1">CONCATENATE(INDIRECT(ADDRESS(1,6,1,0,"KeySet"),0),":","""",TEXT(valueMaker!G143,"yyyy/m/d"),"""")</f>
        <v>tanjyoubi:"1995/12/11"</v>
      </c>
      <c r="H143" t="str" cm="1">
        <f t="array" aca="1" ref="H143" ca="1">CONCATENATE(INDIRECT(ADDRESS(1,6,1,0,"KeySet"),0),":","""",TEXT(valueMaker!H143,"yyyy/m/d"),"""")</f>
        <v>tanjyoubi:"1997/12/10"</v>
      </c>
      <c r="I143" t="str" cm="1">
        <f t="array" aca="1" ref="I143" ca="1">CONCATENATE(INDIRECT(ADDRESS(1,9,1,0,"KeySet"),0),":","""",valueMaker!I143,"""")</f>
        <v>denwaBangou:"090-3645-9836"</v>
      </c>
      <c r="J143" t="str" cm="1">
        <f t="array" aca="1" ref="J143" ca="1">CONCATENATE(INDIRECT(ADDRESS(1,10,1,0,"KeySet"),0),":","""",valueMaker!J143,"""")</f>
        <v>mailAddress:"Huang_Yuan_Hang_35044@outlook.jp.co"</v>
      </c>
      <c r="K143" t="str" cm="1">
        <f t="array" aca="1" ref="K143" ca="1">CONCATENATE(INDIRECT(ADDRESS(1,11,1,0,"KeySet"),0),":","""",valueMaker!K143,"""")</f>
        <v>kaninSyubetu:"普通"</v>
      </c>
      <c r="L143" t="str" cm="1">
        <f t="array" aca="1" ref="L143" ca="1">CONCATENATE(INDIRECT(ADDRESS(1,12,1,0,"KeySet"),0),":","""",valueMaker!L143,"""")</f>
        <v>kaninKengenWB:"有り"</v>
      </c>
      <c r="M143" t="str" cm="1">
        <f t="array" aca="1" ref="M143" ca="1">CONCATENATE(INDIRECT(ADDRESS(1,13,1,0,"KeySet"),0),":","""",valueMaker!M143,"""")</f>
        <v>wakibiri:"5%"</v>
      </c>
      <c r="N143" t="str" cm="1">
        <f t="array" aca="1" ref="N143" ca="1">CONCATENATE(INDIRECT(ADDRESS(1,14,1,0,"KeySet"),0),":","""",valueMaker!N143,"""")</f>
        <v>kaninKengenPoint:"有り"</v>
      </c>
      <c r="O143" t="str" cm="1">
        <f t="array" aca="1" ref="O143" ca="1">CONCATENATE(INDIRECT(ADDRESS(1,15,1,0,"KeySet"),0),":","""",valueMaker!O143,"""")</f>
        <v>point:"236"</v>
      </c>
      <c r="P143" t="str" cm="1">
        <f t="array" aca="1" ref="P143" ca="1">CONCATENATE(INDIRECT(ADDRESS(1,16,1,0,"KeySet"),0),":","""",valueMaker!P143,"""")</f>
        <v>bikou:""</v>
      </c>
    </row>
    <row r="144" spans="1:16">
      <c r="A144" t="str" cm="1">
        <f t="array" aca="1" ref="A144" ca="1">CONCATENATE(INDIRECT(ADDRESS(1,1,1,0,"KeySet"),0),":","""",valueMaker!A144,"""")</f>
        <v>kainBangou:"TD10143"</v>
      </c>
      <c r="B144" t="str" cm="1">
        <f t="array" aca="1" ref="B144" ca="1">CONCATENATE(INDIRECT(ADDRESS(1,2,1,0,"KeySet"),0),":","""",valueMaker!B144,"""")</f>
        <v>kainMeiKanji:"郭憶友"</v>
      </c>
      <c r="C144" t="str" cm="1">
        <f t="array" aca="1" ref="C144" ca="1">CONCATENATE(INDIRECT(ADDRESS(1,3,1,0,"KeySet"),0),":","""",valueMaker!C144,"""")</f>
        <v>kainMeiKana:"ｸﾞｵ ｲｰ ﾖｳ"</v>
      </c>
      <c r="D144" t="str" cm="1">
        <f t="array" aca="1" ref="D144" ca="1">CONCATENATE(INDIRECT(ADDRESS(1,4,1,0,"KeySet"),0),":","""",valueMaker!D144,"""")</f>
        <v>kainMeiEn:"Guo Yi You"</v>
      </c>
      <c r="E144" t="str" cm="1">
        <f t="array" aca="1" ref="E144" ca="1">CONCATENATE(INDIRECT(ADDRESS(1,5,1,0,"KeySet"),0),":","""",valueMaker!E144,"""")</f>
        <v>kainGender:"女性"</v>
      </c>
      <c r="F144" t="str" cm="1">
        <f t="array" aca="1" ref="F144" ca="1">CONCATENATE(INDIRECT(ADDRESS(1,6,1,0,"KeySet"),0),":","""",TEXT(valueMaker!F144,"yyyy/m/d"),"""")</f>
        <v>tanjyoubi:"1967/12/20"</v>
      </c>
      <c r="G144" t="str" cm="1">
        <f t="array" aca="1" ref="G144" ca="1">CONCATENATE(INDIRECT(ADDRESS(1,6,1,0,"KeySet"),0),":","""",TEXT(valueMaker!G144,"yyyy/m/d"),"""")</f>
        <v>tanjyoubi:"1988/3/25"</v>
      </c>
      <c r="H144" t="str" cm="1">
        <f t="array" aca="1" ref="H144" ca="1">CONCATENATE(INDIRECT(ADDRESS(1,6,1,0,"KeySet"),0),":","""",TEXT(valueMaker!H144,"yyyy/m/d"),"""")</f>
        <v>tanjyoubi:"1990/3/25"</v>
      </c>
      <c r="I144" t="str" cm="1">
        <f t="array" aca="1" ref="I144" ca="1">CONCATENATE(INDIRECT(ADDRESS(1,9,1,0,"KeySet"),0),":","""",valueMaker!I144,"""")</f>
        <v>denwaBangou:"080-0155-2768"</v>
      </c>
      <c r="J144" t="str" cm="1">
        <f t="array" aca="1" ref="J144" ca="1">CONCATENATE(INDIRECT(ADDRESS(1,10,1,0,"KeySet"),0),":","""",valueMaker!J144,"""")</f>
        <v>mailAddress:"Guo_Yi_You_32227@outlook.jp.co"</v>
      </c>
      <c r="K144" t="str" cm="1">
        <f t="array" aca="1" ref="K144" ca="1">CONCATENATE(INDIRECT(ADDRESS(1,11,1,0,"KeySet"),0),":","""",valueMaker!K144,"""")</f>
        <v>kaninSyubetu:"普通"</v>
      </c>
      <c r="L144" t="str" cm="1">
        <f t="array" aca="1" ref="L144" ca="1">CONCATENATE(INDIRECT(ADDRESS(1,12,1,0,"KeySet"),0),":","""",valueMaker!L144,"""")</f>
        <v>kaninKengenWB:"有り"</v>
      </c>
      <c r="M144" t="str" cm="1">
        <f t="array" aca="1" ref="M144" ca="1">CONCATENATE(INDIRECT(ADDRESS(1,13,1,0,"KeySet"),0),":","""",valueMaker!M144,"""")</f>
        <v>wakibiri:"5%"</v>
      </c>
      <c r="N144" t="str" cm="1">
        <f t="array" aca="1" ref="N144" ca="1">CONCATENATE(INDIRECT(ADDRESS(1,14,1,0,"KeySet"),0),":","""",valueMaker!N144,"""")</f>
        <v>kaninKengenPoint:"有り"</v>
      </c>
      <c r="O144" t="str" cm="1">
        <f t="array" aca="1" ref="O144" ca="1">CONCATENATE(INDIRECT(ADDRESS(1,15,1,0,"KeySet"),0),":","""",valueMaker!O144,"""")</f>
        <v>point:"708"</v>
      </c>
      <c r="P144" t="str" cm="1">
        <f t="array" aca="1" ref="P144" ca="1">CONCATENATE(INDIRECT(ADDRESS(1,16,1,0,"KeySet"),0),":","""",valueMaker!P144,"""")</f>
        <v>bikou:""</v>
      </c>
    </row>
    <row r="145" spans="1:16">
      <c r="A145" t="str" cm="1">
        <f t="array" aca="1" ref="A145" ca="1">CONCATENATE(INDIRECT(ADDRESS(1,1,1,0,"KeySet"),0),":","""",valueMaker!A145,"""")</f>
        <v>kainBangou:"TD10144"</v>
      </c>
      <c r="B145" t="str" cm="1">
        <f t="array" aca="1" ref="B145" ca="1">CONCATENATE(INDIRECT(ADDRESS(1,2,1,0,"KeySet"),0),":","""",valueMaker!B145,"""")</f>
        <v>kainMeiKanji:"朱複仟"</v>
      </c>
      <c r="C145" t="str" cm="1">
        <f t="array" aca="1" ref="C145" ca="1">CONCATENATE(INDIRECT(ADDRESS(1,3,1,0,"KeySet"),0),":","""",valueMaker!C145,"""")</f>
        <v>kainMeiKana:"ｼﾞｭｳ ﾌｩ ﾁｴﾝ"</v>
      </c>
      <c r="D145" t="str" cm="1">
        <f t="array" aca="1" ref="D145" ca="1">CONCATENATE(INDIRECT(ADDRESS(1,4,1,0,"KeySet"),0),":","""",valueMaker!D145,"""")</f>
        <v>kainMeiEn:"Zhu Fu Qian"</v>
      </c>
      <c r="E145" t="str" cm="1">
        <f t="array" aca="1" ref="E145" ca="1">CONCATENATE(INDIRECT(ADDRESS(1,5,1,0,"KeySet"),0),":","""",valueMaker!E145,"""")</f>
        <v>kainGender:"女性"</v>
      </c>
      <c r="F145" t="str" cm="1">
        <f t="array" aca="1" ref="F145" ca="1">CONCATENATE(INDIRECT(ADDRESS(1,6,1,0,"KeySet"),0),":","""",TEXT(valueMaker!F145,"yyyy/m/d"),"""")</f>
        <v>tanjyoubi:"1998/5/31"</v>
      </c>
      <c r="G145" t="str" cm="1">
        <f t="array" aca="1" ref="G145" ca="1">CONCATENATE(INDIRECT(ADDRESS(1,6,1,0,"KeySet"),0),":","""",TEXT(valueMaker!G145,"yyyy/m/d"),"""")</f>
        <v>tanjyoubi:"2019/8/8"</v>
      </c>
      <c r="H145" t="str" cm="1">
        <f t="array" aca="1" ref="H145" ca="1">CONCATENATE(INDIRECT(ADDRESS(1,6,1,0,"KeySet"),0),":","""",TEXT(valueMaker!H145,"yyyy/m/d"),"""")</f>
        <v>tanjyoubi:"2020/8/7"</v>
      </c>
      <c r="I145" t="str" cm="1">
        <f t="array" aca="1" ref="I145" ca="1">CONCATENATE(INDIRECT(ADDRESS(1,9,1,0,"KeySet"),0),":","""",valueMaker!I145,"""")</f>
        <v>denwaBangou:"080-5941-4849"</v>
      </c>
      <c r="J145" t="str" cm="1">
        <f t="array" aca="1" ref="J145" ca="1">CONCATENATE(INDIRECT(ADDRESS(1,10,1,0,"KeySet"),0),":","""",valueMaker!J145,"""")</f>
        <v>mailAddress:"Zhu_Fu_Qian_43685@outlook.jp.co"</v>
      </c>
      <c r="K145" t="str" cm="1">
        <f t="array" aca="1" ref="K145" ca="1">CONCATENATE(INDIRECT(ADDRESS(1,11,1,0,"KeySet"),0),":","""",valueMaker!K145,"""")</f>
        <v>kaninSyubetu:"普通"</v>
      </c>
      <c r="L145" t="str" cm="1">
        <f t="array" aca="1" ref="L145" ca="1">CONCATENATE(INDIRECT(ADDRESS(1,12,1,0,"KeySet"),0),":","""",valueMaker!L145,"""")</f>
        <v>kaninKengenWB:"有り"</v>
      </c>
      <c r="M145" t="str" cm="1">
        <f t="array" aca="1" ref="M145" ca="1">CONCATENATE(INDIRECT(ADDRESS(1,13,1,0,"KeySet"),0),":","""",valueMaker!M145,"""")</f>
        <v>wakibiri:"5%"</v>
      </c>
      <c r="N145" t="str" cm="1">
        <f t="array" aca="1" ref="N145" ca="1">CONCATENATE(INDIRECT(ADDRESS(1,14,1,0,"KeySet"),0),":","""",valueMaker!N145,"""")</f>
        <v>kaninKengenPoint:"-"</v>
      </c>
      <c r="O145" t="str" cm="1">
        <f t="array" aca="1" ref="O145" ca="1">CONCATENATE(INDIRECT(ADDRESS(1,15,1,0,"KeySet"),0),":","""",valueMaker!O145,"""")</f>
        <v>point:"-"</v>
      </c>
      <c r="P145" t="str" cm="1">
        <f t="array" aca="1" ref="P145" ca="1">CONCATENATE(INDIRECT(ADDRESS(1,16,1,0,"KeySet"),0),":","""",valueMaker!P145,"""")</f>
        <v>bikou:""</v>
      </c>
    </row>
    <row r="146" spans="1:16">
      <c r="A146" t="str" cm="1">
        <f t="array" aca="1" ref="A146" ca="1">CONCATENATE(INDIRECT(ADDRESS(1,1,1,0,"KeySet"),0),":","""",valueMaker!A146,"""")</f>
        <v>kainBangou:"TD10145"</v>
      </c>
      <c r="B146" t="str" cm="1">
        <f t="array" aca="1" ref="B146" ca="1">CONCATENATE(INDIRECT(ADDRESS(1,2,1,0,"KeySet"),0),":","""",valueMaker!B146,"""")</f>
        <v>kainMeiKanji:"謝群昌"</v>
      </c>
      <c r="C146" t="str" cm="1">
        <f t="array" aca="1" ref="C146" ca="1">CONCATENATE(INDIRECT(ADDRESS(1,3,1,0,"KeySet"),0),":","""",valueMaker!C146,"""")</f>
        <v>kainMeiKana:"ｼｴ ﾁｭｲﾝ ﾁｬｰﾝ"</v>
      </c>
      <c r="D146" t="str" cm="1">
        <f t="array" aca="1" ref="D146" ca="1">CONCATENATE(INDIRECT(ADDRESS(1,4,1,0,"KeySet"),0),":","""",valueMaker!D146,"""")</f>
        <v>kainMeiEn:"Xie Qun Chang"</v>
      </c>
      <c r="E146" t="str" cm="1">
        <f t="array" aca="1" ref="E146" ca="1">CONCATENATE(INDIRECT(ADDRESS(1,5,1,0,"KeySet"),0),":","""",valueMaker!E146,"""")</f>
        <v>kainGender:"男性"</v>
      </c>
      <c r="F146" t="str" cm="1">
        <f t="array" aca="1" ref="F146" ca="1">CONCATENATE(INDIRECT(ADDRESS(1,6,1,0,"KeySet"),0),":","""",TEXT(valueMaker!F146,"yyyy/m/d"),"""")</f>
        <v>tanjyoubi:"1982/10/29"</v>
      </c>
      <c r="G146" t="str" cm="1">
        <f t="array" aca="1" ref="G146" ca="1">CONCATENATE(INDIRECT(ADDRESS(1,6,1,0,"KeySet"),0),":","""",TEXT(valueMaker!G146,"yyyy/m/d"),"""")</f>
        <v>tanjyoubi:"2012/1/11"</v>
      </c>
      <c r="H146" t="str" cm="1">
        <f t="array" aca="1" ref="H146" ca="1">CONCATENATE(INDIRECT(ADDRESS(1,6,1,0,"KeySet"),0),":","""",TEXT(valueMaker!H146,"yyyy/m/d"),"""")</f>
        <v>tanjyoubi:"2015/1/10"</v>
      </c>
      <c r="I146" t="str" cm="1">
        <f t="array" aca="1" ref="I146" ca="1">CONCATENATE(INDIRECT(ADDRESS(1,9,1,0,"KeySet"),0),":","""",valueMaker!I146,"""")</f>
        <v>denwaBangou:"090-6163-7034"</v>
      </c>
      <c r="J146" t="str" cm="1">
        <f t="array" aca="1" ref="J146" ca="1">CONCATENATE(INDIRECT(ADDRESS(1,10,1,0,"KeySet"),0),":","""",valueMaker!J146,"""")</f>
        <v>mailAddress:"Xie_Qun_Chang_40919@outlook.jp.co"</v>
      </c>
      <c r="K146" t="str" cm="1">
        <f t="array" aca="1" ref="K146" ca="1">CONCATENATE(INDIRECT(ADDRESS(1,11,1,0,"KeySet"),0),":","""",valueMaker!K146,"""")</f>
        <v>kaninSyubetu:"高級"</v>
      </c>
      <c r="L146" t="str" cm="1">
        <f t="array" aca="1" ref="L146" ca="1">CONCATENATE(INDIRECT(ADDRESS(1,12,1,0,"KeySet"),0),":","""",valueMaker!L146,"""")</f>
        <v>kaninKengenWB:"有り"</v>
      </c>
      <c r="M146" t="str" cm="1">
        <f t="array" aca="1" ref="M146" ca="1">CONCATENATE(INDIRECT(ADDRESS(1,13,1,0,"KeySet"),0),":","""",valueMaker!M146,"""")</f>
        <v>wakibiri:"10%"</v>
      </c>
      <c r="N146" t="str" cm="1">
        <f t="array" aca="1" ref="N146" ca="1">CONCATENATE(INDIRECT(ADDRESS(1,14,1,0,"KeySet"),0),":","""",valueMaker!N146,"""")</f>
        <v>kaninKengenPoint:"有り"</v>
      </c>
      <c r="O146" t="str" cm="1">
        <f t="array" aca="1" ref="O146" ca="1">CONCATENATE(INDIRECT(ADDRESS(1,15,1,0,"KeySet"),0),":","""",valueMaker!O146,"""")</f>
        <v>point:"628"</v>
      </c>
      <c r="P146" t="str" cm="1">
        <f t="array" aca="1" ref="P146" ca="1">CONCATENATE(INDIRECT(ADDRESS(1,16,1,0,"KeySet"),0),":","""",valueMaker!P146,"""")</f>
        <v>bikou:""</v>
      </c>
    </row>
    <row r="147" spans="1:16">
      <c r="A147" t="str" cm="1">
        <f t="array" aca="1" ref="A147" ca="1">CONCATENATE(INDIRECT(ADDRESS(1,1,1,0,"KeySet"),0),":","""",valueMaker!A147,"""")</f>
        <v>kainBangou:"TD10146"</v>
      </c>
      <c r="B147" t="str" cm="1">
        <f t="array" aca="1" ref="B147" ca="1">CONCATENATE(INDIRECT(ADDRESS(1,2,1,0,"KeySet"),0),":","""",valueMaker!B147,"""")</f>
        <v>kainMeiKanji:"高萌至"</v>
      </c>
      <c r="C147" t="str" cm="1">
        <f t="array" aca="1" ref="C147" ca="1">CONCATENATE(INDIRECT(ADDRESS(1,3,1,0,"KeySet"),0),":","""",valueMaker!C147,"""")</f>
        <v>kainMeiKana:"ｶﾞｵ ﾑｵﾝ ｼﾞｰ"</v>
      </c>
      <c r="D147" t="str" cm="1">
        <f t="array" aca="1" ref="D147" ca="1">CONCATENATE(INDIRECT(ADDRESS(1,4,1,0,"KeySet"),0),":","""",valueMaker!D147,"""")</f>
        <v>kainMeiEn:"Gao Meng Zhi"</v>
      </c>
      <c r="E147" t="str" cm="1">
        <f t="array" aca="1" ref="E147" ca="1">CONCATENATE(INDIRECT(ADDRESS(1,5,1,0,"KeySet"),0),":","""",valueMaker!E147,"""")</f>
        <v>kainGender:"女性"</v>
      </c>
      <c r="F147" t="str" cm="1">
        <f t="array" aca="1" ref="F147" ca="1">CONCATENATE(INDIRECT(ADDRESS(1,6,1,0,"KeySet"),0),":","""",TEXT(valueMaker!F147,"yyyy/m/d"),"""")</f>
        <v>tanjyoubi:"1980/11/24"</v>
      </c>
      <c r="G147" t="str" cm="1">
        <f t="array" aca="1" ref="G147" ca="1">CONCATENATE(INDIRECT(ADDRESS(1,6,1,0,"KeySet"),0),":","""",TEXT(valueMaker!G147,"yyyy/m/d"),"""")</f>
        <v>tanjyoubi:"2010/8/26"</v>
      </c>
      <c r="H147" t="str" cm="1">
        <f t="array" aca="1" ref="H147" ca="1">CONCATENATE(INDIRECT(ADDRESS(1,6,1,0,"KeySet"),0),":","""",TEXT(valueMaker!H147,"yyyy/m/d"),"""")</f>
        <v>tanjyoubi:"2013/8/25"</v>
      </c>
      <c r="I147" t="str" cm="1">
        <f t="array" aca="1" ref="I147" ca="1">CONCATENATE(INDIRECT(ADDRESS(1,9,1,0,"KeySet"),0),":","""",valueMaker!I147,"""")</f>
        <v>denwaBangou:"080-3650-4372"</v>
      </c>
      <c r="J147" t="str" cm="1">
        <f t="array" aca="1" ref="J147" ca="1">CONCATENATE(INDIRECT(ADDRESS(1,10,1,0,"KeySet"),0),":","""",valueMaker!J147,"""")</f>
        <v>mailAddress:"Gao_Meng_Zhi_40416@outlook.jp.co"</v>
      </c>
      <c r="K147" t="str" cm="1">
        <f t="array" aca="1" ref="K147" ca="1">CONCATENATE(INDIRECT(ADDRESS(1,11,1,0,"KeySet"),0),":","""",valueMaker!K147,"""")</f>
        <v>kaninSyubetu:"高級"</v>
      </c>
      <c r="L147" t="str" cm="1">
        <f t="array" aca="1" ref="L147" ca="1">CONCATENATE(INDIRECT(ADDRESS(1,12,1,0,"KeySet"),0),":","""",valueMaker!L147,"""")</f>
        <v>kaninKengenWB:"-"</v>
      </c>
      <c r="M147" t="str" cm="1">
        <f t="array" aca="1" ref="M147" ca="1">CONCATENATE(INDIRECT(ADDRESS(1,13,1,0,"KeySet"),0),":","""",valueMaker!M147,"""")</f>
        <v>wakibiri:"-"</v>
      </c>
      <c r="N147" t="str" cm="1">
        <f t="array" aca="1" ref="N147" ca="1">CONCATENATE(INDIRECT(ADDRESS(1,14,1,0,"KeySet"),0),":","""",valueMaker!N147,"""")</f>
        <v>kaninKengenPoint:"有り"</v>
      </c>
      <c r="O147" t="str" cm="1">
        <f t="array" aca="1" ref="O147" ca="1">CONCATENATE(INDIRECT(ADDRESS(1,15,1,0,"KeySet"),0),":","""",valueMaker!O147,"""")</f>
        <v>point:"489"</v>
      </c>
      <c r="P147" t="str" cm="1">
        <f t="array" aca="1" ref="P147" ca="1">CONCATENATE(INDIRECT(ADDRESS(1,16,1,0,"KeySet"),0),":","""",valueMaker!P147,"""")</f>
        <v>bikou:""</v>
      </c>
    </row>
    <row r="148" spans="1:16">
      <c r="A148" t="str" cm="1">
        <f t="array" aca="1" ref="A148" ca="1">CONCATENATE(INDIRECT(ADDRESS(1,1,1,0,"KeySet"),0),":","""",valueMaker!A148,"""")</f>
        <v>kainBangou:"TD10147"</v>
      </c>
      <c r="B148" t="str" cm="1">
        <f t="array" aca="1" ref="B148" ca="1">CONCATENATE(INDIRECT(ADDRESS(1,2,1,0,"KeySet"),0),":","""",valueMaker!B148,"""")</f>
        <v>kainMeiKanji:"陳赫佑"</v>
      </c>
      <c r="C148" t="str" cm="1">
        <f t="array" aca="1" ref="C148" ca="1">CONCATENATE(INDIRECT(ADDRESS(1,3,1,0,"KeySet"),0),":","""",valueMaker!C148,"""")</f>
        <v>kainMeiKana:"ﾁｪﾝ ﾎｰｧ ﾖｳ"</v>
      </c>
      <c r="D148" t="str" cm="1">
        <f t="array" aca="1" ref="D148" ca="1">CONCATENATE(INDIRECT(ADDRESS(1,4,1,0,"KeySet"),0),":","""",valueMaker!D148,"""")</f>
        <v>kainMeiEn:"Chen He You"</v>
      </c>
      <c r="E148" t="str" cm="1">
        <f t="array" aca="1" ref="E148" ca="1">CONCATENATE(INDIRECT(ADDRESS(1,5,1,0,"KeySet"),0),":","""",valueMaker!E148,"""")</f>
        <v>kainGender:"男性"</v>
      </c>
      <c r="F148" t="str" cm="1">
        <f t="array" aca="1" ref="F148" ca="1">CONCATENATE(INDIRECT(ADDRESS(1,6,1,0,"KeySet"),0),":","""",TEXT(valueMaker!F148,"yyyy/m/d"),"""")</f>
        <v>tanjyoubi:"1971/3/2"</v>
      </c>
      <c r="G148" t="str" cm="1">
        <f t="array" aca="1" ref="G148" ca="1">CONCATENATE(INDIRECT(ADDRESS(1,6,1,0,"KeySet"),0),":","""",TEXT(valueMaker!G148,"yyyy/m/d"),"""")</f>
        <v>tanjyoubi:"2020/2/28"</v>
      </c>
      <c r="H148" t="str" cm="1">
        <f t="array" aca="1" ref="H148" ca="1">CONCATENATE(INDIRECT(ADDRESS(1,6,1,0,"KeySet"),0),":","""",TEXT(valueMaker!H148,"yyyy/m/d"),"""")</f>
        <v>tanjyoubi:"2022/2/27"</v>
      </c>
      <c r="I148" t="str" cm="1">
        <f t="array" aca="1" ref="I148" ca="1">CONCATENATE(INDIRECT(ADDRESS(1,9,1,0,"KeySet"),0),":","""",valueMaker!I148,"""")</f>
        <v>denwaBangou:"090-3098-1596"</v>
      </c>
      <c r="J148" t="str" cm="1">
        <f t="array" aca="1" ref="J148" ca="1">CONCATENATE(INDIRECT(ADDRESS(1,10,1,0,"KeySet"),0),":","""",valueMaker!J148,"""")</f>
        <v>mailAddress:"Chen_He_You_43889@outlook.jp.co"</v>
      </c>
      <c r="K148" t="str" cm="1">
        <f t="array" aca="1" ref="K148" ca="1">CONCATENATE(INDIRECT(ADDRESS(1,11,1,0,"KeySet"),0),":","""",valueMaker!K148,"""")</f>
        <v>kaninSyubetu:"高級"</v>
      </c>
      <c r="L148" t="str" cm="1">
        <f t="array" aca="1" ref="L148" ca="1">CONCATENATE(INDIRECT(ADDRESS(1,12,1,0,"KeySet"),0),":","""",valueMaker!L148,"""")</f>
        <v>kaninKengenWB:"有り"</v>
      </c>
      <c r="M148" t="str" cm="1">
        <f t="array" aca="1" ref="M148" ca="1">CONCATENATE(INDIRECT(ADDRESS(1,13,1,0,"KeySet"),0),":","""",valueMaker!M148,"""")</f>
        <v>wakibiri:"10%"</v>
      </c>
      <c r="N148" t="str" cm="1">
        <f t="array" aca="1" ref="N148" ca="1">CONCATENATE(INDIRECT(ADDRESS(1,14,1,0,"KeySet"),0),":","""",valueMaker!N148,"""")</f>
        <v>kaninKengenPoint:"有り"</v>
      </c>
      <c r="O148" t="str" cm="1">
        <f t="array" aca="1" ref="O148" ca="1">CONCATENATE(INDIRECT(ADDRESS(1,15,1,0,"KeySet"),0),":","""",valueMaker!O148,"""")</f>
        <v>point:"348"</v>
      </c>
      <c r="P148" t="str" cm="1">
        <f t="array" aca="1" ref="P148" ca="1">CONCATENATE(INDIRECT(ADDRESS(1,16,1,0,"KeySet"),0),":","""",valueMaker!P148,"""")</f>
        <v>bikou:""</v>
      </c>
    </row>
    <row r="149" spans="1:16">
      <c r="A149" t="str" cm="1">
        <f t="array" aca="1" ref="A149" ca="1">CONCATENATE(INDIRECT(ADDRESS(1,1,1,0,"KeySet"),0),":","""",valueMaker!A149,"""")</f>
        <v>kainBangou:"TD10148"</v>
      </c>
      <c r="B149" t="str" cm="1">
        <f t="array" aca="1" ref="B149" ca="1">CONCATENATE(INDIRECT(ADDRESS(1,2,1,0,"KeySet"),0),":","""",valueMaker!B149,"""")</f>
        <v>kainMeiKanji:"于領俊"</v>
      </c>
      <c r="C149" t="str" cm="1">
        <f t="array" aca="1" ref="C149" ca="1">CONCATENATE(INDIRECT(ADDRESS(1,3,1,0,"KeySet"),0),":","""",valueMaker!C149,"""")</f>
        <v>kainMeiKana:"ﾕｲ ﾘｰﾝ ｼﾞｭｲﾝ"</v>
      </c>
      <c r="D149" t="str" cm="1">
        <f t="array" aca="1" ref="D149" ca="1">CONCATENATE(INDIRECT(ADDRESS(1,4,1,0,"KeySet"),0),":","""",valueMaker!D149,"""")</f>
        <v>kainMeiEn:"Yu Ling Jun"</v>
      </c>
      <c r="E149" t="str" cm="1">
        <f t="array" aca="1" ref="E149" ca="1">CONCATENATE(INDIRECT(ADDRESS(1,5,1,0,"KeySet"),0),":","""",valueMaker!E149,"""")</f>
        <v>kainGender:"-"</v>
      </c>
      <c r="F149" t="str" cm="1">
        <f t="array" aca="1" ref="F149" ca="1">CONCATENATE(INDIRECT(ADDRESS(1,6,1,0,"KeySet"),0),":","""",TEXT(valueMaker!F149,"yyyy/m/d"),"""")</f>
        <v>tanjyoubi:"1995/7/15"</v>
      </c>
      <c r="G149" t="str" cm="1">
        <f t="array" aca="1" ref="G149" ca="1">CONCATENATE(INDIRECT(ADDRESS(1,6,1,0,"KeySet"),0),":","""",TEXT(valueMaker!G149,"yyyy/m/d"),"""")</f>
        <v>tanjyoubi:"2020/4/30"</v>
      </c>
      <c r="H149" t="str" cm="1">
        <f t="array" aca="1" ref="H149" ca="1">CONCATENATE(INDIRECT(ADDRESS(1,6,1,0,"KeySet"),0),":","""",TEXT(valueMaker!H149,"yyyy/m/d"),"""")</f>
        <v>tanjyoubi:"2022/4/30"</v>
      </c>
      <c r="I149" t="str" cm="1">
        <f t="array" aca="1" ref="I149" ca="1">CONCATENATE(INDIRECT(ADDRESS(1,9,1,0,"KeySet"),0),":","""",valueMaker!I149,"""")</f>
        <v>denwaBangou:"080-9038-0116"</v>
      </c>
      <c r="J149" t="str" cm="1">
        <f t="array" aca="1" ref="J149" ca="1">CONCATENATE(INDIRECT(ADDRESS(1,10,1,0,"KeySet"),0),":","""",valueMaker!J149,"""")</f>
        <v>mailAddress:"Yu_Ling_Jun_43951@outlook.jp.co"</v>
      </c>
      <c r="K149" t="str" cm="1">
        <f t="array" aca="1" ref="K149" ca="1">CONCATENATE(INDIRECT(ADDRESS(1,11,1,0,"KeySet"),0),":","""",valueMaker!K149,"""")</f>
        <v>kaninSyubetu:"普通"</v>
      </c>
      <c r="L149" t="str" cm="1">
        <f t="array" aca="1" ref="L149" ca="1">CONCATENATE(INDIRECT(ADDRESS(1,12,1,0,"KeySet"),0),":","""",valueMaker!L149,"""")</f>
        <v>kaninKengenWB:"有り"</v>
      </c>
      <c r="M149" t="str" cm="1">
        <f t="array" aca="1" ref="M149" ca="1">CONCATENATE(INDIRECT(ADDRESS(1,13,1,0,"KeySet"),0),":","""",valueMaker!M149,"""")</f>
        <v>wakibiri:"5%"</v>
      </c>
      <c r="N149" t="str" cm="1">
        <f t="array" aca="1" ref="N149" ca="1">CONCATENATE(INDIRECT(ADDRESS(1,14,1,0,"KeySet"),0),":","""",valueMaker!N149,"""")</f>
        <v>kaninKengenPoint:"有り"</v>
      </c>
      <c r="O149" t="str" cm="1">
        <f t="array" aca="1" ref="O149" ca="1">CONCATENATE(INDIRECT(ADDRESS(1,15,1,0,"KeySet"),0),":","""",valueMaker!O149,"""")</f>
        <v>point:"808"</v>
      </c>
      <c r="P149" t="str" cm="1">
        <f t="array" aca="1" ref="P149" ca="1">CONCATENATE(INDIRECT(ADDRESS(1,16,1,0,"KeySet"),0),":","""",valueMaker!P149,"""")</f>
        <v>bikou:""</v>
      </c>
    </row>
    <row r="150" spans="1:16">
      <c r="A150" t="str" cm="1">
        <f t="array" aca="1" ref="A150" ca="1">CONCATENATE(INDIRECT(ADDRESS(1,1,1,0,"KeySet"),0),":","""",valueMaker!A150,"""")</f>
        <v>kainBangou:"TD10149"</v>
      </c>
      <c r="B150" t="str" cm="1">
        <f t="array" aca="1" ref="B150" ca="1">CONCATENATE(INDIRECT(ADDRESS(1,2,1,0,"KeySet"),0),":","""",valueMaker!B150,"""")</f>
        <v>kainMeiKanji:"吳悅協"</v>
      </c>
      <c r="C150" t="str" cm="1">
        <f t="array" aca="1" ref="C150" ca="1">CONCATENATE(INDIRECT(ADDRESS(1,3,1,0,"KeySet"),0),":","""",valueMaker!C150,"""")</f>
        <v>kainMeiKana:"ｳｰ ﾕｴ ｼｴ"</v>
      </c>
      <c r="D150" t="str" cm="1">
        <f t="array" aca="1" ref="D150" ca="1">CONCATENATE(INDIRECT(ADDRESS(1,4,1,0,"KeySet"),0),":","""",valueMaker!D150,"""")</f>
        <v>kainMeiEn:"Wu Yue Xie"</v>
      </c>
      <c r="E150" t="str" cm="1">
        <f t="array" aca="1" ref="E150" ca="1">CONCATENATE(INDIRECT(ADDRESS(1,5,1,0,"KeySet"),0),":","""",valueMaker!E150,"""")</f>
        <v>kainGender:"女性"</v>
      </c>
      <c r="F150" t="str" cm="1">
        <f t="array" aca="1" ref="F150" ca="1">CONCATENATE(INDIRECT(ADDRESS(1,6,1,0,"KeySet"),0),":","""",TEXT(valueMaker!F150,"yyyy/m/d"),"""")</f>
        <v>tanjyoubi:"1997/7/9"</v>
      </c>
      <c r="G150" t="str" cm="1">
        <f t="array" aca="1" ref="G150" ca="1">CONCATENATE(INDIRECT(ADDRESS(1,6,1,0,"KeySet"),0),":","""",TEXT(valueMaker!G150,"yyyy/m/d"),"""")</f>
        <v>tanjyoubi:"2017/12/15"</v>
      </c>
      <c r="H150" t="str" cm="1">
        <f t="array" aca="1" ref="H150" ca="1">CONCATENATE(INDIRECT(ADDRESS(1,6,1,0,"KeySet"),0),":","""",TEXT(valueMaker!H150,"yyyy/m/d"),"""")</f>
        <v>tanjyoubi:"2020/12/14"</v>
      </c>
      <c r="I150" t="str" cm="1">
        <f t="array" aca="1" ref="I150" ca="1">CONCATENATE(INDIRECT(ADDRESS(1,9,1,0,"KeySet"),0),":","""",valueMaker!I150,"""")</f>
        <v>denwaBangou:"090-5309-9699"</v>
      </c>
      <c r="J150" t="str" cm="1">
        <f t="array" aca="1" ref="J150" ca="1">CONCATENATE(INDIRECT(ADDRESS(1,10,1,0,"KeySet"),0),":","""",valueMaker!J150,"""")</f>
        <v>mailAddress:"Wu_Yue_Xie_43084@outlook.jp.co"</v>
      </c>
      <c r="K150" t="str" cm="1">
        <f t="array" aca="1" ref="K150" ca="1">CONCATENATE(INDIRECT(ADDRESS(1,11,1,0,"KeySet"),0),":","""",valueMaker!K150,"""")</f>
        <v>kaninSyubetu:"高級"</v>
      </c>
      <c r="L150" t="str" cm="1">
        <f t="array" aca="1" ref="L150" ca="1">CONCATENATE(INDIRECT(ADDRESS(1,12,1,0,"KeySet"),0),":","""",valueMaker!L150,"""")</f>
        <v>kaninKengenWB:"-"</v>
      </c>
      <c r="M150" t="str" cm="1">
        <f t="array" aca="1" ref="M150" ca="1">CONCATENATE(INDIRECT(ADDRESS(1,13,1,0,"KeySet"),0),":","""",valueMaker!M150,"""")</f>
        <v>wakibiri:"-"</v>
      </c>
      <c r="N150" t="str" cm="1">
        <f t="array" aca="1" ref="N150" ca="1">CONCATENATE(INDIRECT(ADDRESS(1,14,1,0,"KeySet"),0),":","""",valueMaker!N150,"""")</f>
        <v>kaninKengenPoint:"有り"</v>
      </c>
      <c r="O150" t="str" cm="1">
        <f t="array" aca="1" ref="O150" ca="1">CONCATENATE(INDIRECT(ADDRESS(1,15,1,0,"KeySet"),0),":","""",valueMaker!O150,"""")</f>
        <v>point:"933"</v>
      </c>
      <c r="P150" t="str" cm="1">
        <f t="array" aca="1" ref="P150" ca="1">CONCATENATE(INDIRECT(ADDRESS(1,16,1,0,"KeySet"),0),":","""",valueMaker!P150,"""")</f>
        <v>bikou:""</v>
      </c>
    </row>
    <row r="151" spans="1:16">
      <c r="A151" t="str" cm="1">
        <f t="array" aca="1" ref="A151" ca="1">CONCATENATE(INDIRECT(ADDRESS(1,1,1,0,"KeySet"),0),":","""",valueMaker!A151,"""")</f>
        <v>kainBangou:"TD10150"</v>
      </c>
      <c r="B151" t="str" cm="1">
        <f t="array" aca="1" ref="B151" ca="1">CONCATENATE(INDIRECT(ADDRESS(1,2,1,0,"KeySet"),0),":","""",valueMaker!B151,"""")</f>
        <v>kainMeiKanji:"林祖彥"</v>
      </c>
      <c r="C151" t="str" cm="1">
        <f t="array" aca="1" ref="C151" ca="1">CONCATENATE(INDIRECT(ADDRESS(1,3,1,0,"KeySet"),0),":","""",valueMaker!C151,"""")</f>
        <v>kainMeiKana:"ﾘﾝ ｽﾞｩ ｲｴﾝ"</v>
      </c>
      <c r="D151" t="str" cm="1">
        <f t="array" aca="1" ref="D151" ca="1">CONCATENATE(INDIRECT(ADDRESS(1,4,1,0,"KeySet"),0),":","""",valueMaker!D151,"""")</f>
        <v>kainMeiEn:"Lin Zu Yan"</v>
      </c>
      <c r="E151" t="str" cm="1">
        <f t="array" aca="1" ref="E151" ca="1">CONCATENATE(INDIRECT(ADDRESS(1,5,1,0,"KeySet"),0),":","""",valueMaker!E151,"""")</f>
        <v>kainGender:"男性"</v>
      </c>
      <c r="F151" t="str" cm="1">
        <f t="array" aca="1" ref="F151" ca="1">CONCATENATE(INDIRECT(ADDRESS(1,6,1,0,"KeySet"),0),":","""",TEXT(valueMaker!F151,"yyyy/m/d"),"""")</f>
        <v>tanjyoubi:"1984/10/19"</v>
      </c>
      <c r="G151" t="str" cm="1">
        <f t="array" aca="1" ref="G151" ca="1">CONCATENATE(INDIRECT(ADDRESS(1,6,1,0,"KeySet"),0),":","""",TEXT(valueMaker!G151,"yyyy/m/d"),"""")</f>
        <v>tanjyoubi:"2002/11/4"</v>
      </c>
      <c r="H151" t="str" cm="1">
        <f t="array" aca="1" ref="H151" ca="1">CONCATENATE(INDIRECT(ADDRESS(1,6,1,0,"KeySet"),0),":","""",TEXT(valueMaker!H151,"yyyy/m/d"),"""")</f>
        <v>tanjyoubi:"2004/11/3"</v>
      </c>
      <c r="I151" t="str" cm="1">
        <f t="array" aca="1" ref="I151" ca="1">CONCATENATE(INDIRECT(ADDRESS(1,9,1,0,"KeySet"),0),":","""",valueMaker!I151,"""")</f>
        <v>denwaBangou:"080-1707-2808"</v>
      </c>
      <c r="J151" t="str" cm="1">
        <f t="array" aca="1" ref="J151" ca="1">CONCATENATE(INDIRECT(ADDRESS(1,10,1,0,"KeySet"),0),":","""",valueMaker!J151,"""")</f>
        <v>mailAddress:"Lin_Zu_Yan_37564@outlook.jp.co"</v>
      </c>
      <c r="K151" t="str" cm="1">
        <f t="array" aca="1" ref="K151" ca="1">CONCATENATE(INDIRECT(ADDRESS(1,11,1,0,"KeySet"),0),":","""",valueMaker!K151,"""")</f>
        <v>kaninSyubetu:"普通"</v>
      </c>
      <c r="L151" t="str" cm="1">
        <f t="array" aca="1" ref="L151" ca="1">CONCATENATE(INDIRECT(ADDRESS(1,12,1,0,"KeySet"),0),":","""",valueMaker!L151,"""")</f>
        <v>kaninKengenWB:"有り"</v>
      </c>
      <c r="M151" t="str" cm="1">
        <f t="array" aca="1" ref="M151" ca="1">CONCATENATE(INDIRECT(ADDRESS(1,13,1,0,"KeySet"),0),":","""",valueMaker!M151,"""")</f>
        <v>wakibiri:"5%"</v>
      </c>
      <c r="N151" t="str" cm="1">
        <f t="array" aca="1" ref="N151" ca="1">CONCATENATE(INDIRECT(ADDRESS(1,14,1,0,"KeySet"),0),":","""",valueMaker!N151,"""")</f>
        <v>kaninKengenPoint:"有り"</v>
      </c>
      <c r="O151" t="str" cm="1">
        <f t="array" aca="1" ref="O151" ca="1">CONCATENATE(INDIRECT(ADDRESS(1,15,1,0,"KeySet"),0),":","""",valueMaker!O151,"""")</f>
        <v>point:"878"</v>
      </c>
      <c r="P151" t="str" cm="1">
        <f t="array" aca="1" ref="P151" ca="1">CONCATENATE(INDIRECT(ADDRESS(1,16,1,0,"KeySet"),0),":","""",valueMaker!P151,"""")</f>
        <v>bikou:""</v>
      </c>
    </row>
    <row r="152" spans="1:16">
      <c r="A152" t="str" cm="1">
        <f t="array" aca="1" ref="A152" ca="1">CONCATENATE(INDIRECT(ADDRESS(1,1,1,0,"KeySet"),0),":","""",valueMaker!A152,"""")</f>
        <v>kainBangou:"TD10151"</v>
      </c>
      <c r="B152" t="str" cm="1">
        <f t="array" aca="1" ref="B152" ca="1">CONCATENATE(INDIRECT(ADDRESS(1,2,1,0,"KeySet"),0),":","""",valueMaker!B152,"""")</f>
        <v>kainMeiKanji:"孫厚道"</v>
      </c>
      <c r="C152" t="str" cm="1">
        <f t="array" aca="1" ref="C152" ca="1">CONCATENATE(INDIRECT(ADDRESS(1,3,1,0,"KeySet"),0),":","""",valueMaker!C152,"""")</f>
        <v>kainMeiKana:"ｽｩﾝ ﾎｳ ﾀﾞｵ"</v>
      </c>
      <c r="D152" t="str" cm="1">
        <f t="array" aca="1" ref="D152" ca="1">CONCATENATE(INDIRECT(ADDRESS(1,4,1,0,"KeySet"),0),":","""",valueMaker!D152,"""")</f>
        <v>kainMeiEn:"Sun Hou Dao"</v>
      </c>
      <c r="E152" t="str" cm="1">
        <f t="array" aca="1" ref="E152" ca="1">CONCATENATE(INDIRECT(ADDRESS(1,5,1,0,"KeySet"),0),":","""",valueMaker!E152,"""")</f>
        <v>kainGender:"男性"</v>
      </c>
      <c r="F152" t="str" cm="1">
        <f t="array" aca="1" ref="F152" ca="1">CONCATENATE(INDIRECT(ADDRESS(1,6,1,0,"KeySet"),0),":","""",TEXT(valueMaker!F152,"yyyy/m/d"),"""")</f>
        <v>tanjyoubi:"1996/2/6"</v>
      </c>
      <c r="G152" t="str" cm="1">
        <f t="array" aca="1" ref="G152" ca="1">CONCATENATE(INDIRECT(ADDRESS(1,6,1,0,"KeySet"),0),":","""",TEXT(valueMaker!G152,"yyyy/m/d"),"""")</f>
        <v>tanjyoubi:"2017/9/20"</v>
      </c>
      <c r="H152" t="str" cm="1">
        <f t="array" aca="1" ref="H152" ca="1">CONCATENATE(INDIRECT(ADDRESS(1,6,1,0,"KeySet"),0),":","""",TEXT(valueMaker!H152,"yyyy/m/d"),"""")</f>
        <v>tanjyoubi:"2020/9/19"</v>
      </c>
      <c r="I152" t="str" cm="1">
        <f t="array" aca="1" ref="I152" ca="1">CONCATENATE(INDIRECT(ADDRESS(1,9,1,0,"KeySet"),0),":","""",valueMaker!I152,"""")</f>
        <v>denwaBangou:"080-3954-2850"</v>
      </c>
      <c r="J152" t="str" cm="1">
        <f t="array" aca="1" ref="J152" ca="1">CONCATENATE(INDIRECT(ADDRESS(1,10,1,0,"KeySet"),0),":","""",valueMaker!J152,"""")</f>
        <v>mailAddress:"Sun_Hou_Dao_42998@outlook.jp.co"</v>
      </c>
      <c r="K152" t="str" cm="1">
        <f t="array" aca="1" ref="K152" ca="1">CONCATENATE(INDIRECT(ADDRESS(1,11,1,0,"KeySet"),0),":","""",valueMaker!K152,"""")</f>
        <v>kaninSyubetu:"普通"</v>
      </c>
      <c r="L152" t="str" cm="1">
        <f t="array" aca="1" ref="L152" ca="1">CONCATENATE(INDIRECT(ADDRESS(1,12,1,0,"KeySet"),0),":","""",valueMaker!L152,"""")</f>
        <v>kaninKengenWB:"有り"</v>
      </c>
      <c r="M152" t="str" cm="1">
        <f t="array" aca="1" ref="M152" ca="1">CONCATENATE(INDIRECT(ADDRESS(1,13,1,0,"KeySet"),0),":","""",valueMaker!M152,"""")</f>
        <v>wakibiri:"5%"</v>
      </c>
      <c r="N152" t="str" cm="1">
        <f t="array" aca="1" ref="N152" ca="1">CONCATENATE(INDIRECT(ADDRESS(1,14,1,0,"KeySet"),0),":","""",valueMaker!N152,"""")</f>
        <v>kaninKengenPoint:"有り"</v>
      </c>
      <c r="O152" t="str" cm="1">
        <f t="array" aca="1" ref="O152" ca="1">CONCATENATE(INDIRECT(ADDRESS(1,15,1,0,"KeySet"),0),":","""",valueMaker!O152,"""")</f>
        <v>point:"30"</v>
      </c>
      <c r="P152" t="str" cm="1">
        <f t="array" aca="1" ref="P152" ca="1">CONCATENATE(INDIRECT(ADDRESS(1,16,1,0,"KeySet"),0),":","""",valueMaker!P152,"""")</f>
        <v>bikou:""</v>
      </c>
    </row>
    <row r="153" spans="1:16">
      <c r="A153" t="str" cm="1">
        <f t="array" aca="1" ref="A153" ca="1">CONCATENATE(INDIRECT(ADDRESS(1,1,1,0,"KeySet"),0),":","""",valueMaker!A153,"""")</f>
        <v>kainBangou:"TD10152"</v>
      </c>
      <c r="B153" t="str" cm="1">
        <f t="array" aca="1" ref="B153" ca="1">CONCATENATE(INDIRECT(ADDRESS(1,2,1,0,"KeySet"),0),":","""",valueMaker!B153,"""")</f>
        <v>kainMeiKanji:"高倫惠"</v>
      </c>
      <c r="C153" t="str" cm="1">
        <f t="array" aca="1" ref="C153" ca="1">CONCATENATE(INDIRECT(ADDRESS(1,3,1,0,"KeySet"),0),":","""",valueMaker!C153,"""")</f>
        <v>kainMeiKana:"ｶﾞｵ ﾙﾝ ﾎｩｲ"</v>
      </c>
      <c r="D153" t="str" cm="1">
        <f t="array" aca="1" ref="D153" ca="1">CONCATENATE(INDIRECT(ADDRESS(1,4,1,0,"KeySet"),0),":","""",valueMaker!D153,"""")</f>
        <v>kainMeiEn:"Gao Lun Hui"</v>
      </c>
      <c r="E153" t="str" cm="1">
        <f t="array" aca="1" ref="E153" ca="1">CONCATENATE(INDIRECT(ADDRESS(1,5,1,0,"KeySet"),0),":","""",valueMaker!E153,"""")</f>
        <v>kainGender:"女性"</v>
      </c>
      <c r="F153" t="str" cm="1">
        <f t="array" aca="1" ref="F153" ca="1">CONCATENATE(INDIRECT(ADDRESS(1,6,1,0,"KeySet"),0),":","""",TEXT(valueMaker!F153,"yyyy/m/d"),"""")</f>
        <v>tanjyoubi:"2002/7/28"</v>
      </c>
      <c r="G153" t="str" cm="1">
        <f t="array" aca="1" ref="G153" ca="1">CONCATENATE(INDIRECT(ADDRESS(1,6,1,0,"KeySet"),0),":","""",TEXT(valueMaker!G153,"yyyy/m/d"),"""")</f>
        <v>tanjyoubi:"2021/4/20"</v>
      </c>
      <c r="H153" t="str" cm="1">
        <f t="array" aca="1" ref="H153" ca="1">CONCATENATE(INDIRECT(ADDRESS(1,6,1,0,"KeySet"),0),":","""",TEXT(valueMaker!H153,"yyyy/m/d"),"""")</f>
        <v>tanjyoubi:"2022/4/20"</v>
      </c>
      <c r="I153" t="str" cm="1">
        <f t="array" aca="1" ref="I153" ca="1">CONCATENATE(INDIRECT(ADDRESS(1,9,1,0,"KeySet"),0),":","""",valueMaker!I153,"""")</f>
        <v>denwaBangou:"090-1606-9866"</v>
      </c>
      <c r="J153" t="str" cm="1">
        <f t="array" aca="1" ref="J153" ca="1">CONCATENATE(INDIRECT(ADDRESS(1,10,1,0,"KeySet"),0),":","""",valueMaker!J153,"""")</f>
        <v>mailAddress:"Gao_Lun_Hui_44306@outlook.jp.co"</v>
      </c>
      <c r="K153" t="str" cm="1">
        <f t="array" aca="1" ref="K153" ca="1">CONCATENATE(INDIRECT(ADDRESS(1,11,1,0,"KeySet"),0),":","""",valueMaker!K153,"""")</f>
        <v>kaninSyubetu:"高級"</v>
      </c>
      <c r="L153" t="str" cm="1">
        <f t="array" aca="1" ref="L153" ca="1">CONCATENATE(INDIRECT(ADDRESS(1,12,1,0,"KeySet"),0),":","""",valueMaker!L153,"""")</f>
        <v>kaninKengenWB:"有り"</v>
      </c>
      <c r="M153" t="str" cm="1">
        <f t="array" aca="1" ref="M153" ca="1">CONCATENATE(INDIRECT(ADDRESS(1,13,1,0,"KeySet"),0),":","""",valueMaker!M153,"""")</f>
        <v>wakibiri:"10%"</v>
      </c>
      <c r="N153" t="str" cm="1">
        <f t="array" aca="1" ref="N153" ca="1">CONCATENATE(INDIRECT(ADDRESS(1,14,1,0,"KeySet"),0),":","""",valueMaker!N153,"""")</f>
        <v>kaninKengenPoint:"有り"</v>
      </c>
      <c r="O153" t="str" cm="1">
        <f t="array" aca="1" ref="O153" ca="1">CONCATENATE(INDIRECT(ADDRESS(1,15,1,0,"KeySet"),0),":","""",valueMaker!O153,"""")</f>
        <v>point:"936"</v>
      </c>
      <c r="P153" t="str" cm="1">
        <f t="array" aca="1" ref="P153" ca="1">CONCATENATE(INDIRECT(ADDRESS(1,16,1,0,"KeySet"),0),":","""",valueMaker!P153,"""")</f>
        <v>bikou:""</v>
      </c>
    </row>
    <row r="154" spans="1:16">
      <c r="A154" t="str" cm="1">
        <f t="array" aca="1" ref="A154" ca="1">CONCATENATE(INDIRECT(ADDRESS(1,1,1,0,"KeySet"),0),":","""",valueMaker!A154,"""")</f>
        <v>kainBangou:"TD10153"</v>
      </c>
      <c r="B154" t="str" cm="1">
        <f t="array" aca="1" ref="B154" ca="1">CONCATENATE(INDIRECT(ADDRESS(1,2,1,0,"KeySet"),0),":","""",valueMaker!B154,"""")</f>
        <v>kainMeiKanji:"羅資圓"</v>
      </c>
      <c r="C154" t="str" cm="1">
        <f t="array" aca="1" ref="C154" ca="1">CONCATENATE(INDIRECT(ADDRESS(1,3,1,0,"KeySet"),0),":","""",valueMaker!C154,"""")</f>
        <v>kainMeiKana:"ﾙｵ ｽﾞｰ ﾕｴﾝ"</v>
      </c>
      <c r="D154" t="str" cm="1">
        <f t="array" aca="1" ref="D154" ca="1">CONCATENATE(INDIRECT(ADDRESS(1,4,1,0,"KeySet"),0),":","""",valueMaker!D154,"""")</f>
        <v>kainMeiEn:"Luo Zi Yuan"</v>
      </c>
      <c r="E154" t="str" cm="1">
        <f t="array" aca="1" ref="E154" ca="1">CONCATENATE(INDIRECT(ADDRESS(1,5,1,0,"KeySet"),0),":","""",valueMaker!E154,"""")</f>
        <v>kainGender:"女性"</v>
      </c>
      <c r="F154" t="str" cm="1">
        <f t="array" aca="1" ref="F154" ca="1">CONCATENATE(INDIRECT(ADDRESS(1,6,1,0,"KeySet"),0),":","""",TEXT(valueMaker!F154,"yyyy/m/d"),"""")</f>
        <v>tanjyoubi:"2003/1/20"</v>
      </c>
      <c r="G154" t="str" cm="1">
        <f t="array" aca="1" ref="G154" ca="1">CONCATENATE(INDIRECT(ADDRESS(1,6,1,0,"KeySet"),0),":","""",TEXT(valueMaker!G154,"yyyy/m/d"),"""")</f>
        <v>tanjyoubi:"2023/5/10"</v>
      </c>
      <c r="H154" t="str" cm="1">
        <f t="array" aca="1" ref="H154" ca="1">CONCATENATE(INDIRECT(ADDRESS(1,6,1,0,"KeySet"),0),":","""",TEXT(valueMaker!H154,"yyyy/m/d"),"""")</f>
        <v>tanjyoubi:"2025/5/9"</v>
      </c>
      <c r="I154" t="str" cm="1">
        <f t="array" aca="1" ref="I154" ca="1">CONCATENATE(INDIRECT(ADDRESS(1,9,1,0,"KeySet"),0),":","""",valueMaker!I154,"""")</f>
        <v>denwaBangou:"080-4186-9787"</v>
      </c>
      <c r="J154" t="str" cm="1">
        <f t="array" aca="1" ref="J154" ca="1">CONCATENATE(INDIRECT(ADDRESS(1,10,1,0,"KeySet"),0),":","""",valueMaker!J154,"""")</f>
        <v>mailAddress:"Luo_Zi_Yuan_45056@outlook.jp.co"</v>
      </c>
      <c r="K154" t="str" cm="1">
        <f t="array" aca="1" ref="K154" ca="1">CONCATENATE(INDIRECT(ADDRESS(1,11,1,0,"KeySet"),0),":","""",valueMaker!K154,"""")</f>
        <v>kaninSyubetu:"普通"</v>
      </c>
      <c r="L154" t="str" cm="1">
        <f t="array" aca="1" ref="L154" ca="1">CONCATENATE(INDIRECT(ADDRESS(1,12,1,0,"KeySet"),0),":","""",valueMaker!L154,"""")</f>
        <v>kaninKengenWB:"有り"</v>
      </c>
      <c r="M154" t="str" cm="1">
        <f t="array" aca="1" ref="M154" ca="1">CONCATENATE(INDIRECT(ADDRESS(1,13,1,0,"KeySet"),0),":","""",valueMaker!M154,"""")</f>
        <v>wakibiri:"5%"</v>
      </c>
      <c r="N154" t="str" cm="1">
        <f t="array" aca="1" ref="N154" ca="1">CONCATENATE(INDIRECT(ADDRESS(1,14,1,0,"KeySet"),0),":","""",valueMaker!N154,"""")</f>
        <v>kaninKengenPoint:"有り"</v>
      </c>
      <c r="O154" t="str" cm="1">
        <f t="array" aca="1" ref="O154" ca="1">CONCATENATE(INDIRECT(ADDRESS(1,15,1,0,"KeySet"),0),":","""",valueMaker!O154,"""")</f>
        <v>point:"623"</v>
      </c>
      <c r="P154" t="str" cm="1">
        <f t="array" aca="1" ref="P154" ca="1">CONCATENATE(INDIRECT(ADDRESS(1,16,1,0,"KeySet"),0),":","""",valueMaker!P154,"""")</f>
        <v>bikou:""</v>
      </c>
    </row>
    <row r="155" spans="1:16">
      <c r="A155" t="str" cm="1">
        <f t="array" aca="1" ref="A155" ca="1">CONCATENATE(INDIRECT(ADDRESS(1,1,1,0,"KeySet"),0),":","""",valueMaker!A155,"""")</f>
        <v>kainBangou:"TD10154"</v>
      </c>
      <c r="B155" t="str" cm="1">
        <f t="array" aca="1" ref="B155" ca="1">CONCATENATE(INDIRECT(ADDRESS(1,2,1,0,"KeySet"),0),":","""",valueMaker!B155,"""")</f>
        <v>kainMeiKanji:"趙德基"</v>
      </c>
      <c r="C155" t="str" cm="1">
        <f t="array" aca="1" ref="C155" ca="1">CONCATENATE(INDIRECT(ADDRESS(1,3,1,0,"KeySet"),0),":","""",valueMaker!C155,"""")</f>
        <v>kainMeiKana:"ｼﾞｬｵ ﾄﾞｰｧ ｼﾞｰ"</v>
      </c>
      <c r="D155" t="str" cm="1">
        <f t="array" aca="1" ref="D155" ca="1">CONCATENATE(INDIRECT(ADDRESS(1,4,1,0,"KeySet"),0),":","""",valueMaker!D155,"""")</f>
        <v>kainMeiEn:"Zhao De Ji"</v>
      </c>
      <c r="E155" t="str" cm="1">
        <f t="array" aca="1" ref="E155" ca="1">CONCATENATE(INDIRECT(ADDRESS(1,5,1,0,"KeySet"),0),":","""",valueMaker!E155,"""")</f>
        <v>kainGender:"男性"</v>
      </c>
      <c r="F155" t="str" cm="1">
        <f t="array" aca="1" ref="F155" ca="1">CONCATENATE(INDIRECT(ADDRESS(1,6,1,0,"KeySet"),0),":","""",TEXT(valueMaker!F155,"yyyy/m/d"),"""")</f>
        <v>tanjyoubi:"1964/5/23"</v>
      </c>
      <c r="G155" t="str" cm="1">
        <f t="array" aca="1" ref="G155" ca="1">CONCATENATE(INDIRECT(ADDRESS(1,6,1,0,"KeySet"),0),":","""",TEXT(valueMaker!G155,"yyyy/m/d"),"""")</f>
        <v>tanjyoubi:"2020/3/17"</v>
      </c>
      <c r="H155" t="str" cm="1">
        <f t="array" aca="1" ref="H155" ca="1">CONCATENATE(INDIRECT(ADDRESS(1,6,1,0,"KeySet"),0),":","""",TEXT(valueMaker!H155,"yyyy/m/d"),"""")</f>
        <v>tanjyoubi:"2022/3/17"</v>
      </c>
      <c r="I155" t="str" cm="1">
        <f t="array" aca="1" ref="I155" ca="1">CONCATENATE(INDIRECT(ADDRESS(1,9,1,0,"KeySet"),0),":","""",valueMaker!I155,"""")</f>
        <v>denwaBangou:"080-4550-0905"</v>
      </c>
      <c r="J155" t="str" cm="1">
        <f t="array" aca="1" ref="J155" ca="1">CONCATENATE(INDIRECT(ADDRESS(1,10,1,0,"KeySet"),0),":","""",valueMaker!J155,"""")</f>
        <v>mailAddress:"Zhao_De_Ji_43907@outlook.jp.co"</v>
      </c>
      <c r="K155" t="str" cm="1">
        <f t="array" aca="1" ref="K155" ca="1">CONCATENATE(INDIRECT(ADDRESS(1,11,1,0,"KeySet"),0),":","""",valueMaker!K155,"""")</f>
        <v>kaninSyubetu:"高級"</v>
      </c>
      <c r="L155" t="str" cm="1">
        <f t="array" aca="1" ref="L155" ca="1">CONCATENATE(INDIRECT(ADDRESS(1,12,1,0,"KeySet"),0),":","""",valueMaker!L155,"""")</f>
        <v>kaninKengenWB:"-"</v>
      </c>
      <c r="M155" t="str" cm="1">
        <f t="array" aca="1" ref="M155" ca="1">CONCATENATE(INDIRECT(ADDRESS(1,13,1,0,"KeySet"),0),":","""",valueMaker!M155,"""")</f>
        <v>wakibiri:"-"</v>
      </c>
      <c r="N155" t="str" cm="1">
        <f t="array" aca="1" ref="N155" ca="1">CONCATENATE(INDIRECT(ADDRESS(1,14,1,0,"KeySet"),0),":","""",valueMaker!N155,"""")</f>
        <v>kaninKengenPoint:"有り"</v>
      </c>
      <c r="O155" t="str" cm="1">
        <f t="array" aca="1" ref="O155" ca="1">CONCATENATE(INDIRECT(ADDRESS(1,15,1,0,"KeySet"),0),":","""",valueMaker!O155,"""")</f>
        <v>point:"912"</v>
      </c>
      <c r="P155" t="str" cm="1">
        <f t="array" aca="1" ref="P155" ca="1">CONCATENATE(INDIRECT(ADDRESS(1,16,1,0,"KeySet"),0),":","""",valueMaker!P155,"""")</f>
        <v>bikou:""</v>
      </c>
    </row>
    <row r="156" spans="1:16">
      <c r="A156" t="str" cm="1">
        <f t="array" aca="1" ref="A156" ca="1">CONCATENATE(INDIRECT(ADDRESS(1,1,1,0,"KeySet"),0),":","""",valueMaker!A156,"""")</f>
        <v>kainBangou:"TD10155"</v>
      </c>
      <c r="B156" t="str" cm="1">
        <f t="array" aca="1" ref="B156" ca="1">CONCATENATE(INDIRECT(ADDRESS(1,2,1,0,"KeySet"),0),":","""",valueMaker!B156,"""")</f>
        <v>kainMeiKanji:"朱眾碼"</v>
      </c>
      <c r="C156" t="str" cm="1">
        <f t="array" aca="1" ref="C156" ca="1">CONCATENATE(INDIRECT(ADDRESS(1,3,1,0,"KeySet"),0),":","""",valueMaker!C156,"""")</f>
        <v>kainMeiKana:"ｼﾞｭｳ ｼﾞｮｰﾝ ﾏｰ"</v>
      </c>
      <c r="D156" t="str" cm="1">
        <f t="array" aca="1" ref="D156" ca="1">CONCATENATE(INDIRECT(ADDRESS(1,4,1,0,"KeySet"),0),":","""",valueMaker!D156,"""")</f>
        <v>kainMeiEn:"Zhu Zhong Ma"</v>
      </c>
      <c r="E156" t="str" cm="1">
        <f t="array" aca="1" ref="E156" ca="1">CONCATENATE(INDIRECT(ADDRESS(1,5,1,0,"KeySet"),0),":","""",valueMaker!E156,"""")</f>
        <v>kainGender:"男性"</v>
      </c>
      <c r="F156" t="str" cm="1">
        <f t="array" aca="1" ref="F156" ca="1">CONCATENATE(INDIRECT(ADDRESS(1,6,1,0,"KeySet"),0),":","""",TEXT(valueMaker!F156,"yyyy/m/d"),"""")</f>
        <v>tanjyoubi:"1977/10/19"</v>
      </c>
      <c r="G156" t="str" cm="1">
        <f t="array" aca="1" ref="G156" ca="1">CONCATENATE(INDIRECT(ADDRESS(1,6,1,0,"KeySet"),0),":","""",TEXT(valueMaker!G156,"yyyy/m/d"),"""")</f>
        <v>tanjyoubi:"2007/5/3"</v>
      </c>
      <c r="H156" t="str" cm="1">
        <f t="array" aca="1" ref="H156" ca="1">CONCATENATE(INDIRECT(ADDRESS(1,6,1,0,"KeySet"),0),":","""",TEXT(valueMaker!H156,"yyyy/m/d"),"""")</f>
        <v>tanjyoubi:"2010/5/2"</v>
      </c>
      <c r="I156" t="str" cm="1">
        <f t="array" aca="1" ref="I156" ca="1">CONCATENATE(INDIRECT(ADDRESS(1,9,1,0,"KeySet"),0),":","""",valueMaker!I156,"""")</f>
        <v>denwaBangou:"080-6456-0218"</v>
      </c>
      <c r="J156" t="str" cm="1">
        <f t="array" aca="1" ref="J156" ca="1">CONCATENATE(INDIRECT(ADDRESS(1,10,1,0,"KeySet"),0),":","""",valueMaker!J156,"""")</f>
        <v>mailAddress:"Zhu_Zhong_Ma_39205@outlook.jp.co"</v>
      </c>
      <c r="K156" t="str" cm="1">
        <f t="array" aca="1" ref="K156" ca="1">CONCATENATE(INDIRECT(ADDRESS(1,11,1,0,"KeySet"),0),":","""",valueMaker!K156,"""")</f>
        <v>kaninSyubetu:"高級"</v>
      </c>
      <c r="L156" t="str" cm="1">
        <f t="array" aca="1" ref="L156" ca="1">CONCATENATE(INDIRECT(ADDRESS(1,12,1,0,"KeySet"),0),":","""",valueMaker!L156,"""")</f>
        <v>kaninKengenWB:"有り"</v>
      </c>
      <c r="M156" t="str" cm="1">
        <f t="array" aca="1" ref="M156" ca="1">CONCATENATE(INDIRECT(ADDRESS(1,13,1,0,"KeySet"),0),":","""",valueMaker!M156,"""")</f>
        <v>wakibiri:"10%"</v>
      </c>
      <c r="N156" t="str" cm="1">
        <f t="array" aca="1" ref="N156" ca="1">CONCATENATE(INDIRECT(ADDRESS(1,14,1,0,"KeySet"),0),":","""",valueMaker!N156,"""")</f>
        <v>kaninKengenPoint:"有り"</v>
      </c>
      <c r="O156" t="str" cm="1">
        <f t="array" aca="1" ref="O156" ca="1">CONCATENATE(INDIRECT(ADDRESS(1,15,1,0,"KeySet"),0),":","""",valueMaker!O156,"""")</f>
        <v>point:"778"</v>
      </c>
      <c r="P156" t="str" cm="1">
        <f t="array" aca="1" ref="P156" ca="1">CONCATENATE(INDIRECT(ADDRESS(1,16,1,0,"KeySet"),0),":","""",valueMaker!P156,"""")</f>
        <v>bikou:""</v>
      </c>
    </row>
    <row r="157" spans="1:16">
      <c r="A157" t="str" cm="1">
        <f t="array" aca="1" ref="A157" ca="1">CONCATENATE(INDIRECT(ADDRESS(1,1,1,0,"KeySet"),0),":","""",valueMaker!A157,"""")</f>
        <v>kainBangou:"TD10156"</v>
      </c>
      <c r="B157" t="str" cm="1">
        <f t="array" aca="1" ref="B157" ca="1">CONCATENATE(INDIRECT(ADDRESS(1,2,1,0,"KeySet"),0),":","""",valueMaker!B157,"""")</f>
        <v>kainMeiKanji:"朱祖彥"</v>
      </c>
      <c r="C157" t="str" cm="1">
        <f t="array" aca="1" ref="C157" ca="1">CONCATENATE(INDIRECT(ADDRESS(1,3,1,0,"KeySet"),0),":","""",valueMaker!C157,"""")</f>
        <v>kainMeiKana:"ｼﾞｭｳ ｽﾞｩ ｲｴﾝ"</v>
      </c>
      <c r="D157" t="str" cm="1">
        <f t="array" aca="1" ref="D157" ca="1">CONCATENATE(INDIRECT(ADDRESS(1,4,1,0,"KeySet"),0),":","""",valueMaker!D157,"""")</f>
        <v>kainMeiEn:"Zhu Zu Yan"</v>
      </c>
      <c r="E157" t="str" cm="1">
        <f t="array" aca="1" ref="E157" ca="1">CONCATENATE(INDIRECT(ADDRESS(1,5,1,0,"KeySet"),0),":","""",valueMaker!E157,"""")</f>
        <v>kainGender:"女性"</v>
      </c>
      <c r="F157" t="str" cm="1">
        <f t="array" aca="1" ref="F157" ca="1">CONCATENATE(INDIRECT(ADDRESS(1,6,1,0,"KeySet"),0),":","""",TEXT(valueMaker!F157,"yyyy/m/d"),"""")</f>
        <v>tanjyoubi:"1971/8/20"</v>
      </c>
      <c r="G157" t="str" cm="1">
        <f t="array" aca="1" ref="G157" ca="1">CONCATENATE(INDIRECT(ADDRESS(1,6,1,0,"KeySet"),0),":","""",TEXT(valueMaker!G157,"yyyy/m/d"),"""")</f>
        <v>tanjyoubi:"2023/1/8"</v>
      </c>
      <c r="H157" t="str" cm="1">
        <f t="array" aca="1" ref="H157" ca="1">CONCATENATE(INDIRECT(ADDRESS(1,6,1,0,"KeySet"),0),":","""",TEXT(valueMaker!H157,"yyyy/m/d"),"""")</f>
        <v>tanjyoubi:"2025/1/7"</v>
      </c>
      <c r="I157" t="str" cm="1">
        <f t="array" aca="1" ref="I157" ca="1">CONCATENATE(INDIRECT(ADDRESS(1,9,1,0,"KeySet"),0),":","""",valueMaker!I157,"""")</f>
        <v>denwaBangou:"080-5913-4872"</v>
      </c>
      <c r="J157" t="str" cm="1">
        <f t="array" aca="1" ref="J157" ca="1">CONCATENATE(INDIRECT(ADDRESS(1,10,1,0,"KeySet"),0),":","""",valueMaker!J157,"""")</f>
        <v>mailAddress:"Zhu_Zu_Yan_44934@outlook.jp.co"</v>
      </c>
      <c r="K157" t="str" cm="1">
        <f t="array" aca="1" ref="K157" ca="1">CONCATENATE(INDIRECT(ADDRESS(1,11,1,0,"KeySet"),0),":","""",valueMaker!K157,"""")</f>
        <v>kaninSyubetu:"高級"</v>
      </c>
      <c r="L157" t="str" cm="1">
        <f t="array" aca="1" ref="L157" ca="1">CONCATENATE(INDIRECT(ADDRESS(1,12,1,0,"KeySet"),0),":","""",valueMaker!L157,"""")</f>
        <v>kaninKengenWB:"有り"</v>
      </c>
      <c r="M157" t="str" cm="1">
        <f t="array" aca="1" ref="M157" ca="1">CONCATENATE(INDIRECT(ADDRESS(1,13,1,0,"KeySet"),0),":","""",valueMaker!M157,"""")</f>
        <v>wakibiri:"10%"</v>
      </c>
      <c r="N157" t="str" cm="1">
        <f t="array" aca="1" ref="N157" ca="1">CONCATENATE(INDIRECT(ADDRESS(1,14,1,0,"KeySet"),0),":","""",valueMaker!N157,"""")</f>
        <v>kaninKengenPoint:"-"</v>
      </c>
      <c r="O157" t="str" cm="1">
        <f t="array" aca="1" ref="O157" ca="1">CONCATENATE(INDIRECT(ADDRESS(1,15,1,0,"KeySet"),0),":","""",valueMaker!O157,"""")</f>
        <v>point:"-"</v>
      </c>
      <c r="P157" t="str" cm="1">
        <f t="array" aca="1" ref="P157" ca="1">CONCATENATE(INDIRECT(ADDRESS(1,16,1,0,"KeySet"),0),":","""",valueMaker!P157,"""")</f>
        <v>bikou:""</v>
      </c>
    </row>
    <row r="158" spans="1:16">
      <c r="A158" t="str" cm="1">
        <f t="array" aca="1" ref="A158" ca="1">CONCATENATE(INDIRECT(ADDRESS(1,1,1,0,"KeySet"),0),":","""",valueMaker!A158,"""")</f>
        <v>kainBangou:"TD10157"</v>
      </c>
      <c r="B158" t="str" cm="1">
        <f t="array" aca="1" ref="B158" ca="1">CONCATENATE(INDIRECT(ADDRESS(1,2,1,0,"KeySet"),0),":","""",valueMaker!B158,"""")</f>
        <v>kainMeiKanji:"高鋒逸"</v>
      </c>
      <c r="C158" t="str" cm="1">
        <f t="array" aca="1" ref="C158" ca="1">CONCATENATE(INDIRECT(ADDRESS(1,3,1,0,"KeySet"),0),":","""",valueMaker!C158,"""")</f>
        <v>kainMeiKana:"ｶﾞｵ ﾌｵﾝ ｲｰ"</v>
      </c>
      <c r="D158" t="str" cm="1">
        <f t="array" aca="1" ref="D158" ca="1">CONCATENATE(INDIRECT(ADDRESS(1,4,1,0,"KeySet"),0),":","""",valueMaker!D158,"""")</f>
        <v>kainMeiEn:"Gao Feng Yi"</v>
      </c>
      <c r="E158" t="str" cm="1">
        <f t="array" aca="1" ref="E158" ca="1">CONCATENATE(INDIRECT(ADDRESS(1,5,1,0,"KeySet"),0),":","""",valueMaker!E158,"""")</f>
        <v>kainGender:"女性"</v>
      </c>
      <c r="F158" t="str" cm="1">
        <f t="array" aca="1" ref="F158" ca="1">CONCATENATE(INDIRECT(ADDRESS(1,6,1,0,"KeySet"),0),":","""",TEXT(valueMaker!F158,"yyyy/m/d"),"""")</f>
        <v>tanjyoubi:"1972/10/17"</v>
      </c>
      <c r="G158" t="str" cm="1">
        <f t="array" aca="1" ref="G158" ca="1">CONCATENATE(INDIRECT(ADDRESS(1,6,1,0,"KeySet"),0),":","""",TEXT(valueMaker!G158,"yyyy/m/d"),"""")</f>
        <v>tanjyoubi:"2012/7/20"</v>
      </c>
      <c r="H158" t="str" cm="1">
        <f t="array" aca="1" ref="H158" ca="1">CONCATENATE(INDIRECT(ADDRESS(1,6,1,0,"KeySet"),0),":","""",TEXT(valueMaker!H158,"yyyy/m/d"),"""")</f>
        <v>tanjyoubi:"2013/7/20"</v>
      </c>
      <c r="I158" t="str" cm="1">
        <f t="array" aca="1" ref="I158" ca="1">CONCATENATE(INDIRECT(ADDRESS(1,9,1,0,"KeySet"),0),":","""",valueMaker!I158,"""")</f>
        <v>denwaBangou:"090-7969-5697"</v>
      </c>
      <c r="J158" t="str" cm="1">
        <f t="array" aca="1" ref="J158" ca="1">CONCATENATE(INDIRECT(ADDRESS(1,10,1,0,"KeySet"),0),":","""",valueMaker!J158,"""")</f>
        <v>mailAddress:"Gao_Feng_Yi_41110@outlook.jp.co"</v>
      </c>
      <c r="K158" t="str" cm="1">
        <f t="array" aca="1" ref="K158" ca="1">CONCATENATE(INDIRECT(ADDRESS(1,11,1,0,"KeySet"),0),":","""",valueMaker!K158,"""")</f>
        <v>kaninSyubetu:"普通"</v>
      </c>
      <c r="L158" t="str" cm="1">
        <f t="array" aca="1" ref="L158" ca="1">CONCATENATE(INDIRECT(ADDRESS(1,12,1,0,"KeySet"),0),":","""",valueMaker!L158,"""")</f>
        <v>kaninKengenWB:"有り"</v>
      </c>
      <c r="M158" t="str" cm="1">
        <f t="array" aca="1" ref="M158" ca="1">CONCATENATE(INDIRECT(ADDRESS(1,13,1,0,"KeySet"),0),":","""",valueMaker!M158,"""")</f>
        <v>wakibiri:"5%"</v>
      </c>
      <c r="N158" t="str" cm="1">
        <f t="array" aca="1" ref="N158" ca="1">CONCATENATE(INDIRECT(ADDRESS(1,14,1,0,"KeySet"),0),":","""",valueMaker!N158,"""")</f>
        <v>kaninKengenPoint:"有り"</v>
      </c>
      <c r="O158" t="str" cm="1">
        <f t="array" aca="1" ref="O158" ca="1">CONCATENATE(INDIRECT(ADDRESS(1,15,1,0,"KeySet"),0),":","""",valueMaker!O158,"""")</f>
        <v>point:"182"</v>
      </c>
      <c r="P158" t="str" cm="1">
        <f t="array" aca="1" ref="P158" ca="1">CONCATENATE(INDIRECT(ADDRESS(1,16,1,0,"KeySet"),0),":","""",valueMaker!P158,"""")</f>
        <v>bikou:""</v>
      </c>
    </row>
    <row r="159" spans="1:16">
      <c r="A159" t="str" cm="1">
        <f t="array" aca="1" ref="A159" ca="1">CONCATENATE(INDIRECT(ADDRESS(1,1,1,0,"KeySet"),0),":","""",valueMaker!A159,"""")</f>
        <v>kainBangou:"TD10158"</v>
      </c>
      <c r="B159" t="str" cm="1">
        <f t="array" aca="1" ref="B159" ca="1">CONCATENATE(INDIRECT(ADDRESS(1,2,1,0,"KeySet"),0),":","""",valueMaker!B159,"""")</f>
        <v>kainMeiKanji:"于聰晨"</v>
      </c>
      <c r="C159" t="str" cm="1">
        <f t="array" aca="1" ref="C159" ca="1">CONCATENATE(INDIRECT(ADDRESS(1,3,1,0,"KeySet"),0),":","""",valueMaker!C159,"""")</f>
        <v>kainMeiKana:"ﾕｲ ｯｵｰﾝ ﾁｪﾝ"</v>
      </c>
      <c r="D159" t="str" cm="1">
        <f t="array" aca="1" ref="D159" ca="1">CONCATENATE(INDIRECT(ADDRESS(1,4,1,0,"KeySet"),0),":","""",valueMaker!D159,"""")</f>
        <v>kainMeiEn:"Yu Cong Chen"</v>
      </c>
      <c r="E159" t="str" cm="1">
        <f t="array" aca="1" ref="E159" ca="1">CONCATENATE(INDIRECT(ADDRESS(1,5,1,0,"KeySet"),0),":","""",valueMaker!E159,"""")</f>
        <v>kainGender:"男性"</v>
      </c>
      <c r="F159" t="str" cm="1">
        <f t="array" aca="1" ref="F159" ca="1">CONCATENATE(INDIRECT(ADDRESS(1,6,1,0,"KeySet"),0),":","""",TEXT(valueMaker!F159,"yyyy/m/d"),"""")</f>
        <v>tanjyoubi:"2003/11/16"</v>
      </c>
      <c r="G159" t="str" cm="1">
        <f t="array" aca="1" ref="G159" ca="1">CONCATENATE(INDIRECT(ADDRESS(1,6,1,0,"KeySet"),0),":","""",TEXT(valueMaker!G159,"yyyy/m/d"),"""")</f>
        <v>tanjyoubi:"2023/3/25"</v>
      </c>
      <c r="H159" t="str" cm="1">
        <f t="array" aca="1" ref="H159" ca="1">CONCATENATE(INDIRECT(ADDRESS(1,6,1,0,"KeySet"),0),":","""",TEXT(valueMaker!H159,"yyyy/m/d"),"""")</f>
        <v>tanjyoubi:"2024/3/24"</v>
      </c>
      <c r="I159" t="str" cm="1">
        <f t="array" aca="1" ref="I159" ca="1">CONCATENATE(INDIRECT(ADDRESS(1,9,1,0,"KeySet"),0),":","""",valueMaker!I159,"""")</f>
        <v>denwaBangou:"090-2020-0962"</v>
      </c>
      <c r="J159" t="str" cm="1">
        <f t="array" aca="1" ref="J159" ca="1">CONCATENATE(INDIRECT(ADDRESS(1,10,1,0,"KeySet"),0),":","""",valueMaker!J159,"""")</f>
        <v>mailAddress:"Yu_Cong_Chen_45010@outlook.jp.co"</v>
      </c>
      <c r="K159" t="str" cm="1">
        <f t="array" aca="1" ref="K159" ca="1">CONCATENATE(INDIRECT(ADDRESS(1,11,1,0,"KeySet"),0),":","""",valueMaker!K159,"""")</f>
        <v>kaninSyubetu:"普通"</v>
      </c>
      <c r="L159" t="str" cm="1">
        <f t="array" aca="1" ref="L159" ca="1">CONCATENATE(INDIRECT(ADDRESS(1,12,1,0,"KeySet"),0),":","""",valueMaker!L159,"""")</f>
        <v>kaninKengenWB:"有り"</v>
      </c>
      <c r="M159" t="str" cm="1">
        <f t="array" aca="1" ref="M159" ca="1">CONCATENATE(INDIRECT(ADDRESS(1,13,1,0,"KeySet"),0),":","""",valueMaker!M159,"""")</f>
        <v>wakibiri:"5%"</v>
      </c>
      <c r="N159" t="str" cm="1">
        <f t="array" aca="1" ref="N159" ca="1">CONCATENATE(INDIRECT(ADDRESS(1,14,1,0,"KeySet"),0),":","""",valueMaker!N159,"""")</f>
        <v>kaninKengenPoint:"-"</v>
      </c>
      <c r="O159" t="str" cm="1">
        <f t="array" aca="1" ref="O159" ca="1">CONCATENATE(INDIRECT(ADDRESS(1,15,1,0,"KeySet"),0),":","""",valueMaker!O159,"""")</f>
        <v>point:"-"</v>
      </c>
      <c r="P159" t="str" cm="1">
        <f t="array" aca="1" ref="P159" ca="1">CONCATENATE(INDIRECT(ADDRESS(1,16,1,0,"KeySet"),0),":","""",valueMaker!P159,"""")</f>
        <v>bikou:""</v>
      </c>
    </row>
    <row r="160" spans="1:16">
      <c r="A160" t="str" cm="1">
        <f t="array" aca="1" ref="A160" ca="1">CONCATENATE(INDIRECT(ADDRESS(1,1,1,0,"KeySet"),0),":","""",valueMaker!A160,"""")</f>
        <v>kainBangou:"TD10159"</v>
      </c>
      <c r="B160" t="str" cm="1">
        <f t="array" aca="1" ref="B160" ca="1">CONCATENATE(INDIRECT(ADDRESS(1,2,1,0,"KeySet"),0),":","""",valueMaker!B160,"""")</f>
        <v>kainMeiKanji:"周光菏"</v>
      </c>
      <c r="C160" t="str" cm="1">
        <f t="array" aca="1" ref="C160" ca="1">CONCATENATE(INDIRECT(ADDRESS(1,3,1,0,"KeySet"),0),":","""",valueMaker!C160,"""")</f>
        <v>kainMeiKana:"ｼﾞｮｳ ｸﾞﾜｰﾝ ﾎｰｧ"</v>
      </c>
      <c r="D160" t="str" cm="1">
        <f t="array" aca="1" ref="D160" ca="1">CONCATENATE(INDIRECT(ADDRESS(1,4,1,0,"KeySet"),0),":","""",valueMaker!D160,"""")</f>
        <v>kainMeiEn:"Zhou Guang He"</v>
      </c>
      <c r="E160" t="str" cm="1">
        <f t="array" aca="1" ref="E160" ca="1">CONCATENATE(INDIRECT(ADDRESS(1,5,1,0,"KeySet"),0),":","""",valueMaker!E160,"""")</f>
        <v>kainGender:"女性"</v>
      </c>
      <c r="F160" t="str" cm="1">
        <f t="array" aca="1" ref="F160" ca="1">CONCATENATE(INDIRECT(ADDRESS(1,6,1,0,"KeySet"),0),":","""",TEXT(valueMaker!F160,"yyyy/m/d"),"""")</f>
        <v>tanjyoubi:"1984/5/16"</v>
      </c>
      <c r="G160" t="str" cm="1">
        <f t="array" aca="1" ref="G160" ca="1">CONCATENATE(INDIRECT(ADDRESS(1,6,1,0,"KeySet"),0),":","""",TEXT(valueMaker!G160,"yyyy/m/d"),"""")</f>
        <v>tanjyoubi:"2012/12/7"</v>
      </c>
      <c r="H160" t="str" cm="1">
        <f t="array" aca="1" ref="H160" ca="1">CONCATENATE(INDIRECT(ADDRESS(1,6,1,0,"KeySet"),0),":","""",TEXT(valueMaker!H160,"yyyy/m/d"),"""")</f>
        <v>tanjyoubi:"2015/12/7"</v>
      </c>
      <c r="I160" t="str" cm="1">
        <f t="array" aca="1" ref="I160" ca="1">CONCATENATE(INDIRECT(ADDRESS(1,9,1,0,"KeySet"),0),":","""",valueMaker!I160,"""")</f>
        <v>denwaBangou:"080-8475-5530"</v>
      </c>
      <c r="J160" t="str" cm="1">
        <f t="array" aca="1" ref="J160" ca="1">CONCATENATE(INDIRECT(ADDRESS(1,10,1,0,"KeySet"),0),":","""",valueMaker!J160,"""")</f>
        <v>mailAddress:"Zhou_Guang_He_41250@outlook.jp.co"</v>
      </c>
      <c r="K160" t="str" cm="1">
        <f t="array" aca="1" ref="K160" ca="1">CONCATENATE(INDIRECT(ADDRESS(1,11,1,0,"KeySet"),0),":","""",valueMaker!K160,"""")</f>
        <v>kaninSyubetu:"普通"</v>
      </c>
      <c r="L160" t="str" cm="1">
        <f t="array" aca="1" ref="L160" ca="1">CONCATENATE(INDIRECT(ADDRESS(1,12,1,0,"KeySet"),0),":","""",valueMaker!L160,"""")</f>
        <v>kaninKengenWB:"有り"</v>
      </c>
      <c r="M160" t="str" cm="1">
        <f t="array" aca="1" ref="M160" ca="1">CONCATENATE(INDIRECT(ADDRESS(1,13,1,0,"KeySet"),0),":","""",valueMaker!M160,"""")</f>
        <v>wakibiri:"5%"</v>
      </c>
      <c r="N160" t="str" cm="1">
        <f t="array" aca="1" ref="N160" ca="1">CONCATENATE(INDIRECT(ADDRESS(1,14,1,0,"KeySet"),0),":","""",valueMaker!N160,"""")</f>
        <v>kaninKengenPoint:"有り"</v>
      </c>
      <c r="O160" t="str" cm="1">
        <f t="array" aca="1" ref="O160" ca="1">CONCATENATE(INDIRECT(ADDRESS(1,15,1,0,"KeySet"),0),":","""",valueMaker!O160,"""")</f>
        <v>point:"134"</v>
      </c>
      <c r="P160" t="str" cm="1">
        <f t="array" aca="1" ref="P160" ca="1">CONCATENATE(INDIRECT(ADDRESS(1,16,1,0,"KeySet"),0),":","""",valueMaker!P160,"""")</f>
        <v>bikou:""</v>
      </c>
    </row>
    <row r="161" spans="1:16">
      <c r="A161" t="str" cm="1">
        <f t="array" aca="1" ref="A161" ca="1">CONCATENATE(INDIRECT(ADDRESS(1,1,1,0,"KeySet"),0),":","""",valueMaker!A161,"""")</f>
        <v>kainBangou:"TD10160"</v>
      </c>
      <c r="B161" t="str" cm="1">
        <f t="array" aca="1" ref="B161" ca="1">CONCATENATE(INDIRECT(ADDRESS(1,2,1,0,"KeySet"),0),":","""",valueMaker!B161,"""")</f>
        <v>kainMeiKanji:"馬優遷"</v>
      </c>
      <c r="C161" t="str" cm="1">
        <f t="array" aca="1" ref="C161" ca="1">CONCATENATE(INDIRECT(ADDRESS(1,3,1,0,"KeySet"),0),":","""",valueMaker!C161,"""")</f>
        <v>kainMeiKana:"ﾏｰ ﾖｳ ﾁｴﾝ"</v>
      </c>
      <c r="D161" t="str" cm="1">
        <f t="array" aca="1" ref="D161" ca="1">CONCATENATE(INDIRECT(ADDRESS(1,4,1,0,"KeySet"),0),":","""",valueMaker!D161,"""")</f>
        <v>kainMeiEn:"Ma You Qian"</v>
      </c>
      <c r="E161" t="str" cm="1">
        <f t="array" aca="1" ref="E161" ca="1">CONCATENATE(INDIRECT(ADDRESS(1,5,1,0,"KeySet"),0),":","""",valueMaker!E161,"""")</f>
        <v>kainGender:"-"</v>
      </c>
      <c r="F161" t="str" cm="1">
        <f t="array" aca="1" ref="F161" ca="1">CONCATENATE(INDIRECT(ADDRESS(1,6,1,0,"KeySet"),0),":","""",TEXT(valueMaker!F161,"yyyy/m/d"),"""")</f>
        <v>tanjyoubi:"1986/1/3"</v>
      </c>
      <c r="G161" t="str" cm="1">
        <f t="array" aca="1" ref="G161" ca="1">CONCATENATE(INDIRECT(ADDRESS(1,6,1,0,"KeySet"),0),":","""",TEXT(valueMaker!G161,"yyyy/m/d"),"""")</f>
        <v>tanjyoubi:"2004/1/29"</v>
      </c>
      <c r="H161" t="str" cm="1">
        <f t="array" aca="1" ref="H161" ca="1">CONCATENATE(INDIRECT(ADDRESS(1,6,1,0,"KeySet"),0),":","""",TEXT(valueMaker!H161,"yyyy/m/d"),"""")</f>
        <v>tanjyoubi:"2005/1/28"</v>
      </c>
      <c r="I161" t="str" cm="1">
        <f t="array" aca="1" ref="I161" ca="1">CONCATENATE(INDIRECT(ADDRESS(1,9,1,0,"KeySet"),0),":","""",valueMaker!I161,"""")</f>
        <v>denwaBangou:"080-9694-2461"</v>
      </c>
      <c r="J161" t="str" cm="1">
        <f t="array" aca="1" ref="J161" ca="1">CONCATENATE(INDIRECT(ADDRESS(1,10,1,0,"KeySet"),0),":","""",valueMaker!J161,"""")</f>
        <v>mailAddress:"Ma_You_Qian_38015@outlook.jp.co"</v>
      </c>
      <c r="K161" t="str" cm="1">
        <f t="array" aca="1" ref="K161" ca="1">CONCATENATE(INDIRECT(ADDRESS(1,11,1,0,"KeySet"),0),":","""",valueMaker!K161,"""")</f>
        <v>kaninSyubetu:"普通"</v>
      </c>
      <c r="L161" t="str" cm="1">
        <f t="array" aca="1" ref="L161" ca="1">CONCATENATE(INDIRECT(ADDRESS(1,12,1,0,"KeySet"),0),":","""",valueMaker!L161,"""")</f>
        <v>kaninKengenWB:"有り"</v>
      </c>
      <c r="M161" t="str" cm="1">
        <f t="array" aca="1" ref="M161" ca="1">CONCATENATE(INDIRECT(ADDRESS(1,13,1,0,"KeySet"),0),":","""",valueMaker!M161,"""")</f>
        <v>wakibiri:"5%"</v>
      </c>
      <c r="N161" t="str" cm="1">
        <f t="array" aca="1" ref="N161" ca="1">CONCATENATE(INDIRECT(ADDRESS(1,14,1,0,"KeySet"),0),":","""",valueMaker!N161,"""")</f>
        <v>kaninKengenPoint:"有り"</v>
      </c>
      <c r="O161" t="str" cm="1">
        <f t="array" aca="1" ref="O161" ca="1">CONCATENATE(INDIRECT(ADDRESS(1,15,1,0,"KeySet"),0),":","""",valueMaker!O161,"""")</f>
        <v>point:"887"</v>
      </c>
      <c r="P161" t="str" cm="1">
        <f t="array" aca="1" ref="P161" ca="1">CONCATENATE(INDIRECT(ADDRESS(1,16,1,0,"KeySet"),0),":","""",valueMaker!P161,"""")</f>
        <v>bikou:""</v>
      </c>
    </row>
    <row r="162" spans="1:16">
      <c r="A162" t="str" cm="1">
        <f t="array" aca="1" ref="A162" ca="1">CONCATENATE(INDIRECT(ADDRESS(1,1,1,0,"KeySet"),0),":","""",valueMaker!A162,"""")</f>
        <v>kainBangou:"TD10161"</v>
      </c>
      <c r="B162" t="str" cm="1">
        <f t="array" aca="1" ref="B162" ca="1">CONCATENATE(INDIRECT(ADDRESS(1,2,1,0,"KeySet"),0),":","""",valueMaker!B162,"""")</f>
        <v>kainMeiKanji:"林彥臨"</v>
      </c>
      <c r="C162" t="str" cm="1">
        <f t="array" aca="1" ref="C162" ca="1">CONCATENATE(INDIRECT(ADDRESS(1,3,1,0,"KeySet"),0),":","""",valueMaker!C162,"""")</f>
        <v>kainMeiKana:"ﾘﾝ ｲｴﾝ ﾘﾝ"</v>
      </c>
      <c r="D162" t="str" cm="1">
        <f t="array" aca="1" ref="D162" ca="1">CONCATENATE(INDIRECT(ADDRESS(1,4,1,0,"KeySet"),0),":","""",valueMaker!D162,"""")</f>
        <v>kainMeiEn:"Lin Yan Lin"</v>
      </c>
      <c r="E162" t="str" cm="1">
        <f t="array" aca="1" ref="E162" ca="1">CONCATENATE(INDIRECT(ADDRESS(1,5,1,0,"KeySet"),0),":","""",valueMaker!E162,"""")</f>
        <v>kainGender:"男性"</v>
      </c>
      <c r="F162" t="str" cm="1">
        <f t="array" aca="1" ref="F162" ca="1">CONCATENATE(INDIRECT(ADDRESS(1,6,1,0,"KeySet"),0),":","""",TEXT(valueMaker!F162,"yyyy/m/d"),"""")</f>
        <v>tanjyoubi:"1994/12/2"</v>
      </c>
      <c r="G162" t="str" cm="1">
        <f t="array" aca="1" ref="G162" ca="1">CONCATENATE(INDIRECT(ADDRESS(1,6,1,0,"KeySet"),0),":","""",TEXT(valueMaker!G162,"yyyy/m/d"),"""")</f>
        <v>tanjyoubi:"2017/12/25"</v>
      </c>
      <c r="H162" t="str" cm="1">
        <f t="array" aca="1" ref="H162" ca="1">CONCATENATE(INDIRECT(ADDRESS(1,6,1,0,"KeySet"),0),":","""",TEXT(valueMaker!H162,"yyyy/m/d"),"""")</f>
        <v>tanjyoubi:"2020/12/24"</v>
      </c>
      <c r="I162" t="str" cm="1">
        <f t="array" aca="1" ref="I162" ca="1">CONCATENATE(INDIRECT(ADDRESS(1,9,1,0,"KeySet"),0),":","""",valueMaker!I162,"""")</f>
        <v>denwaBangou:"090-1780-2856"</v>
      </c>
      <c r="J162" t="str" cm="1">
        <f t="array" aca="1" ref="J162" ca="1">CONCATENATE(INDIRECT(ADDRESS(1,10,1,0,"KeySet"),0),":","""",valueMaker!J162,"""")</f>
        <v>mailAddress:"Lin_Yan_Lin_43094@outlook.jp.co"</v>
      </c>
      <c r="K162" t="str" cm="1">
        <f t="array" aca="1" ref="K162" ca="1">CONCATENATE(INDIRECT(ADDRESS(1,11,1,0,"KeySet"),0),":","""",valueMaker!K162,"""")</f>
        <v>kaninSyubetu:"高級"</v>
      </c>
      <c r="L162" t="str" cm="1">
        <f t="array" aca="1" ref="L162" ca="1">CONCATENATE(INDIRECT(ADDRESS(1,12,1,0,"KeySet"),0),":","""",valueMaker!L162,"""")</f>
        <v>kaninKengenWB:"有り"</v>
      </c>
      <c r="M162" t="str" cm="1">
        <f t="array" aca="1" ref="M162" ca="1">CONCATENATE(INDIRECT(ADDRESS(1,13,1,0,"KeySet"),0),":","""",valueMaker!M162,"""")</f>
        <v>wakibiri:"10%"</v>
      </c>
      <c r="N162" t="str" cm="1">
        <f t="array" aca="1" ref="N162" ca="1">CONCATENATE(INDIRECT(ADDRESS(1,14,1,0,"KeySet"),0),":","""",valueMaker!N162,"""")</f>
        <v>kaninKengenPoint:"-"</v>
      </c>
      <c r="O162" t="str" cm="1">
        <f t="array" aca="1" ref="O162" ca="1">CONCATENATE(INDIRECT(ADDRESS(1,15,1,0,"KeySet"),0),":","""",valueMaker!O162,"""")</f>
        <v>point:"-"</v>
      </c>
      <c r="P162" t="str" cm="1">
        <f t="array" aca="1" ref="P162" ca="1">CONCATENATE(INDIRECT(ADDRESS(1,16,1,0,"KeySet"),0),":","""",valueMaker!P162,"""")</f>
        <v>bikou:""</v>
      </c>
    </row>
    <row r="163" spans="1:16">
      <c r="A163" t="str" cm="1">
        <f t="array" aca="1" ref="A163" ca="1">CONCATENATE(INDIRECT(ADDRESS(1,1,1,0,"KeySet"),0),":","""",valueMaker!A163,"""")</f>
        <v>kainBangou:"TD10162"</v>
      </c>
      <c r="B163" t="str" cm="1">
        <f t="array" aca="1" ref="B163" ca="1">CONCATENATE(INDIRECT(ADDRESS(1,2,1,0,"KeySet"),0),":","""",valueMaker!B163,"""")</f>
        <v>kainMeiKanji:"馮哲巧"</v>
      </c>
      <c r="C163" t="str" cm="1">
        <f t="array" aca="1" ref="C163" ca="1">CONCATENATE(INDIRECT(ADDRESS(1,3,1,0,"KeySet"),0),":","""",valueMaker!C163,"""")</f>
        <v>kainMeiKana:"ﾌｵﾝ ｼﾞｮｰｧ ﾁﾔｵ"</v>
      </c>
      <c r="D163" t="str" cm="1">
        <f t="array" aca="1" ref="D163" ca="1">CONCATENATE(INDIRECT(ADDRESS(1,4,1,0,"KeySet"),0),":","""",valueMaker!D163,"""")</f>
        <v>kainMeiEn:"Feng Zhe Qiao"</v>
      </c>
      <c r="E163" t="str" cm="1">
        <f t="array" aca="1" ref="E163" ca="1">CONCATENATE(INDIRECT(ADDRESS(1,5,1,0,"KeySet"),0),":","""",valueMaker!E163,"""")</f>
        <v>kainGender:"女性"</v>
      </c>
      <c r="F163" t="str" cm="1">
        <f t="array" aca="1" ref="F163" ca="1">CONCATENATE(INDIRECT(ADDRESS(1,6,1,0,"KeySet"),0),":","""",TEXT(valueMaker!F163,"yyyy/m/d"),"""")</f>
        <v>tanjyoubi:"2001/2/2"</v>
      </c>
      <c r="G163" t="str" cm="1">
        <f t="array" aca="1" ref="G163" ca="1">CONCATENATE(INDIRECT(ADDRESS(1,6,1,0,"KeySet"),0),":","""",TEXT(valueMaker!G163,"yyyy/m/d"),"""")</f>
        <v>tanjyoubi:"2020/6/10"</v>
      </c>
      <c r="H163" t="str" cm="1">
        <f t="array" aca="1" ref="H163" ca="1">CONCATENATE(INDIRECT(ADDRESS(1,6,1,0,"KeySet"),0),":","""",TEXT(valueMaker!H163,"yyyy/m/d"),"""")</f>
        <v>tanjyoubi:"2023/6/10"</v>
      </c>
      <c r="I163" t="str" cm="1">
        <f t="array" aca="1" ref="I163" ca="1">CONCATENATE(INDIRECT(ADDRESS(1,9,1,0,"KeySet"),0),":","""",valueMaker!I163,"""")</f>
        <v>denwaBangou:"090-8955-4333"</v>
      </c>
      <c r="J163" t="str" cm="1">
        <f t="array" aca="1" ref="J163" ca="1">CONCATENATE(INDIRECT(ADDRESS(1,10,1,0,"KeySet"),0),":","""",valueMaker!J163,"""")</f>
        <v>mailAddress:"Feng_Zhe_Qiao_43992@outlook.jp.co"</v>
      </c>
      <c r="K163" t="str" cm="1">
        <f t="array" aca="1" ref="K163" ca="1">CONCATENATE(INDIRECT(ADDRESS(1,11,1,0,"KeySet"),0),":","""",valueMaker!K163,"""")</f>
        <v>kaninSyubetu:"高級"</v>
      </c>
      <c r="L163" t="str" cm="1">
        <f t="array" aca="1" ref="L163" ca="1">CONCATENATE(INDIRECT(ADDRESS(1,12,1,0,"KeySet"),0),":","""",valueMaker!L163,"""")</f>
        <v>kaninKengenWB:"有り"</v>
      </c>
      <c r="M163" t="str" cm="1">
        <f t="array" aca="1" ref="M163" ca="1">CONCATENATE(INDIRECT(ADDRESS(1,13,1,0,"KeySet"),0),":","""",valueMaker!M163,"""")</f>
        <v>wakibiri:"10%"</v>
      </c>
      <c r="N163" t="str" cm="1">
        <f t="array" aca="1" ref="N163" ca="1">CONCATENATE(INDIRECT(ADDRESS(1,14,1,0,"KeySet"),0),":","""",valueMaker!N163,"""")</f>
        <v>kaninKengenPoint:"-"</v>
      </c>
      <c r="O163" t="str" cm="1">
        <f t="array" aca="1" ref="O163" ca="1">CONCATENATE(INDIRECT(ADDRESS(1,15,1,0,"KeySet"),0),":","""",valueMaker!O163,"""")</f>
        <v>point:"-"</v>
      </c>
      <c r="P163" t="str" cm="1">
        <f t="array" aca="1" ref="P163" ca="1">CONCATENATE(INDIRECT(ADDRESS(1,16,1,0,"KeySet"),0),":","""",valueMaker!P163,"""")</f>
        <v>bikou:""</v>
      </c>
    </row>
    <row r="164" spans="1:16">
      <c r="A164" t="str" cm="1">
        <f t="array" aca="1" ref="A164" ca="1">CONCATENATE(INDIRECT(ADDRESS(1,1,1,0,"KeySet"),0),":","""",valueMaker!A164,"""")</f>
        <v>kainBangou:"TD10163"</v>
      </c>
      <c r="B164" t="str" cm="1">
        <f t="array" aca="1" ref="B164" ca="1">CONCATENATE(INDIRECT(ADDRESS(1,2,1,0,"KeySet"),0),":","""",valueMaker!B164,"""")</f>
        <v>kainMeiKanji:"朱巍竹"</v>
      </c>
      <c r="C164" t="str" cm="1">
        <f t="array" aca="1" ref="C164" ca="1">CONCATENATE(INDIRECT(ADDRESS(1,3,1,0,"KeySet"),0),":","""",valueMaker!C164,"""")</f>
        <v>kainMeiKana:"ｼﾞｭｳ ｳｴｲ ｼﾞｭｳ"</v>
      </c>
      <c r="D164" t="str" cm="1">
        <f t="array" aca="1" ref="D164" ca="1">CONCATENATE(INDIRECT(ADDRESS(1,4,1,0,"KeySet"),0),":","""",valueMaker!D164,"""")</f>
        <v>kainMeiEn:"Zhu Wei Zhu"</v>
      </c>
      <c r="E164" t="str" cm="1">
        <f t="array" aca="1" ref="E164" ca="1">CONCATENATE(INDIRECT(ADDRESS(1,5,1,0,"KeySet"),0),":","""",valueMaker!E164,"""")</f>
        <v>kainGender:"男性"</v>
      </c>
      <c r="F164" t="str" cm="1">
        <f t="array" aca="1" ref="F164" ca="1">CONCATENATE(INDIRECT(ADDRESS(1,6,1,0,"KeySet"),0),":","""",TEXT(valueMaker!F164,"yyyy/m/d"),"""")</f>
        <v>tanjyoubi:"1960/5/7"</v>
      </c>
      <c r="G164" t="str" cm="1">
        <f t="array" aca="1" ref="G164" ca="1">CONCATENATE(INDIRECT(ADDRESS(1,6,1,0,"KeySet"),0),":","""",TEXT(valueMaker!G164,"yyyy/m/d"),"""")</f>
        <v>tanjyoubi:"1978/6/30"</v>
      </c>
      <c r="H164" t="str" cm="1">
        <f t="array" aca="1" ref="H164" ca="1">CONCATENATE(INDIRECT(ADDRESS(1,6,1,0,"KeySet"),0),":","""",TEXT(valueMaker!H164,"yyyy/m/d"),"""")</f>
        <v>tanjyoubi:"1979/6/30"</v>
      </c>
      <c r="I164" t="str" cm="1">
        <f t="array" aca="1" ref="I164" ca="1">CONCATENATE(INDIRECT(ADDRESS(1,9,1,0,"KeySet"),0),":","""",valueMaker!I164,"""")</f>
        <v>denwaBangou:"090-8857-6223"</v>
      </c>
      <c r="J164" t="str" cm="1">
        <f t="array" aca="1" ref="J164" ca="1">CONCATENATE(INDIRECT(ADDRESS(1,10,1,0,"KeySet"),0),":","""",valueMaker!J164,"""")</f>
        <v>mailAddress:"Zhu_Wei_Zhu_28671@outlook.jp.co"</v>
      </c>
      <c r="K164" t="str" cm="1">
        <f t="array" aca="1" ref="K164" ca="1">CONCATENATE(INDIRECT(ADDRESS(1,11,1,0,"KeySet"),0),":","""",valueMaker!K164,"""")</f>
        <v>kaninSyubetu:"普通"</v>
      </c>
      <c r="L164" t="str" cm="1">
        <f t="array" aca="1" ref="L164" ca="1">CONCATENATE(INDIRECT(ADDRESS(1,12,1,0,"KeySet"),0),":","""",valueMaker!L164,"""")</f>
        <v>kaninKengenWB:"-"</v>
      </c>
      <c r="M164" t="str" cm="1">
        <f t="array" aca="1" ref="M164" ca="1">CONCATENATE(INDIRECT(ADDRESS(1,13,1,0,"KeySet"),0),":","""",valueMaker!M164,"""")</f>
        <v>wakibiri:"-"</v>
      </c>
      <c r="N164" t="str" cm="1">
        <f t="array" aca="1" ref="N164" ca="1">CONCATENATE(INDIRECT(ADDRESS(1,14,1,0,"KeySet"),0),":","""",valueMaker!N164,"""")</f>
        <v>kaninKengenPoint:"有り"</v>
      </c>
      <c r="O164" t="str" cm="1">
        <f t="array" aca="1" ref="O164" ca="1">CONCATENATE(INDIRECT(ADDRESS(1,15,1,0,"KeySet"),0),":","""",valueMaker!O164,"""")</f>
        <v>point:"3"</v>
      </c>
      <c r="P164" t="str" cm="1">
        <f t="array" aca="1" ref="P164" ca="1">CONCATENATE(INDIRECT(ADDRESS(1,16,1,0,"KeySet"),0),":","""",valueMaker!P164,"""")</f>
        <v>bikou:""</v>
      </c>
    </row>
    <row r="165" spans="1:16">
      <c r="A165" t="str" cm="1">
        <f t="array" aca="1" ref="A165" ca="1">CONCATENATE(INDIRECT(ADDRESS(1,1,1,0,"KeySet"),0),":","""",valueMaker!A165,"""")</f>
        <v>kainBangou:"TD10164"</v>
      </c>
      <c r="B165" t="str" cm="1">
        <f t="array" aca="1" ref="B165" ca="1">CONCATENATE(INDIRECT(ADDRESS(1,2,1,0,"KeySet"),0),":","""",valueMaker!B165,"""")</f>
        <v>kainMeiKanji:"林彥達"</v>
      </c>
      <c r="C165" t="str" cm="1">
        <f t="array" aca="1" ref="C165" ca="1">CONCATENATE(INDIRECT(ADDRESS(1,3,1,0,"KeySet"),0),":","""",valueMaker!C165,"""")</f>
        <v>kainMeiKana:"ﾘﾝ ｲｴﾝ ﾀﾞｰ"</v>
      </c>
      <c r="D165" t="str" cm="1">
        <f t="array" aca="1" ref="D165" ca="1">CONCATENATE(INDIRECT(ADDRESS(1,4,1,0,"KeySet"),0),":","""",valueMaker!D165,"""")</f>
        <v>kainMeiEn:"Lin Yan Da"</v>
      </c>
      <c r="E165" t="str" cm="1">
        <f t="array" aca="1" ref="E165" ca="1">CONCATENATE(INDIRECT(ADDRESS(1,5,1,0,"KeySet"),0),":","""",valueMaker!E165,"""")</f>
        <v>kainGender:"女性"</v>
      </c>
      <c r="F165" t="str" cm="1">
        <f t="array" aca="1" ref="F165" ca="1">CONCATENATE(INDIRECT(ADDRESS(1,6,1,0,"KeySet"),0),":","""",TEXT(valueMaker!F165,"yyyy/m/d"),"""")</f>
        <v>tanjyoubi:"1970/9/4"</v>
      </c>
      <c r="G165" t="str" cm="1">
        <f t="array" aca="1" ref="G165" ca="1">CONCATENATE(INDIRECT(ADDRESS(1,6,1,0,"KeySet"),0),":","""",TEXT(valueMaker!G165,"yyyy/m/d"),"""")</f>
        <v>tanjyoubi:"2019/12/27"</v>
      </c>
      <c r="H165" t="str" cm="1">
        <f t="array" aca="1" ref="H165" ca="1">CONCATENATE(INDIRECT(ADDRESS(1,6,1,0,"KeySet"),0),":","""",TEXT(valueMaker!H165,"yyyy/m/d"),"""")</f>
        <v>tanjyoubi:"2021/12/26"</v>
      </c>
      <c r="I165" t="str" cm="1">
        <f t="array" aca="1" ref="I165" ca="1">CONCATENATE(INDIRECT(ADDRESS(1,9,1,0,"KeySet"),0),":","""",valueMaker!I165,"""")</f>
        <v>denwaBangou:"080-3236-9116"</v>
      </c>
      <c r="J165" t="str" cm="1">
        <f t="array" aca="1" ref="J165" ca="1">CONCATENATE(INDIRECT(ADDRESS(1,10,1,0,"KeySet"),0),":","""",valueMaker!J165,"""")</f>
        <v>mailAddress:"Lin_Yan_Da_43826@outlook.jp.co"</v>
      </c>
      <c r="K165" t="str" cm="1">
        <f t="array" aca="1" ref="K165" ca="1">CONCATENATE(INDIRECT(ADDRESS(1,11,1,0,"KeySet"),0),":","""",valueMaker!K165,"""")</f>
        <v>kaninSyubetu:"普通"</v>
      </c>
      <c r="L165" t="str" cm="1">
        <f t="array" aca="1" ref="L165" ca="1">CONCATENATE(INDIRECT(ADDRESS(1,12,1,0,"KeySet"),0),":","""",valueMaker!L165,"""")</f>
        <v>kaninKengenWB:"有り"</v>
      </c>
      <c r="M165" t="str" cm="1">
        <f t="array" aca="1" ref="M165" ca="1">CONCATENATE(INDIRECT(ADDRESS(1,13,1,0,"KeySet"),0),":","""",valueMaker!M165,"""")</f>
        <v>wakibiri:"5%"</v>
      </c>
      <c r="N165" t="str" cm="1">
        <f t="array" aca="1" ref="N165" ca="1">CONCATENATE(INDIRECT(ADDRESS(1,14,1,0,"KeySet"),0),":","""",valueMaker!N165,"""")</f>
        <v>kaninKengenPoint:"有り"</v>
      </c>
      <c r="O165" t="str" cm="1">
        <f t="array" aca="1" ref="O165" ca="1">CONCATENATE(INDIRECT(ADDRESS(1,15,1,0,"KeySet"),0),":","""",valueMaker!O165,"""")</f>
        <v>point:"576"</v>
      </c>
      <c r="P165" t="str" cm="1">
        <f t="array" aca="1" ref="P165" ca="1">CONCATENATE(INDIRECT(ADDRESS(1,16,1,0,"KeySet"),0),":","""",valueMaker!P165,"""")</f>
        <v>bikou:""</v>
      </c>
    </row>
    <row r="166" spans="1:16">
      <c r="A166" t="str" cm="1">
        <f t="array" aca="1" ref="A166" ca="1">CONCATENATE(INDIRECT(ADDRESS(1,1,1,0,"KeySet"),0),":","""",valueMaker!A166,"""")</f>
        <v>kainBangou:"TD10165"</v>
      </c>
      <c r="B166" t="str" cm="1">
        <f t="array" aca="1" ref="B166" ca="1">CONCATENATE(INDIRECT(ADDRESS(1,2,1,0,"KeySet"),0),":","""",valueMaker!B166,"""")</f>
        <v>kainMeiKanji:"朱忠本"</v>
      </c>
      <c r="C166" t="str" cm="1">
        <f t="array" aca="1" ref="C166" ca="1">CONCATENATE(INDIRECT(ADDRESS(1,3,1,0,"KeySet"),0),":","""",valueMaker!C166,"""")</f>
        <v>kainMeiKana:"ｼﾞｭｳ ｼﾞｮｰﾝ ﾍﾞﾝ"</v>
      </c>
      <c r="D166" t="str" cm="1">
        <f t="array" aca="1" ref="D166" ca="1">CONCATENATE(INDIRECT(ADDRESS(1,4,1,0,"KeySet"),0),":","""",valueMaker!D166,"""")</f>
        <v>kainMeiEn:"Zhu Zhong Ben"</v>
      </c>
      <c r="E166" t="str" cm="1">
        <f t="array" aca="1" ref="E166" ca="1">CONCATENATE(INDIRECT(ADDRESS(1,5,1,0,"KeySet"),0),":","""",valueMaker!E166,"""")</f>
        <v>kainGender:"女性"</v>
      </c>
      <c r="F166" t="str" cm="1">
        <f t="array" aca="1" ref="F166" ca="1">CONCATENATE(INDIRECT(ADDRESS(1,6,1,0,"KeySet"),0),":","""",TEXT(valueMaker!F166,"yyyy/m/d"),"""")</f>
        <v>tanjyoubi:"1964/8/28"</v>
      </c>
      <c r="G166" t="str" cm="1">
        <f t="array" aca="1" ref="G166" ca="1">CONCATENATE(INDIRECT(ADDRESS(1,6,1,0,"KeySet"),0),":","""",TEXT(valueMaker!G166,"yyyy/m/d"),"""")</f>
        <v>tanjyoubi:"2015/3/1"</v>
      </c>
      <c r="H166" t="str" cm="1">
        <f t="array" aca="1" ref="H166" ca="1">CONCATENATE(INDIRECT(ADDRESS(1,6,1,0,"KeySet"),0),":","""",TEXT(valueMaker!H166,"yyyy/m/d"),"""")</f>
        <v>tanjyoubi:"2018/2/28"</v>
      </c>
      <c r="I166" t="str" cm="1">
        <f t="array" aca="1" ref="I166" ca="1">CONCATENATE(INDIRECT(ADDRESS(1,9,1,0,"KeySet"),0),":","""",valueMaker!I166,"""")</f>
        <v>denwaBangou:"090-6528-7090"</v>
      </c>
      <c r="J166" t="str" cm="1">
        <f t="array" aca="1" ref="J166" ca="1">CONCATENATE(INDIRECT(ADDRESS(1,10,1,0,"KeySet"),0),":","""",valueMaker!J166,"""")</f>
        <v>mailAddress:"Zhu_Zhong_Ben_42064@outlook.jp.co"</v>
      </c>
      <c r="K166" t="str" cm="1">
        <f t="array" aca="1" ref="K166" ca="1">CONCATENATE(INDIRECT(ADDRESS(1,11,1,0,"KeySet"),0),":","""",valueMaker!K166,"""")</f>
        <v>kaninSyubetu:"普通"</v>
      </c>
      <c r="L166" t="str" cm="1">
        <f t="array" aca="1" ref="L166" ca="1">CONCATENATE(INDIRECT(ADDRESS(1,12,1,0,"KeySet"),0),":","""",valueMaker!L166,"""")</f>
        <v>kaninKengenWB:"有り"</v>
      </c>
      <c r="M166" t="str" cm="1">
        <f t="array" aca="1" ref="M166" ca="1">CONCATENATE(INDIRECT(ADDRESS(1,13,1,0,"KeySet"),0),":","""",valueMaker!M166,"""")</f>
        <v>wakibiri:"5%"</v>
      </c>
      <c r="N166" t="str" cm="1">
        <f t="array" aca="1" ref="N166" ca="1">CONCATENATE(INDIRECT(ADDRESS(1,14,1,0,"KeySet"),0),":","""",valueMaker!N166,"""")</f>
        <v>kaninKengenPoint:"有り"</v>
      </c>
      <c r="O166" t="str" cm="1">
        <f t="array" aca="1" ref="O166" ca="1">CONCATENATE(INDIRECT(ADDRESS(1,15,1,0,"KeySet"),0),":","""",valueMaker!O166,"""")</f>
        <v>point:"182"</v>
      </c>
      <c r="P166" t="str" cm="1">
        <f t="array" aca="1" ref="P166" ca="1">CONCATENATE(INDIRECT(ADDRESS(1,16,1,0,"KeySet"),0),":","""",valueMaker!P166,"""")</f>
        <v>bikou:""</v>
      </c>
    </row>
    <row r="167" spans="1:16">
      <c r="A167" t="str" cm="1">
        <f t="array" aca="1" ref="A167" ca="1">CONCATENATE(INDIRECT(ADDRESS(1,1,1,0,"KeySet"),0),":","""",valueMaker!A167,"""")</f>
        <v>kainBangou:"TD10166"</v>
      </c>
      <c r="B167" t="str" cm="1">
        <f t="array" aca="1" ref="B167" ca="1">CONCATENATE(INDIRECT(ADDRESS(1,2,1,0,"KeySet"),0),":","""",valueMaker!B167,"""")</f>
        <v>kainMeiKanji:"唐影真"</v>
      </c>
      <c r="C167" t="str" cm="1">
        <f t="array" aca="1" ref="C167" ca="1">CONCATENATE(INDIRECT(ADDRESS(1,3,1,0,"KeySet"),0),":","""",valueMaker!C167,"""")</f>
        <v>kainMeiKana:"ﾀｰﾝ ｲｰﾝ ｼﾞｪﾝ"</v>
      </c>
      <c r="D167" t="str" cm="1">
        <f t="array" aca="1" ref="D167" ca="1">CONCATENATE(INDIRECT(ADDRESS(1,4,1,0,"KeySet"),0),":","""",valueMaker!D167,"""")</f>
        <v>kainMeiEn:"Tang Ying Zhen"</v>
      </c>
      <c r="E167" t="str" cm="1">
        <f t="array" aca="1" ref="E167" ca="1">CONCATENATE(INDIRECT(ADDRESS(1,5,1,0,"KeySet"),0),":","""",valueMaker!E167,"""")</f>
        <v>kainGender:"男性"</v>
      </c>
      <c r="F167" t="str" cm="1">
        <f t="array" aca="1" ref="F167" ca="1">CONCATENATE(INDIRECT(ADDRESS(1,6,1,0,"KeySet"),0),":","""",TEXT(valueMaker!F167,"yyyy/m/d"),"""")</f>
        <v>tanjyoubi:"1985/1/10"</v>
      </c>
      <c r="G167" t="str" cm="1">
        <f t="array" aca="1" ref="G167" ca="1">CONCATENATE(INDIRECT(ADDRESS(1,6,1,0,"KeySet"),0),":","""",TEXT(valueMaker!G167,"yyyy/m/d"),"""")</f>
        <v>tanjyoubi:"2004/6/2"</v>
      </c>
      <c r="H167" t="str" cm="1">
        <f t="array" aca="1" ref="H167" ca="1">CONCATENATE(INDIRECT(ADDRESS(1,6,1,0,"KeySet"),0),":","""",TEXT(valueMaker!H167,"yyyy/m/d"),"""")</f>
        <v>tanjyoubi:"2006/6/2"</v>
      </c>
      <c r="I167" t="str" cm="1">
        <f t="array" aca="1" ref="I167" ca="1">CONCATENATE(INDIRECT(ADDRESS(1,9,1,0,"KeySet"),0),":","""",valueMaker!I167,"""")</f>
        <v>denwaBangou:"080-3372-9286"</v>
      </c>
      <c r="J167" t="str" cm="1">
        <f t="array" aca="1" ref="J167" ca="1">CONCATENATE(INDIRECT(ADDRESS(1,10,1,0,"KeySet"),0),":","""",valueMaker!J167,"""")</f>
        <v>mailAddress:"Tang_Ying_Zhen_38140@outlook.jp.co"</v>
      </c>
      <c r="K167" t="str" cm="1">
        <f t="array" aca="1" ref="K167" ca="1">CONCATENATE(INDIRECT(ADDRESS(1,11,1,0,"KeySet"),0),":","""",valueMaker!K167,"""")</f>
        <v>kaninSyubetu:"普通"</v>
      </c>
      <c r="L167" t="str" cm="1">
        <f t="array" aca="1" ref="L167" ca="1">CONCATENATE(INDIRECT(ADDRESS(1,12,1,0,"KeySet"),0),":","""",valueMaker!L167,"""")</f>
        <v>kaninKengenWB:"-"</v>
      </c>
      <c r="M167" t="str" cm="1">
        <f t="array" aca="1" ref="M167" ca="1">CONCATENATE(INDIRECT(ADDRESS(1,13,1,0,"KeySet"),0),":","""",valueMaker!M167,"""")</f>
        <v>wakibiri:"-"</v>
      </c>
      <c r="N167" t="str" cm="1">
        <f t="array" aca="1" ref="N167" ca="1">CONCATENATE(INDIRECT(ADDRESS(1,14,1,0,"KeySet"),0),":","""",valueMaker!N167,"""")</f>
        <v>kaninKengenPoint:"-"</v>
      </c>
      <c r="O167" t="str" cm="1">
        <f t="array" aca="1" ref="O167" ca="1">CONCATENATE(INDIRECT(ADDRESS(1,15,1,0,"KeySet"),0),":","""",valueMaker!O167,"""")</f>
        <v>point:"-"</v>
      </c>
      <c r="P167" t="str" cm="1">
        <f t="array" aca="1" ref="P167" ca="1">CONCATENATE(INDIRECT(ADDRESS(1,16,1,0,"KeySet"),0),":","""",valueMaker!P167,"""")</f>
        <v>bikou:""</v>
      </c>
    </row>
    <row r="168" spans="1:16">
      <c r="A168" t="str" cm="1">
        <f t="array" aca="1" ref="A168" ca="1">CONCATENATE(INDIRECT(ADDRESS(1,1,1,0,"KeySet"),0),":","""",valueMaker!A168,"""")</f>
        <v>kainBangou:"TD10167"</v>
      </c>
      <c r="B168" t="str" cm="1">
        <f t="array" aca="1" ref="B168" ca="1">CONCATENATE(INDIRECT(ADDRESS(1,2,1,0,"KeySet"),0),":","""",valueMaker!B168,"""")</f>
        <v>kainMeiKanji:"孫厚道"</v>
      </c>
      <c r="C168" t="str" cm="1">
        <f t="array" aca="1" ref="C168" ca="1">CONCATENATE(INDIRECT(ADDRESS(1,3,1,0,"KeySet"),0),":","""",valueMaker!C168,"""")</f>
        <v>kainMeiKana:"ｽｩﾝ ﾎｳ ﾀﾞｵ"</v>
      </c>
      <c r="D168" t="str" cm="1">
        <f t="array" aca="1" ref="D168" ca="1">CONCATENATE(INDIRECT(ADDRESS(1,4,1,0,"KeySet"),0),":","""",valueMaker!D168,"""")</f>
        <v>kainMeiEn:"Sun Hou Dao"</v>
      </c>
      <c r="E168" t="str" cm="1">
        <f t="array" aca="1" ref="E168" ca="1">CONCATENATE(INDIRECT(ADDRESS(1,5,1,0,"KeySet"),0),":","""",valueMaker!E168,"""")</f>
        <v>kainGender:"男性"</v>
      </c>
      <c r="F168" t="str" cm="1">
        <f t="array" aca="1" ref="F168" ca="1">CONCATENATE(INDIRECT(ADDRESS(1,6,1,0,"KeySet"),0),":","""",TEXT(valueMaker!F168,"yyyy/m/d"),"""")</f>
        <v>tanjyoubi:"1979/11/13"</v>
      </c>
      <c r="G168" t="str" cm="1">
        <f t="array" aca="1" ref="G168" ca="1">CONCATENATE(INDIRECT(ADDRESS(1,6,1,0,"KeySet"),0),":","""",TEXT(valueMaker!G168,"yyyy/m/d"),"""")</f>
        <v>tanjyoubi:"2018/2/11"</v>
      </c>
      <c r="H168" t="str" cm="1">
        <f t="array" aca="1" ref="H168" ca="1">CONCATENATE(INDIRECT(ADDRESS(1,6,1,0,"KeySet"),0),":","""",TEXT(valueMaker!H168,"yyyy/m/d"),"""")</f>
        <v>tanjyoubi:"2021/2/10"</v>
      </c>
      <c r="I168" t="str" cm="1">
        <f t="array" aca="1" ref="I168" ca="1">CONCATENATE(INDIRECT(ADDRESS(1,9,1,0,"KeySet"),0),":","""",valueMaker!I168,"""")</f>
        <v>denwaBangou:"080-8571-4097"</v>
      </c>
      <c r="J168" t="str" cm="1">
        <f t="array" aca="1" ref="J168" ca="1">CONCATENATE(INDIRECT(ADDRESS(1,10,1,0,"KeySet"),0),":","""",valueMaker!J168,"""")</f>
        <v>mailAddress:"Sun_Hou_Dao_43142@outlook.jp.co"</v>
      </c>
      <c r="K168" t="str" cm="1">
        <f t="array" aca="1" ref="K168" ca="1">CONCATENATE(INDIRECT(ADDRESS(1,11,1,0,"KeySet"),0),":","""",valueMaker!K168,"""")</f>
        <v>kaninSyubetu:"普通"</v>
      </c>
      <c r="L168" t="str" cm="1">
        <f t="array" aca="1" ref="L168" ca="1">CONCATENATE(INDIRECT(ADDRESS(1,12,1,0,"KeySet"),0),":","""",valueMaker!L168,"""")</f>
        <v>kaninKengenWB:"有り"</v>
      </c>
      <c r="M168" t="str" cm="1">
        <f t="array" aca="1" ref="M168" ca="1">CONCATENATE(INDIRECT(ADDRESS(1,13,1,0,"KeySet"),0),":","""",valueMaker!M168,"""")</f>
        <v>wakibiri:"5%"</v>
      </c>
      <c r="N168" t="str" cm="1">
        <f t="array" aca="1" ref="N168" ca="1">CONCATENATE(INDIRECT(ADDRESS(1,14,1,0,"KeySet"),0),":","""",valueMaker!N168,"""")</f>
        <v>kaninKengenPoint:"有り"</v>
      </c>
      <c r="O168" t="str" cm="1">
        <f t="array" aca="1" ref="O168" ca="1">CONCATENATE(INDIRECT(ADDRESS(1,15,1,0,"KeySet"),0),":","""",valueMaker!O168,"""")</f>
        <v>point:"515"</v>
      </c>
      <c r="P168" t="str" cm="1">
        <f t="array" aca="1" ref="P168" ca="1">CONCATENATE(INDIRECT(ADDRESS(1,16,1,0,"KeySet"),0),":","""",valueMaker!P168,"""")</f>
        <v>bikou:""</v>
      </c>
    </row>
    <row r="169" spans="1:16">
      <c r="A169" t="str" cm="1">
        <f t="array" aca="1" ref="A169" ca="1">CONCATENATE(INDIRECT(ADDRESS(1,1,1,0,"KeySet"),0),":","""",valueMaker!A169,"""")</f>
        <v>kainBangou:"TD10168"</v>
      </c>
      <c r="B169" t="str" cm="1">
        <f t="array" aca="1" ref="B169" ca="1">CONCATENATE(INDIRECT(ADDRESS(1,2,1,0,"KeySet"),0),":","""",valueMaker!B169,"""")</f>
        <v>kainMeiKanji:"徐輝駿"</v>
      </c>
      <c r="C169" t="str" cm="1">
        <f t="array" aca="1" ref="C169" ca="1">CONCATENATE(INDIRECT(ADDRESS(1,3,1,0,"KeySet"),0),":","""",valueMaker!C169,"""")</f>
        <v>kainMeiKana:"ｼｭｲ ﾎｩｲ ｼﾞｭｲﾝ"</v>
      </c>
      <c r="D169" t="str" cm="1">
        <f t="array" aca="1" ref="D169" ca="1">CONCATENATE(INDIRECT(ADDRESS(1,4,1,0,"KeySet"),0),":","""",valueMaker!D169,"""")</f>
        <v>kainMeiEn:"Xu Hui Jun"</v>
      </c>
      <c r="E169" t="str" cm="1">
        <f t="array" aca="1" ref="E169" ca="1">CONCATENATE(INDIRECT(ADDRESS(1,5,1,0,"KeySet"),0),":","""",valueMaker!E169,"""")</f>
        <v>kainGender:"男性"</v>
      </c>
      <c r="F169" t="str" cm="1">
        <f t="array" aca="1" ref="F169" ca="1">CONCATENATE(INDIRECT(ADDRESS(1,6,1,0,"KeySet"),0),":","""",TEXT(valueMaker!F169,"yyyy/m/d"),"""")</f>
        <v>tanjyoubi:"1981/2/27"</v>
      </c>
      <c r="G169" t="str" cm="1">
        <f t="array" aca="1" ref="G169" ca="1">CONCATENATE(INDIRECT(ADDRESS(1,6,1,0,"KeySet"),0),":","""",TEXT(valueMaker!G169,"yyyy/m/d"),"""")</f>
        <v>tanjyoubi:"2009/9/28"</v>
      </c>
      <c r="H169" t="str" cm="1">
        <f t="array" aca="1" ref="H169" ca="1">CONCATENATE(INDIRECT(ADDRESS(1,6,1,0,"KeySet"),0),":","""",TEXT(valueMaker!H169,"yyyy/m/d"),"""")</f>
        <v>tanjyoubi:"2010/9/28"</v>
      </c>
      <c r="I169" t="str" cm="1">
        <f t="array" aca="1" ref="I169" ca="1">CONCATENATE(INDIRECT(ADDRESS(1,9,1,0,"KeySet"),0),":","""",valueMaker!I169,"""")</f>
        <v>denwaBangou:"080-5766-4370"</v>
      </c>
      <c r="J169" t="str" cm="1">
        <f t="array" aca="1" ref="J169" ca="1">CONCATENATE(INDIRECT(ADDRESS(1,10,1,0,"KeySet"),0),":","""",valueMaker!J169,"""")</f>
        <v>mailAddress:"Xu_Hui_Jun_40084@outlook.jp.co"</v>
      </c>
      <c r="K169" t="str" cm="1">
        <f t="array" aca="1" ref="K169" ca="1">CONCATENATE(INDIRECT(ADDRESS(1,11,1,0,"KeySet"),0),":","""",valueMaker!K169,"""")</f>
        <v>kaninSyubetu:"高級"</v>
      </c>
      <c r="L169" t="str" cm="1">
        <f t="array" aca="1" ref="L169" ca="1">CONCATENATE(INDIRECT(ADDRESS(1,12,1,0,"KeySet"),0),":","""",valueMaker!L169,"""")</f>
        <v>kaninKengenWB:"有り"</v>
      </c>
      <c r="M169" t="str" cm="1">
        <f t="array" aca="1" ref="M169" ca="1">CONCATENATE(INDIRECT(ADDRESS(1,13,1,0,"KeySet"),0),":","""",valueMaker!M169,"""")</f>
        <v>wakibiri:"10%"</v>
      </c>
      <c r="N169" t="str" cm="1">
        <f t="array" aca="1" ref="N169" ca="1">CONCATENATE(INDIRECT(ADDRESS(1,14,1,0,"KeySet"),0),":","""",valueMaker!N169,"""")</f>
        <v>kaninKengenPoint:"-"</v>
      </c>
      <c r="O169" t="str" cm="1">
        <f t="array" aca="1" ref="O169" ca="1">CONCATENATE(INDIRECT(ADDRESS(1,15,1,0,"KeySet"),0),":","""",valueMaker!O169,"""")</f>
        <v>point:"-"</v>
      </c>
      <c r="P169" t="str" cm="1">
        <f t="array" aca="1" ref="P169" ca="1">CONCATENATE(INDIRECT(ADDRESS(1,16,1,0,"KeySet"),0),":","""",valueMaker!P169,"""")</f>
        <v>bikou:""</v>
      </c>
    </row>
    <row r="170" spans="1:16">
      <c r="A170" t="str" cm="1">
        <f t="array" aca="1" ref="A170" ca="1">CONCATENATE(INDIRECT(ADDRESS(1,1,1,0,"KeySet"),0),":","""",valueMaker!A170,"""")</f>
        <v>kainBangou:"TD10169"</v>
      </c>
      <c r="B170" t="str" cm="1">
        <f t="array" aca="1" ref="B170" ca="1">CONCATENATE(INDIRECT(ADDRESS(1,2,1,0,"KeySet"),0),":","""",valueMaker!B170,"""")</f>
        <v>kainMeiKanji:"韓旋衡"</v>
      </c>
      <c r="C170" t="str" cm="1">
        <f t="array" aca="1" ref="C170" ca="1">CONCATENATE(INDIRECT(ADDRESS(1,3,1,0,"KeySet"),0),":","""",valueMaker!C170,"""")</f>
        <v>kainMeiKana:"ﾊﾝ ｼｭｴﾝ ﾎｩｵﾝ"</v>
      </c>
      <c r="D170" t="str" cm="1">
        <f t="array" aca="1" ref="D170" ca="1">CONCATENATE(INDIRECT(ADDRESS(1,4,1,0,"KeySet"),0),":","""",valueMaker!D170,"""")</f>
        <v>kainMeiEn:"Han Xuan Heng"</v>
      </c>
      <c r="E170" t="str" cm="1">
        <f t="array" aca="1" ref="E170" ca="1">CONCATENATE(INDIRECT(ADDRESS(1,5,1,0,"KeySet"),0),":","""",valueMaker!E170,"""")</f>
        <v>kainGender:"女性"</v>
      </c>
      <c r="F170" t="str" cm="1">
        <f t="array" aca="1" ref="F170" ca="1">CONCATENATE(INDIRECT(ADDRESS(1,6,1,0,"KeySet"),0),":","""",TEXT(valueMaker!F170,"yyyy/m/d"),"""")</f>
        <v>tanjyoubi:"1983/10/10"</v>
      </c>
      <c r="G170" t="str" cm="1">
        <f t="array" aca="1" ref="G170" ca="1">CONCATENATE(INDIRECT(ADDRESS(1,6,1,0,"KeySet"),0),":","""",TEXT(valueMaker!G170,"yyyy/m/d"),"""")</f>
        <v>tanjyoubi:"2019/1/20"</v>
      </c>
      <c r="H170" t="str" cm="1">
        <f t="array" aca="1" ref="H170" ca="1">CONCATENATE(INDIRECT(ADDRESS(1,6,1,0,"KeySet"),0),":","""",TEXT(valueMaker!H170,"yyyy/m/d"),"""")</f>
        <v>tanjyoubi:"2022/1/19"</v>
      </c>
      <c r="I170" t="str" cm="1">
        <f t="array" aca="1" ref="I170" ca="1">CONCATENATE(INDIRECT(ADDRESS(1,9,1,0,"KeySet"),0),":","""",valueMaker!I170,"""")</f>
        <v>denwaBangou:"090-7357-4938"</v>
      </c>
      <c r="J170" t="str" cm="1">
        <f t="array" aca="1" ref="J170" ca="1">CONCATENATE(INDIRECT(ADDRESS(1,10,1,0,"KeySet"),0),":","""",valueMaker!J170,"""")</f>
        <v>mailAddress:"Han_Xuan_Heng_43485@outlook.jp.co"</v>
      </c>
      <c r="K170" t="str" cm="1">
        <f t="array" aca="1" ref="K170" ca="1">CONCATENATE(INDIRECT(ADDRESS(1,11,1,0,"KeySet"),0),":","""",valueMaker!K170,"""")</f>
        <v>kaninSyubetu:"普通"</v>
      </c>
      <c r="L170" t="str" cm="1">
        <f t="array" aca="1" ref="L170" ca="1">CONCATENATE(INDIRECT(ADDRESS(1,12,1,0,"KeySet"),0),":","""",valueMaker!L170,"""")</f>
        <v>kaninKengenWB:"有り"</v>
      </c>
      <c r="M170" t="str" cm="1">
        <f t="array" aca="1" ref="M170" ca="1">CONCATENATE(INDIRECT(ADDRESS(1,13,1,0,"KeySet"),0),":","""",valueMaker!M170,"""")</f>
        <v>wakibiri:"5%"</v>
      </c>
      <c r="N170" t="str" cm="1">
        <f t="array" aca="1" ref="N170" ca="1">CONCATENATE(INDIRECT(ADDRESS(1,14,1,0,"KeySet"),0),":","""",valueMaker!N170,"""")</f>
        <v>kaninKengenPoint:"有り"</v>
      </c>
      <c r="O170" t="str" cm="1">
        <f t="array" aca="1" ref="O170" ca="1">CONCATENATE(INDIRECT(ADDRESS(1,15,1,0,"KeySet"),0),":","""",valueMaker!O170,"""")</f>
        <v>point:"362"</v>
      </c>
      <c r="P170" t="str" cm="1">
        <f t="array" aca="1" ref="P170" ca="1">CONCATENATE(INDIRECT(ADDRESS(1,16,1,0,"KeySet"),0),":","""",valueMaker!P170,"""")</f>
        <v>bikou:""</v>
      </c>
    </row>
    <row r="171" spans="1:16">
      <c r="A171" t="str" cm="1">
        <f t="array" aca="1" ref="A171" ca="1">CONCATENATE(INDIRECT(ADDRESS(1,1,1,0,"KeySet"),0),":","""",valueMaker!A171,"""")</f>
        <v>kainBangou:"TD10170"</v>
      </c>
      <c r="B171" t="str" cm="1">
        <f t="array" aca="1" ref="B171" ca="1">CONCATENATE(INDIRECT(ADDRESS(1,2,1,0,"KeySet"),0),":","""",valueMaker!B171,"""")</f>
        <v>kainMeiKanji:"鄭依思"</v>
      </c>
      <c r="C171" t="str" cm="1">
        <f t="array" aca="1" ref="C171" ca="1">CONCATENATE(INDIRECT(ADDRESS(1,3,1,0,"KeySet"),0),":","""",valueMaker!C171,"""")</f>
        <v>kainMeiKana:"ｼﾞｭﾖﾝ ｲｰ ｽｰ"</v>
      </c>
      <c r="D171" t="str" cm="1">
        <f t="array" aca="1" ref="D171" ca="1">CONCATENATE(INDIRECT(ADDRESS(1,4,1,0,"KeySet"),0),":","""",valueMaker!D171,"""")</f>
        <v>kainMeiEn:"Zheng Yi Si"</v>
      </c>
      <c r="E171" t="str" cm="1">
        <f t="array" aca="1" ref="E171" ca="1">CONCATENATE(INDIRECT(ADDRESS(1,5,1,0,"KeySet"),0),":","""",valueMaker!E171,"""")</f>
        <v>kainGender:"女性"</v>
      </c>
      <c r="F171" t="str" cm="1">
        <f t="array" aca="1" ref="F171" ca="1">CONCATENATE(INDIRECT(ADDRESS(1,6,1,0,"KeySet"),0),":","""",TEXT(valueMaker!F171,"yyyy/m/d"),"""")</f>
        <v>tanjyoubi:"1995/1/25"</v>
      </c>
      <c r="G171" t="str" cm="1">
        <f t="array" aca="1" ref="G171" ca="1">CONCATENATE(INDIRECT(ADDRESS(1,6,1,0,"KeySet"),0),":","""",TEXT(valueMaker!G171,"yyyy/m/d"),"""")</f>
        <v>tanjyoubi:"2022/1/23"</v>
      </c>
      <c r="H171" t="str" cm="1">
        <f t="array" aca="1" ref="H171" ca="1">CONCATENATE(INDIRECT(ADDRESS(1,6,1,0,"KeySet"),0),":","""",TEXT(valueMaker!H171,"yyyy/m/d"),"""")</f>
        <v>tanjyoubi:"2024/1/23"</v>
      </c>
      <c r="I171" t="str" cm="1">
        <f t="array" aca="1" ref="I171" ca="1">CONCATENATE(INDIRECT(ADDRESS(1,9,1,0,"KeySet"),0),":","""",valueMaker!I171,"""")</f>
        <v>denwaBangou:"080-8722-6575"</v>
      </c>
      <c r="J171" t="str" cm="1">
        <f t="array" aca="1" ref="J171" ca="1">CONCATENATE(INDIRECT(ADDRESS(1,10,1,0,"KeySet"),0),":","""",valueMaker!J171,"""")</f>
        <v>mailAddress:"Zheng_Yi_Si_44584@outlook.jp.co"</v>
      </c>
      <c r="K171" t="str" cm="1">
        <f t="array" aca="1" ref="K171" ca="1">CONCATENATE(INDIRECT(ADDRESS(1,11,1,0,"KeySet"),0),":","""",valueMaker!K171,"""")</f>
        <v>kaninSyubetu:"普通"</v>
      </c>
      <c r="L171" t="str" cm="1">
        <f t="array" aca="1" ref="L171" ca="1">CONCATENATE(INDIRECT(ADDRESS(1,12,1,0,"KeySet"),0),":","""",valueMaker!L171,"""")</f>
        <v>kaninKengenWB:"-"</v>
      </c>
      <c r="M171" t="str" cm="1">
        <f t="array" aca="1" ref="M171" ca="1">CONCATENATE(INDIRECT(ADDRESS(1,13,1,0,"KeySet"),0),":","""",valueMaker!M171,"""")</f>
        <v>wakibiri:"-"</v>
      </c>
      <c r="N171" t="str" cm="1">
        <f t="array" aca="1" ref="N171" ca="1">CONCATENATE(INDIRECT(ADDRESS(1,14,1,0,"KeySet"),0),":","""",valueMaker!N171,"""")</f>
        <v>kaninKengenPoint:"有り"</v>
      </c>
      <c r="O171" t="str" cm="1">
        <f t="array" aca="1" ref="O171" ca="1">CONCATENATE(INDIRECT(ADDRESS(1,15,1,0,"KeySet"),0),":","""",valueMaker!O171,"""")</f>
        <v>point:"614"</v>
      </c>
      <c r="P171" t="str" cm="1">
        <f t="array" aca="1" ref="P171" ca="1">CONCATENATE(INDIRECT(ADDRESS(1,16,1,0,"KeySet"),0),":","""",valueMaker!P171,"""")</f>
        <v>bikou:""</v>
      </c>
    </row>
    <row r="172" spans="1:16">
      <c r="A172" t="str" cm="1">
        <f t="array" aca="1" ref="A172" ca="1">CONCATENATE(INDIRECT(ADDRESS(1,1,1,0,"KeySet"),0),":","""",valueMaker!A172,"""")</f>
        <v>kainBangou:"TD10171"</v>
      </c>
      <c r="B172" t="str" cm="1">
        <f t="array" aca="1" ref="B172" ca="1">CONCATENATE(INDIRECT(ADDRESS(1,2,1,0,"KeySet"),0),":","""",valueMaker!B172,"""")</f>
        <v>kainMeiKanji:"周影真"</v>
      </c>
      <c r="C172" t="str" cm="1">
        <f t="array" aca="1" ref="C172" ca="1">CONCATENATE(INDIRECT(ADDRESS(1,3,1,0,"KeySet"),0),":","""",valueMaker!C172,"""")</f>
        <v>kainMeiKana:"ｼﾞｮｳ ｲｰﾝ ｼﾞｪﾝ"</v>
      </c>
      <c r="D172" t="str" cm="1">
        <f t="array" aca="1" ref="D172" ca="1">CONCATENATE(INDIRECT(ADDRESS(1,4,1,0,"KeySet"),0),":","""",valueMaker!D172,"""")</f>
        <v>kainMeiEn:"Zhou Ying Zhen"</v>
      </c>
      <c r="E172" t="str" cm="1">
        <f t="array" aca="1" ref="E172" ca="1">CONCATENATE(INDIRECT(ADDRESS(1,5,1,0,"KeySet"),0),":","""",valueMaker!E172,"""")</f>
        <v>kainGender:"男性"</v>
      </c>
      <c r="F172" t="str" cm="1">
        <f t="array" aca="1" ref="F172" ca="1">CONCATENATE(INDIRECT(ADDRESS(1,6,1,0,"KeySet"),0),":","""",TEXT(valueMaker!F172,"yyyy/m/d"),"""")</f>
        <v>tanjyoubi:"1969/3/8"</v>
      </c>
      <c r="G172" t="str" cm="1">
        <f t="array" aca="1" ref="G172" ca="1">CONCATENATE(INDIRECT(ADDRESS(1,6,1,0,"KeySet"),0),":","""",TEXT(valueMaker!G172,"yyyy/m/d"),"""")</f>
        <v>tanjyoubi:"2010/4/17"</v>
      </c>
      <c r="H172" t="str" cm="1">
        <f t="array" aca="1" ref="H172" ca="1">CONCATENATE(INDIRECT(ADDRESS(1,6,1,0,"KeySet"),0),":","""",TEXT(valueMaker!H172,"yyyy/m/d"),"""")</f>
        <v>tanjyoubi:"2012/4/16"</v>
      </c>
      <c r="I172" t="str" cm="1">
        <f t="array" aca="1" ref="I172" ca="1">CONCATENATE(INDIRECT(ADDRESS(1,9,1,0,"KeySet"),0),":","""",valueMaker!I172,"""")</f>
        <v>denwaBangou:"080-9004-8445"</v>
      </c>
      <c r="J172" t="str" cm="1">
        <f t="array" aca="1" ref="J172" ca="1">CONCATENATE(INDIRECT(ADDRESS(1,10,1,0,"KeySet"),0),":","""",valueMaker!J172,"""")</f>
        <v>mailAddress:"Zhou_Ying_Zhen_40285@outlook.jp.co"</v>
      </c>
      <c r="K172" t="str" cm="1">
        <f t="array" aca="1" ref="K172" ca="1">CONCATENATE(INDIRECT(ADDRESS(1,11,1,0,"KeySet"),0),":","""",valueMaker!K172,"""")</f>
        <v>kaninSyubetu:"普通"</v>
      </c>
      <c r="L172" t="str" cm="1">
        <f t="array" aca="1" ref="L172" ca="1">CONCATENATE(INDIRECT(ADDRESS(1,12,1,0,"KeySet"),0),":","""",valueMaker!L172,"""")</f>
        <v>kaninKengenWB:"有り"</v>
      </c>
      <c r="M172" t="str" cm="1">
        <f t="array" aca="1" ref="M172" ca="1">CONCATENATE(INDIRECT(ADDRESS(1,13,1,0,"KeySet"),0),":","""",valueMaker!M172,"""")</f>
        <v>wakibiri:"5%"</v>
      </c>
      <c r="N172" t="str" cm="1">
        <f t="array" aca="1" ref="N172" ca="1">CONCATENATE(INDIRECT(ADDRESS(1,14,1,0,"KeySet"),0),":","""",valueMaker!N172,"""")</f>
        <v>kaninKengenPoint:"有り"</v>
      </c>
      <c r="O172" t="str" cm="1">
        <f t="array" aca="1" ref="O172" ca="1">CONCATENATE(INDIRECT(ADDRESS(1,15,1,0,"KeySet"),0),":","""",valueMaker!O172,"""")</f>
        <v>point:"958"</v>
      </c>
      <c r="P172" t="str" cm="1">
        <f t="array" aca="1" ref="P172" ca="1">CONCATENATE(INDIRECT(ADDRESS(1,16,1,0,"KeySet"),0),":","""",valueMaker!P172,"""")</f>
        <v>bikou:""</v>
      </c>
    </row>
    <row r="173" spans="1:16">
      <c r="A173" t="str" cm="1">
        <f t="array" aca="1" ref="A173" ca="1">CONCATENATE(INDIRECT(ADDRESS(1,1,1,0,"KeySet"),0),":","""",valueMaker!A173,"""")</f>
        <v>kainBangou:"TD10172"</v>
      </c>
      <c r="B173" t="str" cm="1">
        <f t="array" aca="1" ref="B173" ca="1">CONCATENATE(INDIRECT(ADDRESS(1,2,1,0,"KeySet"),0),":","""",valueMaker!B173,"""")</f>
        <v>kainMeiKanji:"吳維繼"</v>
      </c>
      <c r="C173" t="str" cm="1">
        <f t="array" aca="1" ref="C173" ca="1">CONCATENATE(INDIRECT(ADDRESS(1,3,1,0,"KeySet"),0),":","""",valueMaker!C173,"""")</f>
        <v>kainMeiKana:"ｳｰ ｳｴｲ ｼﾞｰ"</v>
      </c>
      <c r="D173" t="str" cm="1">
        <f t="array" aca="1" ref="D173" ca="1">CONCATENATE(INDIRECT(ADDRESS(1,4,1,0,"KeySet"),0),":","""",valueMaker!D173,"""")</f>
        <v>kainMeiEn:"Wu Wei Ji"</v>
      </c>
      <c r="E173" t="str" cm="1">
        <f t="array" aca="1" ref="E173" ca="1">CONCATENATE(INDIRECT(ADDRESS(1,5,1,0,"KeySet"),0),":","""",valueMaker!E173,"""")</f>
        <v>kainGender:"男性"</v>
      </c>
      <c r="F173" t="str" cm="1">
        <f t="array" aca="1" ref="F173" ca="1">CONCATENATE(INDIRECT(ADDRESS(1,6,1,0,"KeySet"),0),":","""",TEXT(valueMaker!F173,"yyyy/m/d"),"""")</f>
        <v>tanjyoubi:"1994/10/12"</v>
      </c>
      <c r="G173" t="str" cm="1">
        <f t="array" aca="1" ref="G173" ca="1">CONCATENATE(INDIRECT(ADDRESS(1,6,1,0,"KeySet"),0),":","""",TEXT(valueMaker!G173,"yyyy/m/d"),"""")</f>
        <v>tanjyoubi:"2016/5/5"</v>
      </c>
      <c r="H173" t="str" cm="1">
        <f t="array" aca="1" ref="H173" ca="1">CONCATENATE(INDIRECT(ADDRESS(1,6,1,0,"KeySet"),0),":","""",TEXT(valueMaker!H173,"yyyy/m/d"),"""")</f>
        <v>tanjyoubi:"2019/5/5"</v>
      </c>
      <c r="I173" t="str" cm="1">
        <f t="array" aca="1" ref="I173" ca="1">CONCATENATE(INDIRECT(ADDRESS(1,9,1,0,"KeySet"),0),":","""",valueMaker!I173,"""")</f>
        <v>denwaBangou:"080-9889-8681"</v>
      </c>
      <c r="J173" t="str" cm="1">
        <f t="array" aca="1" ref="J173" ca="1">CONCATENATE(INDIRECT(ADDRESS(1,10,1,0,"KeySet"),0),":","""",valueMaker!J173,"""")</f>
        <v>mailAddress:"Wu_Wei_Ji_42495@outlook.jp.co"</v>
      </c>
      <c r="K173" t="str" cm="1">
        <f t="array" aca="1" ref="K173" ca="1">CONCATENATE(INDIRECT(ADDRESS(1,11,1,0,"KeySet"),0),":","""",valueMaker!K173,"""")</f>
        <v>kaninSyubetu:"高級"</v>
      </c>
      <c r="L173" t="str" cm="1">
        <f t="array" aca="1" ref="L173" ca="1">CONCATENATE(INDIRECT(ADDRESS(1,12,1,0,"KeySet"),0),":","""",valueMaker!L173,"""")</f>
        <v>kaninKengenWB:"-"</v>
      </c>
      <c r="M173" t="str" cm="1">
        <f t="array" aca="1" ref="M173" ca="1">CONCATENATE(INDIRECT(ADDRESS(1,13,1,0,"KeySet"),0),":","""",valueMaker!M173,"""")</f>
        <v>wakibiri:"-"</v>
      </c>
      <c r="N173" t="str" cm="1">
        <f t="array" aca="1" ref="N173" ca="1">CONCATENATE(INDIRECT(ADDRESS(1,14,1,0,"KeySet"),0),":","""",valueMaker!N173,"""")</f>
        <v>kaninKengenPoint:"有り"</v>
      </c>
      <c r="O173" t="str" cm="1">
        <f t="array" aca="1" ref="O173" ca="1">CONCATENATE(INDIRECT(ADDRESS(1,15,1,0,"KeySet"),0),":","""",valueMaker!O173,"""")</f>
        <v>point:"427"</v>
      </c>
      <c r="P173" t="str" cm="1">
        <f t="array" aca="1" ref="P173" ca="1">CONCATENATE(INDIRECT(ADDRESS(1,16,1,0,"KeySet"),0),":","""",valueMaker!P173,"""")</f>
        <v>bikou:""</v>
      </c>
    </row>
    <row r="174" spans="1:16">
      <c r="A174" t="str" cm="1">
        <f t="array" aca="1" ref="A174" ca="1">CONCATENATE(INDIRECT(ADDRESS(1,1,1,0,"KeySet"),0),":","""",valueMaker!A174,"""")</f>
        <v>kainBangou:"TD10173"</v>
      </c>
      <c r="B174" t="str" cm="1">
        <f t="array" aca="1" ref="B174" ca="1">CONCATENATE(INDIRECT(ADDRESS(1,2,1,0,"KeySet"),0),":","""",valueMaker!B174,"""")</f>
        <v>kainMeiKanji:"羅略連"</v>
      </c>
      <c r="C174" t="str" cm="1">
        <f t="array" aca="1" ref="C174" ca="1">CONCATENATE(INDIRECT(ADDRESS(1,3,1,0,"KeySet"),0),":","""",valueMaker!C174,"""")</f>
        <v>kainMeiKana:"ﾙｵ lüe ﾘｴﾝ"</v>
      </c>
      <c r="D174" t="str" cm="1">
        <f t="array" aca="1" ref="D174" ca="1">CONCATENATE(INDIRECT(ADDRESS(1,4,1,0,"KeySet"),0),":","""",valueMaker!D174,"""")</f>
        <v>kainMeiEn:"Luo Lüe Lian"</v>
      </c>
      <c r="E174" t="str" cm="1">
        <f t="array" aca="1" ref="E174" ca="1">CONCATENATE(INDIRECT(ADDRESS(1,5,1,0,"KeySet"),0),":","""",valueMaker!E174,"""")</f>
        <v>kainGender:"男性"</v>
      </c>
      <c r="F174" t="str" cm="1">
        <f t="array" aca="1" ref="F174" ca="1">CONCATENATE(INDIRECT(ADDRESS(1,6,1,0,"KeySet"),0),":","""",TEXT(valueMaker!F174,"yyyy/m/d"),"""")</f>
        <v>tanjyoubi:"1981/9/8"</v>
      </c>
      <c r="G174" t="str" cm="1">
        <f t="array" aca="1" ref="G174" ca="1">CONCATENATE(INDIRECT(ADDRESS(1,6,1,0,"KeySet"),0),":","""",TEXT(valueMaker!G174,"yyyy/m/d"),"""")</f>
        <v>tanjyoubi:"2002/10/22"</v>
      </c>
      <c r="H174" t="str" cm="1">
        <f t="array" aca="1" ref="H174" ca="1">CONCATENATE(INDIRECT(ADDRESS(1,6,1,0,"KeySet"),0),":","""",TEXT(valueMaker!H174,"yyyy/m/d"),"""")</f>
        <v>tanjyoubi:"2005/10/21"</v>
      </c>
      <c r="I174" t="str" cm="1">
        <f t="array" aca="1" ref="I174" ca="1">CONCATENATE(INDIRECT(ADDRESS(1,9,1,0,"KeySet"),0),":","""",valueMaker!I174,"""")</f>
        <v>denwaBangou:"090-4659-5616"</v>
      </c>
      <c r="J174" t="str" cm="1">
        <f t="array" aca="1" ref="J174" ca="1">CONCATENATE(INDIRECT(ADDRESS(1,10,1,0,"KeySet"),0),":","""",valueMaker!J174,"""")</f>
        <v>mailAddress:"Luo_Lüe_Lian_37551@outlook.jp.co"</v>
      </c>
      <c r="K174" t="str" cm="1">
        <f t="array" aca="1" ref="K174" ca="1">CONCATENATE(INDIRECT(ADDRESS(1,11,1,0,"KeySet"),0),":","""",valueMaker!K174,"""")</f>
        <v>kaninSyubetu:"普通"</v>
      </c>
      <c r="L174" t="str" cm="1">
        <f t="array" aca="1" ref="L174" ca="1">CONCATENATE(INDIRECT(ADDRESS(1,12,1,0,"KeySet"),0),":","""",valueMaker!L174,"""")</f>
        <v>kaninKengenWB:"有り"</v>
      </c>
      <c r="M174" t="str" cm="1">
        <f t="array" aca="1" ref="M174" ca="1">CONCATENATE(INDIRECT(ADDRESS(1,13,1,0,"KeySet"),0),":","""",valueMaker!M174,"""")</f>
        <v>wakibiri:"5%"</v>
      </c>
      <c r="N174" t="str" cm="1">
        <f t="array" aca="1" ref="N174" ca="1">CONCATENATE(INDIRECT(ADDRESS(1,14,1,0,"KeySet"),0),":","""",valueMaker!N174,"""")</f>
        <v>kaninKengenPoint:"有り"</v>
      </c>
      <c r="O174" t="str" cm="1">
        <f t="array" aca="1" ref="O174" ca="1">CONCATENATE(INDIRECT(ADDRESS(1,15,1,0,"KeySet"),0),":","""",valueMaker!O174,"""")</f>
        <v>point:"47"</v>
      </c>
      <c r="P174" t="str" cm="1">
        <f t="array" aca="1" ref="P174" ca="1">CONCATENATE(INDIRECT(ADDRESS(1,16,1,0,"KeySet"),0),":","""",valueMaker!P174,"""")</f>
        <v>bikou:""</v>
      </c>
    </row>
    <row r="175" spans="1:16">
      <c r="A175" t="str" cm="1">
        <f t="array" aca="1" ref="A175" ca="1">CONCATENATE(INDIRECT(ADDRESS(1,1,1,0,"KeySet"),0),":","""",valueMaker!A175,"""")</f>
        <v>kainBangou:"TD10174"</v>
      </c>
      <c r="B175" t="str" cm="1">
        <f t="array" aca="1" ref="B175" ca="1">CONCATENATE(INDIRECT(ADDRESS(1,2,1,0,"KeySet"),0),":","""",valueMaker!B175,"""")</f>
        <v>kainMeiKanji:"胡皓浚"</v>
      </c>
      <c r="C175" t="str" cm="1">
        <f t="array" aca="1" ref="C175" ca="1">CONCATENATE(INDIRECT(ADDRESS(1,3,1,0,"KeySet"),0),":","""",valueMaker!C175,"""")</f>
        <v>kainMeiKana:"ﾎｩ ﾊｵ ｼﾞｭｲﾝ"</v>
      </c>
      <c r="D175" t="str" cm="1">
        <f t="array" aca="1" ref="D175" ca="1">CONCATENATE(INDIRECT(ADDRESS(1,4,1,0,"KeySet"),0),":","""",valueMaker!D175,"""")</f>
        <v>kainMeiEn:"Hu Hao Jun"</v>
      </c>
      <c r="E175" t="str" cm="1">
        <f t="array" aca="1" ref="E175" ca="1">CONCATENATE(INDIRECT(ADDRESS(1,5,1,0,"KeySet"),0),":","""",valueMaker!E175,"""")</f>
        <v>kainGender:"女性"</v>
      </c>
      <c r="F175" t="str" cm="1">
        <f t="array" aca="1" ref="F175" ca="1">CONCATENATE(INDIRECT(ADDRESS(1,6,1,0,"KeySet"),0),":","""",TEXT(valueMaker!F175,"yyyy/m/d"),"""")</f>
        <v>tanjyoubi:"1984/5/14"</v>
      </c>
      <c r="G175" t="str" cm="1">
        <f t="array" aca="1" ref="G175" ca="1">CONCATENATE(INDIRECT(ADDRESS(1,6,1,0,"KeySet"),0),":","""",TEXT(valueMaker!G175,"yyyy/m/d"),"""")</f>
        <v>tanjyoubi:"2023/11/2"</v>
      </c>
      <c r="H175" t="str" cm="1">
        <f t="array" aca="1" ref="H175" ca="1">CONCATENATE(INDIRECT(ADDRESS(1,6,1,0,"KeySet"),0),":","""",TEXT(valueMaker!H175,"yyyy/m/d"),"""")</f>
        <v>tanjyoubi:"2026/11/1"</v>
      </c>
      <c r="I175" t="str" cm="1">
        <f t="array" aca="1" ref="I175" ca="1">CONCATENATE(INDIRECT(ADDRESS(1,9,1,0,"KeySet"),0),":","""",valueMaker!I175,"""")</f>
        <v>denwaBangou:"080-3176-0625"</v>
      </c>
      <c r="J175" t="str" cm="1">
        <f t="array" aca="1" ref="J175" ca="1">CONCATENATE(INDIRECT(ADDRESS(1,10,1,0,"KeySet"),0),":","""",valueMaker!J175,"""")</f>
        <v>mailAddress:"Hu_Hao Jun_45232@outlook.jp.co"</v>
      </c>
      <c r="K175" t="str" cm="1">
        <f t="array" aca="1" ref="K175" ca="1">CONCATENATE(INDIRECT(ADDRESS(1,11,1,0,"KeySet"),0),":","""",valueMaker!K175,"""")</f>
        <v>kaninSyubetu:"高級"</v>
      </c>
      <c r="L175" t="str" cm="1">
        <f t="array" aca="1" ref="L175" ca="1">CONCATENATE(INDIRECT(ADDRESS(1,12,1,0,"KeySet"),0),":","""",valueMaker!L175,"""")</f>
        <v>kaninKengenWB:"-"</v>
      </c>
      <c r="M175" t="str" cm="1">
        <f t="array" aca="1" ref="M175" ca="1">CONCATENATE(INDIRECT(ADDRESS(1,13,1,0,"KeySet"),0),":","""",valueMaker!M175,"""")</f>
        <v>wakibiri:"-"</v>
      </c>
      <c r="N175" t="str" cm="1">
        <f t="array" aca="1" ref="N175" ca="1">CONCATENATE(INDIRECT(ADDRESS(1,14,1,0,"KeySet"),0),":","""",valueMaker!N175,"""")</f>
        <v>kaninKengenPoint:"有り"</v>
      </c>
      <c r="O175" t="str" cm="1">
        <f t="array" aca="1" ref="O175" ca="1">CONCATENATE(INDIRECT(ADDRESS(1,15,1,0,"KeySet"),0),":","""",valueMaker!O175,"""")</f>
        <v>point:"616"</v>
      </c>
      <c r="P175" t="str" cm="1">
        <f t="array" aca="1" ref="P175" ca="1">CONCATENATE(INDIRECT(ADDRESS(1,16,1,0,"KeySet"),0),":","""",valueMaker!P175,"""")</f>
        <v>bikou:""</v>
      </c>
    </row>
    <row r="176" spans="1:16">
      <c r="A176" t="str" cm="1">
        <f t="array" aca="1" ref="A176" ca="1">CONCATENATE(INDIRECT(ADDRESS(1,1,1,0,"KeySet"),0),":","""",valueMaker!A176,"""")</f>
        <v>kainBangou:"TD10175"</v>
      </c>
      <c r="B176" t="str" cm="1">
        <f t="array" aca="1" ref="B176" ca="1">CONCATENATE(INDIRECT(ADDRESS(1,2,1,0,"KeySet"),0),":","""",valueMaker!B176,"""")</f>
        <v>kainMeiKanji:"王潤頓"</v>
      </c>
      <c r="C176" t="str" cm="1">
        <f t="array" aca="1" ref="C176" ca="1">CONCATENATE(INDIRECT(ADDRESS(1,3,1,0,"KeySet"),0),":","""",valueMaker!C176,"""")</f>
        <v>kainMeiKana:"ﾜｰﾝ ｩﾙﾝ ﾄﾞｩﾝ"</v>
      </c>
      <c r="D176" t="str" cm="1">
        <f t="array" aca="1" ref="D176" ca="1">CONCATENATE(INDIRECT(ADDRESS(1,4,1,0,"KeySet"),0),":","""",valueMaker!D176,"""")</f>
        <v>kainMeiEn:"Wang Run Dun"</v>
      </c>
      <c r="E176" t="str" cm="1">
        <f t="array" aca="1" ref="E176" ca="1">CONCATENATE(INDIRECT(ADDRESS(1,5,1,0,"KeySet"),0),":","""",valueMaker!E176,"""")</f>
        <v>kainGender:"男性"</v>
      </c>
      <c r="F176" t="str" cm="1">
        <f t="array" aca="1" ref="F176" ca="1">CONCATENATE(INDIRECT(ADDRESS(1,6,1,0,"KeySet"),0),":","""",TEXT(valueMaker!F176,"yyyy/m/d"),"""")</f>
        <v>tanjyoubi:"2001/9/29"</v>
      </c>
      <c r="G176" t="str" cm="1">
        <f t="array" aca="1" ref="G176" ca="1">CONCATENATE(INDIRECT(ADDRESS(1,6,1,0,"KeySet"),0),":","""",TEXT(valueMaker!G176,"yyyy/m/d"),"""")</f>
        <v>tanjyoubi:"2020/2/28"</v>
      </c>
      <c r="H176" t="str" cm="1">
        <f t="array" aca="1" ref="H176" ca="1">CONCATENATE(INDIRECT(ADDRESS(1,6,1,0,"KeySet"),0),":","""",TEXT(valueMaker!H176,"yyyy/m/d"),"""")</f>
        <v>tanjyoubi:"2022/2/27"</v>
      </c>
      <c r="I176" t="str" cm="1">
        <f t="array" aca="1" ref="I176" ca="1">CONCATENATE(INDIRECT(ADDRESS(1,9,1,0,"KeySet"),0),":","""",valueMaker!I176,"""")</f>
        <v>denwaBangou:"090-5262-1690"</v>
      </c>
      <c r="J176" t="str" cm="1">
        <f t="array" aca="1" ref="J176" ca="1">CONCATENATE(INDIRECT(ADDRESS(1,10,1,0,"KeySet"),0),":","""",valueMaker!J176,"""")</f>
        <v>mailAddress:"Wang_Run Dun_43889@outlook.jp.co"</v>
      </c>
      <c r="K176" t="str" cm="1">
        <f t="array" aca="1" ref="K176" ca="1">CONCATENATE(INDIRECT(ADDRESS(1,11,1,0,"KeySet"),0),":","""",valueMaker!K176,"""")</f>
        <v>kaninSyubetu:"普通"</v>
      </c>
      <c r="L176" t="str" cm="1">
        <f t="array" aca="1" ref="L176" ca="1">CONCATENATE(INDIRECT(ADDRESS(1,12,1,0,"KeySet"),0),":","""",valueMaker!L176,"""")</f>
        <v>kaninKengenWB:"有り"</v>
      </c>
      <c r="M176" t="str" cm="1">
        <f t="array" aca="1" ref="M176" ca="1">CONCATENATE(INDIRECT(ADDRESS(1,13,1,0,"KeySet"),0),":","""",valueMaker!M176,"""")</f>
        <v>wakibiri:"5%"</v>
      </c>
      <c r="N176" t="str" cm="1">
        <f t="array" aca="1" ref="N176" ca="1">CONCATENATE(INDIRECT(ADDRESS(1,14,1,0,"KeySet"),0),":","""",valueMaker!N176,"""")</f>
        <v>kaninKengenPoint:"-"</v>
      </c>
      <c r="O176" t="str" cm="1">
        <f t="array" aca="1" ref="O176" ca="1">CONCATENATE(INDIRECT(ADDRESS(1,15,1,0,"KeySet"),0),":","""",valueMaker!O176,"""")</f>
        <v>point:"-"</v>
      </c>
      <c r="P176" t="str" cm="1">
        <f t="array" aca="1" ref="P176" ca="1">CONCATENATE(INDIRECT(ADDRESS(1,16,1,0,"KeySet"),0),":","""",valueMaker!P176,"""")</f>
        <v>bikou:""</v>
      </c>
    </row>
    <row r="177" spans="1:16">
      <c r="A177" t="str" cm="1">
        <f t="array" aca="1" ref="A177" ca="1">CONCATENATE(INDIRECT(ADDRESS(1,1,1,0,"KeySet"),0),":","""",valueMaker!A177,"""")</f>
        <v>kainBangou:"TD10176"</v>
      </c>
      <c r="B177" t="str" cm="1">
        <f t="array" aca="1" ref="B177" ca="1">CONCATENATE(INDIRECT(ADDRESS(1,2,1,0,"KeySet"),0),":","""",valueMaker!B177,"""")</f>
        <v>kainMeiKanji:"徐才雅"</v>
      </c>
      <c r="C177" t="str" cm="1">
        <f t="array" aca="1" ref="C177" ca="1">CONCATENATE(INDIRECT(ADDRESS(1,3,1,0,"KeySet"),0),":","""",valueMaker!C177,"""")</f>
        <v>kainMeiKana:"ｼｭｲ ﾂｧｲ ﾔｰ"</v>
      </c>
      <c r="D177" t="str" cm="1">
        <f t="array" aca="1" ref="D177" ca="1">CONCATENATE(INDIRECT(ADDRESS(1,4,1,0,"KeySet"),0),":","""",valueMaker!D177,"""")</f>
        <v>kainMeiEn:"Xu Cai Ya"</v>
      </c>
      <c r="E177" t="str" cm="1">
        <f t="array" aca="1" ref="E177" ca="1">CONCATENATE(INDIRECT(ADDRESS(1,5,1,0,"KeySet"),0),":","""",valueMaker!E177,"""")</f>
        <v>kainGender:"男性"</v>
      </c>
      <c r="F177" t="str" cm="1">
        <f t="array" aca="1" ref="F177" ca="1">CONCATENATE(INDIRECT(ADDRESS(1,6,1,0,"KeySet"),0),":","""",TEXT(valueMaker!F177,"yyyy/m/d"),"""")</f>
        <v>tanjyoubi:"1980/10/20"</v>
      </c>
      <c r="G177" t="str" cm="1">
        <f t="array" aca="1" ref="G177" ca="1">CONCATENATE(INDIRECT(ADDRESS(1,6,1,0,"KeySet"),0),":","""",TEXT(valueMaker!G177,"yyyy/m/d"),"""")</f>
        <v>tanjyoubi:"2008/1/4"</v>
      </c>
      <c r="H177" t="str" cm="1">
        <f t="array" aca="1" ref="H177" ca="1">CONCATENATE(INDIRECT(ADDRESS(1,6,1,0,"KeySet"),0),":","""",TEXT(valueMaker!H177,"yyyy/m/d"),"""")</f>
        <v>tanjyoubi:"2010/1/3"</v>
      </c>
      <c r="I177" t="str" cm="1">
        <f t="array" aca="1" ref="I177" ca="1">CONCATENATE(INDIRECT(ADDRESS(1,9,1,0,"KeySet"),0),":","""",valueMaker!I177,"""")</f>
        <v>denwaBangou:"080-3099-1081"</v>
      </c>
      <c r="J177" t="str" cm="1">
        <f t="array" aca="1" ref="J177" ca="1">CONCATENATE(INDIRECT(ADDRESS(1,10,1,0,"KeySet"),0),":","""",valueMaker!J177,"""")</f>
        <v>mailAddress:"Xu_Cai_Ya_39451@outlook.jp.co"</v>
      </c>
      <c r="K177" t="str" cm="1">
        <f t="array" aca="1" ref="K177" ca="1">CONCATENATE(INDIRECT(ADDRESS(1,11,1,0,"KeySet"),0),":","""",valueMaker!K177,"""")</f>
        <v>kaninSyubetu:"高級"</v>
      </c>
      <c r="L177" t="str" cm="1">
        <f t="array" aca="1" ref="L177" ca="1">CONCATENATE(INDIRECT(ADDRESS(1,12,1,0,"KeySet"),0),":","""",valueMaker!L177,"""")</f>
        <v>kaninKengenWB:"有り"</v>
      </c>
      <c r="M177" t="str" cm="1">
        <f t="array" aca="1" ref="M177" ca="1">CONCATENATE(INDIRECT(ADDRESS(1,13,1,0,"KeySet"),0),":","""",valueMaker!M177,"""")</f>
        <v>wakibiri:"10%"</v>
      </c>
      <c r="N177" t="str" cm="1">
        <f t="array" aca="1" ref="N177" ca="1">CONCATENATE(INDIRECT(ADDRESS(1,14,1,0,"KeySet"),0),":","""",valueMaker!N177,"""")</f>
        <v>kaninKengenPoint:"有り"</v>
      </c>
      <c r="O177" t="str" cm="1">
        <f t="array" aca="1" ref="O177" ca="1">CONCATENATE(INDIRECT(ADDRESS(1,15,1,0,"KeySet"),0),":","""",valueMaker!O177,"""")</f>
        <v>point:"604"</v>
      </c>
      <c r="P177" t="str" cm="1">
        <f t="array" aca="1" ref="P177" ca="1">CONCATENATE(INDIRECT(ADDRESS(1,16,1,0,"KeySet"),0),":","""",valueMaker!P177,"""")</f>
        <v>bikou:""</v>
      </c>
    </row>
    <row r="178" spans="1:16">
      <c r="A178" t="str" cm="1">
        <f t="array" aca="1" ref="A178" ca="1">CONCATENATE(INDIRECT(ADDRESS(1,1,1,0,"KeySet"),0),":","""",valueMaker!A178,"""")</f>
        <v>kainBangou:"TD10177"</v>
      </c>
      <c r="B178" t="str" cm="1">
        <f t="array" aca="1" ref="B178" ca="1">CONCATENATE(INDIRECT(ADDRESS(1,2,1,0,"KeySet"),0),":","""",valueMaker!B178,"""")</f>
        <v>kainMeiKanji:"高德基"</v>
      </c>
      <c r="C178" t="str" cm="1">
        <f t="array" aca="1" ref="C178" ca="1">CONCATENATE(INDIRECT(ADDRESS(1,3,1,0,"KeySet"),0),":","""",valueMaker!C178,"""")</f>
        <v>kainMeiKana:"ｶﾞｵ ﾄﾞｰｧ ｼﾞｰ"</v>
      </c>
      <c r="D178" t="str" cm="1">
        <f t="array" aca="1" ref="D178" ca="1">CONCATENATE(INDIRECT(ADDRESS(1,4,1,0,"KeySet"),0),":","""",valueMaker!D178,"""")</f>
        <v>kainMeiEn:"Gao De Ji"</v>
      </c>
      <c r="E178" t="str" cm="1">
        <f t="array" aca="1" ref="E178" ca="1">CONCATENATE(INDIRECT(ADDRESS(1,5,1,0,"KeySet"),0),":","""",valueMaker!E178,"""")</f>
        <v>kainGender:"-"</v>
      </c>
      <c r="F178" t="str" cm="1">
        <f t="array" aca="1" ref="F178" ca="1">CONCATENATE(INDIRECT(ADDRESS(1,6,1,0,"KeySet"),0),":","""",TEXT(valueMaker!F178,"yyyy/m/d"),"""")</f>
        <v>tanjyoubi:"2002/6/2"</v>
      </c>
      <c r="G178" t="str" cm="1">
        <f t="array" aca="1" ref="G178" ca="1">CONCATENATE(INDIRECT(ADDRESS(1,6,1,0,"KeySet"),0),":","""",TEXT(valueMaker!G178,"yyyy/m/d"),"""")</f>
        <v>tanjyoubi:"2024/4/16"</v>
      </c>
      <c r="H178" t="str" cm="1">
        <f t="array" aca="1" ref="H178" ca="1">CONCATENATE(INDIRECT(ADDRESS(1,6,1,0,"KeySet"),0),":","""",TEXT(valueMaker!H178,"yyyy/m/d"),"""")</f>
        <v>tanjyoubi:"2026/4/16"</v>
      </c>
      <c r="I178" t="str" cm="1">
        <f t="array" aca="1" ref="I178" ca="1">CONCATENATE(INDIRECT(ADDRESS(1,9,1,0,"KeySet"),0),":","""",valueMaker!I178,"""")</f>
        <v>denwaBangou:"080-0066-0691"</v>
      </c>
      <c r="J178" t="str" cm="1">
        <f t="array" aca="1" ref="J178" ca="1">CONCATENATE(INDIRECT(ADDRESS(1,10,1,0,"KeySet"),0),":","""",valueMaker!J178,"""")</f>
        <v>mailAddress:"Gao_De_Ji_45398@outlook.jp.co"</v>
      </c>
      <c r="K178" t="str" cm="1">
        <f t="array" aca="1" ref="K178" ca="1">CONCATENATE(INDIRECT(ADDRESS(1,11,1,0,"KeySet"),0),":","""",valueMaker!K178,"""")</f>
        <v>kaninSyubetu:"普通"</v>
      </c>
      <c r="L178" t="str" cm="1">
        <f t="array" aca="1" ref="L178" ca="1">CONCATENATE(INDIRECT(ADDRESS(1,12,1,0,"KeySet"),0),":","""",valueMaker!L178,"""")</f>
        <v>kaninKengenWB:"有り"</v>
      </c>
      <c r="M178" t="str" cm="1">
        <f t="array" aca="1" ref="M178" ca="1">CONCATENATE(INDIRECT(ADDRESS(1,13,1,0,"KeySet"),0),":","""",valueMaker!M178,"""")</f>
        <v>wakibiri:"5%"</v>
      </c>
      <c r="N178" t="str" cm="1">
        <f t="array" aca="1" ref="N178" ca="1">CONCATENATE(INDIRECT(ADDRESS(1,14,1,0,"KeySet"),0),":","""",valueMaker!N178,"""")</f>
        <v>kaninKengenPoint:"-"</v>
      </c>
      <c r="O178" t="str" cm="1">
        <f t="array" aca="1" ref="O178" ca="1">CONCATENATE(INDIRECT(ADDRESS(1,15,1,0,"KeySet"),0),":","""",valueMaker!O178,"""")</f>
        <v>point:"-"</v>
      </c>
      <c r="P178" t="str" cm="1">
        <f t="array" aca="1" ref="P178" ca="1">CONCATENATE(INDIRECT(ADDRESS(1,16,1,0,"KeySet"),0),":","""",valueMaker!P178,"""")</f>
        <v>bikou:""</v>
      </c>
    </row>
    <row r="179" spans="1:16">
      <c r="A179" t="str" cm="1">
        <f t="array" aca="1" ref="A179" ca="1">CONCATENATE(INDIRECT(ADDRESS(1,1,1,0,"KeySet"),0),":","""",valueMaker!A179,"""")</f>
        <v>kainBangou:"TD10178"</v>
      </c>
      <c r="B179" t="str" cm="1">
        <f t="array" aca="1" ref="B179" ca="1">CONCATENATE(INDIRECT(ADDRESS(1,2,1,0,"KeySet"),0),":","""",valueMaker!B179,"""")</f>
        <v>kainMeiKanji:"何樂真"</v>
      </c>
      <c r="C179" t="str" cm="1">
        <f t="array" aca="1" ref="C179" ca="1">CONCATENATE(INDIRECT(ADDRESS(1,3,1,0,"KeySet"),0),":","""",valueMaker!C179,"""")</f>
        <v>kainMeiKana:"ﾎｰｧ ﾛｰｧ ｼﾞｪﾝ"</v>
      </c>
      <c r="D179" t="str" cm="1">
        <f t="array" aca="1" ref="D179" ca="1">CONCATENATE(INDIRECT(ADDRESS(1,4,1,0,"KeySet"),0),":","""",valueMaker!D179,"""")</f>
        <v>kainMeiEn:"He Le Zhen"</v>
      </c>
      <c r="E179" t="str" cm="1">
        <f t="array" aca="1" ref="E179" ca="1">CONCATENATE(INDIRECT(ADDRESS(1,5,1,0,"KeySet"),0),":","""",valueMaker!E179,"""")</f>
        <v>kainGender:"女性"</v>
      </c>
      <c r="F179" t="str" cm="1">
        <f t="array" aca="1" ref="F179" ca="1">CONCATENATE(INDIRECT(ADDRESS(1,6,1,0,"KeySet"),0),":","""",TEXT(valueMaker!F179,"yyyy/m/d"),"""")</f>
        <v>tanjyoubi:"1960/2/17"</v>
      </c>
      <c r="G179" t="str" cm="1">
        <f t="array" aca="1" ref="G179" ca="1">CONCATENATE(INDIRECT(ADDRESS(1,6,1,0,"KeySet"),0),":","""",TEXT(valueMaker!G179,"yyyy/m/d"),"""")</f>
        <v>tanjyoubi:"2016/6/14"</v>
      </c>
      <c r="H179" t="str" cm="1">
        <f t="array" aca="1" ref="H179" ca="1">CONCATENATE(INDIRECT(ADDRESS(1,6,1,0,"KeySet"),0),":","""",TEXT(valueMaker!H179,"yyyy/m/d"),"""")</f>
        <v>tanjyoubi:"2019/6/14"</v>
      </c>
      <c r="I179" t="str" cm="1">
        <f t="array" aca="1" ref="I179" ca="1">CONCATENATE(INDIRECT(ADDRESS(1,9,1,0,"KeySet"),0),":","""",valueMaker!I179,"""")</f>
        <v>denwaBangou:"080-0762-5591"</v>
      </c>
      <c r="J179" t="str" cm="1">
        <f t="array" aca="1" ref="J179" ca="1">CONCATENATE(INDIRECT(ADDRESS(1,10,1,0,"KeySet"),0),":","""",valueMaker!J179,"""")</f>
        <v>mailAddress:"He_Le Zhen_42535@outlook.jp.co"</v>
      </c>
      <c r="K179" t="str" cm="1">
        <f t="array" aca="1" ref="K179" ca="1">CONCATENATE(INDIRECT(ADDRESS(1,11,1,0,"KeySet"),0),":","""",valueMaker!K179,"""")</f>
        <v>kaninSyubetu:"普通"</v>
      </c>
      <c r="L179" t="str" cm="1">
        <f t="array" aca="1" ref="L179" ca="1">CONCATENATE(INDIRECT(ADDRESS(1,12,1,0,"KeySet"),0),":","""",valueMaker!L179,"""")</f>
        <v>kaninKengenWB:"有り"</v>
      </c>
      <c r="M179" t="str" cm="1">
        <f t="array" aca="1" ref="M179" ca="1">CONCATENATE(INDIRECT(ADDRESS(1,13,1,0,"KeySet"),0),":","""",valueMaker!M179,"""")</f>
        <v>wakibiri:"5%"</v>
      </c>
      <c r="N179" t="str" cm="1">
        <f t="array" aca="1" ref="N179" ca="1">CONCATENATE(INDIRECT(ADDRESS(1,14,1,0,"KeySet"),0),":","""",valueMaker!N179,"""")</f>
        <v>kaninKengenPoint:"有り"</v>
      </c>
      <c r="O179" t="str" cm="1">
        <f t="array" aca="1" ref="O179" ca="1">CONCATENATE(INDIRECT(ADDRESS(1,15,1,0,"KeySet"),0),":","""",valueMaker!O179,"""")</f>
        <v>point:"787"</v>
      </c>
      <c r="P179" t="str" cm="1">
        <f t="array" aca="1" ref="P179" ca="1">CONCATENATE(INDIRECT(ADDRESS(1,16,1,0,"KeySet"),0),":","""",valueMaker!P179,"""")</f>
        <v>bikou:""</v>
      </c>
    </row>
    <row r="180" spans="1:16">
      <c r="A180" t="str" cm="1">
        <f t="array" aca="1" ref="A180" ca="1">CONCATENATE(INDIRECT(ADDRESS(1,1,1,0,"KeySet"),0),":","""",valueMaker!A180,"""")</f>
        <v>kainBangou:"TD10179"</v>
      </c>
      <c r="B180" t="str" cm="1">
        <f t="array" aca="1" ref="B180" ca="1">CONCATENATE(INDIRECT(ADDRESS(1,2,1,0,"KeySet"),0),":","""",valueMaker!B180,"""")</f>
        <v>kainMeiKanji:"唐鋒逸"</v>
      </c>
      <c r="C180" t="str" cm="1">
        <f t="array" aca="1" ref="C180" ca="1">CONCATENATE(INDIRECT(ADDRESS(1,3,1,0,"KeySet"),0),":","""",valueMaker!C180,"""")</f>
        <v>kainMeiKana:"ﾀｰﾝ ﾌｵﾝ ｲｰ"</v>
      </c>
      <c r="D180" t="str" cm="1">
        <f t="array" aca="1" ref="D180" ca="1">CONCATENATE(INDIRECT(ADDRESS(1,4,1,0,"KeySet"),0),":","""",valueMaker!D180,"""")</f>
        <v>kainMeiEn:"Tang Feng Yi"</v>
      </c>
      <c r="E180" t="str" cm="1">
        <f t="array" aca="1" ref="E180" ca="1">CONCATENATE(INDIRECT(ADDRESS(1,5,1,0,"KeySet"),0),":","""",valueMaker!E180,"""")</f>
        <v>kainGender:"-"</v>
      </c>
      <c r="F180" t="str" cm="1">
        <f t="array" aca="1" ref="F180" ca="1">CONCATENATE(INDIRECT(ADDRESS(1,6,1,0,"KeySet"),0),":","""",TEXT(valueMaker!F180,"yyyy/m/d"),"""")</f>
        <v>tanjyoubi:"1981/12/15"</v>
      </c>
      <c r="G180" t="str" cm="1">
        <f t="array" aca="1" ref="G180" ca="1">CONCATENATE(INDIRECT(ADDRESS(1,6,1,0,"KeySet"),0),":","""",TEXT(valueMaker!G180,"yyyy/m/d"),"""")</f>
        <v>tanjyoubi:"2012/9/17"</v>
      </c>
      <c r="H180" t="str" cm="1">
        <f t="array" aca="1" ref="H180" ca="1">CONCATENATE(INDIRECT(ADDRESS(1,6,1,0,"KeySet"),0),":","""",TEXT(valueMaker!H180,"yyyy/m/d"),"""")</f>
        <v>tanjyoubi:"2015/9/17"</v>
      </c>
      <c r="I180" t="str" cm="1">
        <f t="array" aca="1" ref="I180" ca="1">CONCATENATE(INDIRECT(ADDRESS(1,9,1,0,"KeySet"),0),":","""",valueMaker!I180,"""")</f>
        <v>denwaBangou:"090-7724-9167"</v>
      </c>
      <c r="J180" t="str" cm="1">
        <f t="array" aca="1" ref="J180" ca="1">CONCATENATE(INDIRECT(ADDRESS(1,10,1,0,"KeySet"),0),":","""",valueMaker!J180,"""")</f>
        <v>mailAddress:"Tang_Feng_Yi_41169@outlook.jp.co"</v>
      </c>
      <c r="K180" t="str" cm="1">
        <f t="array" aca="1" ref="K180" ca="1">CONCATENATE(INDIRECT(ADDRESS(1,11,1,0,"KeySet"),0),":","""",valueMaker!K180,"""")</f>
        <v>kaninSyubetu:"普通"</v>
      </c>
      <c r="L180" t="str" cm="1">
        <f t="array" aca="1" ref="L180" ca="1">CONCATENATE(INDIRECT(ADDRESS(1,12,1,0,"KeySet"),0),":","""",valueMaker!L180,"""")</f>
        <v>kaninKengenWB:"有り"</v>
      </c>
      <c r="M180" t="str" cm="1">
        <f t="array" aca="1" ref="M180" ca="1">CONCATENATE(INDIRECT(ADDRESS(1,13,1,0,"KeySet"),0),":","""",valueMaker!M180,"""")</f>
        <v>wakibiri:"5%"</v>
      </c>
      <c r="N180" t="str" cm="1">
        <f t="array" aca="1" ref="N180" ca="1">CONCATENATE(INDIRECT(ADDRESS(1,14,1,0,"KeySet"),0),":","""",valueMaker!N180,"""")</f>
        <v>kaninKengenPoint:"-"</v>
      </c>
      <c r="O180" t="str" cm="1">
        <f t="array" aca="1" ref="O180" ca="1">CONCATENATE(INDIRECT(ADDRESS(1,15,1,0,"KeySet"),0),":","""",valueMaker!O180,"""")</f>
        <v>point:"-"</v>
      </c>
      <c r="P180" t="str" cm="1">
        <f t="array" aca="1" ref="P180" ca="1">CONCATENATE(INDIRECT(ADDRESS(1,16,1,0,"KeySet"),0),":","""",valueMaker!P180,"""")</f>
        <v>bikou:""</v>
      </c>
    </row>
    <row r="181" spans="1:16">
      <c r="A181" t="str" cm="1">
        <f t="array" aca="1" ref="A181" ca="1">CONCATENATE(INDIRECT(ADDRESS(1,1,1,0,"KeySet"),0),":","""",valueMaker!A181,"""")</f>
        <v>kainBangou:"TD10180"</v>
      </c>
      <c r="B181" t="str" cm="1">
        <f t="array" aca="1" ref="B181" ca="1">CONCATENATE(INDIRECT(ADDRESS(1,2,1,0,"KeySet"),0),":","""",valueMaker!B181,"""")</f>
        <v>kainMeiKanji:"馮珍雪"</v>
      </c>
      <c r="C181" t="str" cm="1">
        <f t="array" aca="1" ref="C181" ca="1">CONCATENATE(INDIRECT(ADDRESS(1,3,1,0,"KeySet"),0),":","""",valueMaker!C181,"""")</f>
        <v>kainMeiKana:"ﾌｵﾝ ｼﾞｪﾝ ｼｭｴ"</v>
      </c>
      <c r="D181" t="str" cm="1">
        <f t="array" aca="1" ref="D181" ca="1">CONCATENATE(INDIRECT(ADDRESS(1,4,1,0,"KeySet"),0),":","""",valueMaker!D181,"""")</f>
        <v>kainMeiEn:"Feng Zhen Xue"</v>
      </c>
      <c r="E181" t="str" cm="1">
        <f t="array" aca="1" ref="E181" ca="1">CONCATENATE(INDIRECT(ADDRESS(1,5,1,0,"KeySet"),0),":","""",valueMaker!E181,"""")</f>
        <v>kainGender:"女性"</v>
      </c>
      <c r="F181" t="str" cm="1">
        <f t="array" aca="1" ref="F181" ca="1">CONCATENATE(INDIRECT(ADDRESS(1,6,1,0,"KeySet"),0),":","""",TEXT(valueMaker!F181,"yyyy/m/d"),"""")</f>
        <v>tanjyoubi:"1972/6/24"</v>
      </c>
      <c r="G181" t="str" cm="1">
        <f t="array" aca="1" ref="G181" ca="1">CONCATENATE(INDIRECT(ADDRESS(1,6,1,0,"KeySet"),0),":","""",TEXT(valueMaker!G181,"yyyy/m/d"),"""")</f>
        <v>tanjyoubi:"2006/2/2"</v>
      </c>
      <c r="H181" t="str" cm="1">
        <f t="array" aca="1" ref="H181" ca="1">CONCATENATE(INDIRECT(ADDRESS(1,6,1,0,"KeySet"),0),":","""",TEXT(valueMaker!H181,"yyyy/m/d"),"""")</f>
        <v>tanjyoubi:"2007/2/2"</v>
      </c>
      <c r="I181" t="str" cm="1">
        <f t="array" aca="1" ref="I181" ca="1">CONCATENATE(INDIRECT(ADDRESS(1,9,1,0,"KeySet"),0),":","""",valueMaker!I181,"""")</f>
        <v>denwaBangou:"080-5030-7954"</v>
      </c>
      <c r="J181" t="str" cm="1">
        <f t="array" aca="1" ref="J181" ca="1">CONCATENATE(INDIRECT(ADDRESS(1,10,1,0,"KeySet"),0),":","""",valueMaker!J181,"""")</f>
        <v>mailAddress:"Feng_Zhen_Xue_38750@outlook.jp.co"</v>
      </c>
      <c r="K181" t="str" cm="1">
        <f t="array" aca="1" ref="K181" ca="1">CONCATENATE(INDIRECT(ADDRESS(1,11,1,0,"KeySet"),0),":","""",valueMaker!K181,"""")</f>
        <v>kaninSyubetu:"普通"</v>
      </c>
      <c r="L181" t="str" cm="1">
        <f t="array" aca="1" ref="L181" ca="1">CONCATENATE(INDIRECT(ADDRESS(1,12,1,0,"KeySet"),0),":","""",valueMaker!L181,"""")</f>
        <v>kaninKengenWB:"有り"</v>
      </c>
      <c r="M181" t="str" cm="1">
        <f t="array" aca="1" ref="M181" ca="1">CONCATENATE(INDIRECT(ADDRESS(1,13,1,0,"KeySet"),0),":","""",valueMaker!M181,"""")</f>
        <v>wakibiri:"5%"</v>
      </c>
      <c r="N181" t="str" cm="1">
        <f t="array" aca="1" ref="N181" ca="1">CONCATENATE(INDIRECT(ADDRESS(1,14,1,0,"KeySet"),0),":","""",valueMaker!N181,"""")</f>
        <v>kaninKengenPoint:"有り"</v>
      </c>
      <c r="O181" t="str" cm="1">
        <f t="array" aca="1" ref="O181" ca="1">CONCATENATE(INDIRECT(ADDRESS(1,15,1,0,"KeySet"),0),":","""",valueMaker!O181,"""")</f>
        <v>point:"620"</v>
      </c>
      <c r="P181" t="str" cm="1">
        <f t="array" aca="1" ref="P181" ca="1">CONCATENATE(INDIRECT(ADDRESS(1,16,1,0,"KeySet"),0),":","""",valueMaker!P181,"""")</f>
        <v>bikou:""</v>
      </c>
    </row>
    <row r="182" spans="1:16">
      <c r="A182" t="str" cm="1">
        <f t="array" aca="1" ref="A182" ca="1">CONCATENATE(INDIRECT(ADDRESS(1,1,1,0,"KeySet"),0),":","""",valueMaker!A182,"""")</f>
        <v>kainBangou:"TD10181"</v>
      </c>
      <c r="B182" t="str" cm="1">
        <f t="array" aca="1" ref="B182" ca="1">CONCATENATE(INDIRECT(ADDRESS(1,2,1,0,"KeySet"),0),":","""",valueMaker!B182,"""")</f>
        <v>kainMeiKanji:"吳彤媛"</v>
      </c>
      <c r="C182" t="str" cm="1">
        <f t="array" aca="1" ref="C182" ca="1">CONCATENATE(INDIRECT(ADDRESS(1,3,1,0,"KeySet"),0),":","""",valueMaker!C182,"""")</f>
        <v>kainMeiKana:"ｳｰ ﾄｰﾝ ﾕｴﾝ"</v>
      </c>
      <c r="D182" t="str" cm="1">
        <f t="array" aca="1" ref="D182" ca="1">CONCATENATE(INDIRECT(ADDRESS(1,4,1,0,"KeySet"),0),":","""",valueMaker!D182,"""")</f>
        <v>kainMeiEn:"Wu Tong Yuan"</v>
      </c>
      <c r="E182" t="str" cm="1">
        <f t="array" aca="1" ref="E182" ca="1">CONCATENATE(INDIRECT(ADDRESS(1,5,1,0,"KeySet"),0),":","""",valueMaker!E182,"""")</f>
        <v>kainGender:"女性"</v>
      </c>
      <c r="F182" t="str" cm="1">
        <f t="array" aca="1" ref="F182" ca="1">CONCATENATE(INDIRECT(ADDRESS(1,6,1,0,"KeySet"),0),":","""",TEXT(valueMaker!F182,"yyyy/m/d"),"""")</f>
        <v>tanjyoubi:"2005/9/27"</v>
      </c>
      <c r="G182" t="str" cm="1">
        <f t="array" aca="1" ref="G182" ca="1">CONCATENATE(INDIRECT(ADDRESS(1,6,1,0,"KeySet"),0),":","""",TEXT(valueMaker!G182,"yyyy/m/d"),"""")</f>
        <v>tanjyoubi:"2023/12/12"</v>
      </c>
      <c r="H182" t="str" cm="1">
        <f t="array" aca="1" ref="H182" ca="1">CONCATENATE(INDIRECT(ADDRESS(1,6,1,0,"KeySet"),0),":","""",TEXT(valueMaker!H182,"yyyy/m/d"),"""")</f>
        <v>tanjyoubi:"2024/12/11"</v>
      </c>
      <c r="I182" t="str" cm="1">
        <f t="array" aca="1" ref="I182" ca="1">CONCATENATE(INDIRECT(ADDRESS(1,9,1,0,"KeySet"),0),":","""",valueMaker!I182,"""")</f>
        <v>denwaBangou:"080-0801-3799"</v>
      </c>
      <c r="J182" t="str" cm="1">
        <f t="array" aca="1" ref="J182" ca="1">CONCATENATE(INDIRECT(ADDRESS(1,10,1,0,"KeySet"),0),":","""",valueMaker!J182,"""")</f>
        <v>mailAddress:"Wu_Tong_Yuan_45272@outlook.jp.co"</v>
      </c>
      <c r="K182" t="str" cm="1">
        <f t="array" aca="1" ref="K182" ca="1">CONCATENATE(INDIRECT(ADDRESS(1,11,1,0,"KeySet"),0),":","""",valueMaker!K182,"""")</f>
        <v>kaninSyubetu:"高級"</v>
      </c>
      <c r="L182" t="str" cm="1">
        <f t="array" aca="1" ref="L182" ca="1">CONCATENATE(INDIRECT(ADDRESS(1,12,1,0,"KeySet"),0),":","""",valueMaker!L182,"""")</f>
        <v>kaninKengenWB:"有り"</v>
      </c>
      <c r="M182" t="str" cm="1">
        <f t="array" aca="1" ref="M182" ca="1">CONCATENATE(INDIRECT(ADDRESS(1,13,1,0,"KeySet"),0),":","""",valueMaker!M182,"""")</f>
        <v>wakibiri:"10%"</v>
      </c>
      <c r="N182" t="str" cm="1">
        <f t="array" aca="1" ref="N182" ca="1">CONCATENATE(INDIRECT(ADDRESS(1,14,1,0,"KeySet"),0),":","""",valueMaker!N182,"""")</f>
        <v>kaninKengenPoint:"有り"</v>
      </c>
      <c r="O182" t="str" cm="1">
        <f t="array" aca="1" ref="O182" ca="1">CONCATENATE(INDIRECT(ADDRESS(1,15,1,0,"KeySet"),0),":","""",valueMaker!O182,"""")</f>
        <v>point:"726"</v>
      </c>
      <c r="P182" t="str" cm="1">
        <f t="array" aca="1" ref="P182" ca="1">CONCATENATE(INDIRECT(ADDRESS(1,16,1,0,"KeySet"),0),":","""",valueMaker!P182,"""")</f>
        <v>bikou:""</v>
      </c>
    </row>
    <row r="183" spans="1:16">
      <c r="A183" t="str" cm="1">
        <f t="array" aca="1" ref="A183" ca="1">CONCATENATE(INDIRECT(ADDRESS(1,1,1,0,"KeySet"),0),":","""",valueMaker!A183,"""")</f>
        <v>kainBangou:"TD10182"</v>
      </c>
      <c r="B183" t="str" cm="1">
        <f t="array" aca="1" ref="B183" ca="1">CONCATENATE(INDIRECT(ADDRESS(1,2,1,0,"KeySet"),0),":","""",valueMaker!B183,"""")</f>
        <v>kainMeiKanji:"馮系迅"</v>
      </c>
      <c r="C183" t="str" cm="1">
        <f t="array" aca="1" ref="C183" ca="1">CONCATENATE(INDIRECT(ADDRESS(1,3,1,0,"KeySet"),0),":","""",valueMaker!C183,"""")</f>
        <v>kainMeiKana:"ﾌｵﾝ ｼｲ ｼｭｲﾝ"</v>
      </c>
      <c r="D183" t="str" cm="1">
        <f t="array" aca="1" ref="D183" ca="1">CONCATENATE(INDIRECT(ADDRESS(1,4,1,0,"KeySet"),0),":","""",valueMaker!D183,"""")</f>
        <v>kainMeiEn:"Feng Xi Xun"</v>
      </c>
      <c r="E183" t="str" cm="1">
        <f t="array" aca="1" ref="E183" ca="1">CONCATENATE(INDIRECT(ADDRESS(1,5,1,0,"KeySet"),0),":","""",valueMaker!E183,"""")</f>
        <v>kainGender:"-"</v>
      </c>
      <c r="F183" t="str" cm="1">
        <f t="array" aca="1" ref="F183" ca="1">CONCATENATE(INDIRECT(ADDRESS(1,6,1,0,"KeySet"),0),":","""",TEXT(valueMaker!F183,"yyyy/m/d"),"""")</f>
        <v>tanjyoubi:"2004/6/7"</v>
      </c>
      <c r="G183" t="str" cm="1">
        <f t="array" aca="1" ref="G183" ca="1">CONCATENATE(INDIRECT(ADDRESS(1,6,1,0,"KeySet"),0),":","""",TEXT(valueMaker!G183,"yyyy/m/d"),"""")</f>
        <v>tanjyoubi:"2022/6/7"</v>
      </c>
      <c r="H183" t="str" cm="1">
        <f t="array" aca="1" ref="H183" ca="1">CONCATENATE(INDIRECT(ADDRESS(1,6,1,0,"KeySet"),0),":","""",TEXT(valueMaker!H183,"yyyy/m/d"),"""")</f>
        <v>tanjyoubi:"2023/6/7"</v>
      </c>
      <c r="I183" t="str" cm="1">
        <f t="array" aca="1" ref="I183" ca="1">CONCATENATE(INDIRECT(ADDRESS(1,9,1,0,"KeySet"),0),":","""",valueMaker!I183,"""")</f>
        <v>denwaBangou:"080-9548-8845"</v>
      </c>
      <c r="J183" t="str" cm="1">
        <f t="array" aca="1" ref="J183" ca="1">CONCATENATE(INDIRECT(ADDRESS(1,10,1,0,"KeySet"),0),":","""",valueMaker!J183,"""")</f>
        <v>mailAddress:"Feng_Xi Xun_44719@outlook.jp.co"</v>
      </c>
      <c r="K183" t="str" cm="1">
        <f t="array" aca="1" ref="K183" ca="1">CONCATENATE(INDIRECT(ADDRESS(1,11,1,0,"KeySet"),0),":","""",valueMaker!K183,"""")</f>
        <v>kaninSyubetu:"高級"</v>
      </c>
      <c r="L183" t="str" cm="1">
        <f t="array" aca="1" ref="L183" ca="1">CONCATENATE(INDIRECT(ADDRESS(1,12,1,0,"KeySet"),0),":","""",valueMaker!L183,"""")</f>
        <v>kaninKengenWB:"有り"</v>
      </c>
      <c r="M183" t="str" cm="1">
        <f t="array" aca="1" ref="M183" ca="1">CONCATENATE(INDIRECT(ADDRESS(1,13,1,0,"KeySet"),0),":","""",valueMaker!M183,"""")</f>
        <v>wakibiri:"10%"</v>
      </c>
      <c r="N183" t="str" cm="1">
        <f t="array" aca="1" ref="N183" ca="1">CONCATENATE(INDIRECT(ADDRESS(1,14,1,0,"KeySet"),0),":","""",valueMaker!N183,"""")</f>
        <v>kaninKengenPoint:"有り"</v>
      </c>
      <c r="O183" t="str" cm="1">
        <f t="array" aca="1" ref="O183" ca="1">CONCATENATE(INDIRECT(ADDRESS(1,15,1,0,"KeySet"),0),":","""",valueMaker!O183,"""")</f>
        <v>point:"371"</v>
      </c>
      <c r="P183" t="str" cm="1">
        <f t="array" aca="1" ref="P183" ca="1">CONCATENATE(INDIRECT(ADDRESS(1,16,1,0,"KeySet"),0),":","""",valueMaker!P183,"""")</f>
        <v>bikou:""</v>
      </c>
    </row>
    <row r="184" spans="1:16">
      <c r="A184" t="str" cm="1">
        <f t="array" aca="1" ref="A184" ca="1">CONCATENATE(INDIRECT(ADDRESS(1,1,1,0,"KeySet"),0),":","""",valueMaker!A184,"""")</f>
        <v>kainBangou:"TD10183"</v>
      </c>
      <c r="B184" t="str" cm="1">
        <f t="array" aca="1" ref="B184" ca="1">CONCATENATE(INDIRECT(ADDRESS(1,2,1,0,"KeySet"),0),":","""",valueMaker!B184,"""")</f>
        <v>kainMeiKanji:"吳浚微"</v>
      </c>
      <c r="C184" t="str" cm="1">
        <f t="array" aca="1" ref="C184" ca="1">CONCATENATE(INDIRECT(ADDRESS(1,3,1,0,"KeySet"),0),":","""",valueMaker!C184,"""")</f>
        <v>kainMeiKana:"ｳｰ ｼﾞｭｲﾝ ｳｴｲ"</v>
      </c>
      <c r="D184" t="str" cm="1">
        <f t="array" aca="1" ref="D184" ca="1">CONCATENATE(INDIRECT(ADDRESS(1,4,1,0,"KeySet"),0),":","""",valueMaker!D184,"""")</f>
        <v>kainMeiEn:"Wu Jun Wei"</v>
      </c>
      <c r="E184" t="str" cm="1">
        <f t="array" aca="1" ref="E184" ca="1">CONCATENATE(INDIRECT(ADDRESS(1,5,1,0,"KeySet"),0),":","""",valueMaker!E184,"""")</f>
        <v>kainGender:"男性"</v>
      </c>
      <c r="F184" t="str" cm="1">
        <f t="array" aca="1" ref="F184" ca="1">CONCATENATE(INDIRECT(ADDRESS(1,6,1,0,"KeySet"),0),":","""",TEXT(valueMaker!F184,"yyyy/m/d"),"""")</f>
        <v>tanjyoubi:"1967/12/22"</v>
      </c>
      <c r="G184" t="str" cm="1">
        <f t="array" aca="1" ref="G184" ca="1">CONCATENATE(INDIRECT(ADDRESS(1,6,1,0,"KeySet"),0),":","""",TEXT(valueMaker!G184,"yyyy/m/d"),"""")</f>
        <v>tanjyoubi:"2001/5/29"</v>
      </c>
      <c r="H184" t="str" cm="1">
        <f t="array" aca="1" ref="H184" ca="1">CONCATENATE(INDIRECT(ADDRESS(1,6,1,0,"KeySet"),0),":","""",TEXT(valueMaker!H184,"yyyy/m/d"),"""")</f>
        <v>tanjyoubi:"2003/5/29"</v>
      </c>
      <c r="I184" t="str" cm="1">
        <f t="array" aca="1" ref="I184" ca="1">CONCATENATE(INDIRECT(ADDRESS(1,9,1,0,"KeySet"),0),":","""",valueMaker!I184,"""")</f>
        <v>denwaBangou:"080-7629-5513"</v>
      </c>
      <c r="J184" t="str" cm="1">
        <f t="array" aca="1" ref="J184" ca="1">CONCATENATE(INDIRECT(ADDRESS(1,10,1,0,"KeySet"),0),":","""",valueMaker!J184,"""")</f>
        <v>mailAddress:"Wu_Jun Wei_37040@outlook.jp.co"</v>
      </c>
      <c r="K184" t="str" cm="1">
        <f t="array" aca="1" ref="K184" ca="1">CONCATENATE(INDIRECT(ADDRESS(1,11,1,0,"KeySet"),0),":","""",valueMaker!K184,"""")</f>
        <v>kaninSyubetu:"普通"</v>
      </c>
      <c r="L184" t="str" cm="1">
        <f t="array" aca="1" ref="L184" ca="1">CONCATENATE(INDIRECT(ADDRESS(1,12,1,0,"KeySet"),0),":","""",valueMaker!L184,"""")</f>
        <v>kaninKengenWB:"有り"</v>
      </c>
      <c r="M184" t="str" cm="1">
        <f t="array" aca="1" ref="M184" ca="1">CONCATENATE(INDIRECT(ADDRESS(1,13,1,0,"KeySet"),0),":","""",valueMaker!M184,"""")</f>
        <v>wakibiri:"5%"</v>
      </c>
      <c r="N184" t="str" cm="1">
        <f t="array" aca="1" ref="N184" ca="1">CONCATENATE(INDIRECT(ADDRESS(1,14,1,0,"KeySet"),0),":","""",valueMaker!N184,"""")</f>
        <v>kaninKengenPoint:"有り"</v>
      </c>
      <c r="O184" t="str" cm="1">
        <f t="array" aca="1" ref="O184" ca="1">CONCATENATE(INDIRECT(ADDRESS(1,15,1,0,"KeySet"),0),":","""",valueMaker!O184,"""")</f>
        <v>point:"603"</v>
      </c>
      <c r="P184" t="str" cm="1">
        <f t="array" aca="1" ref="P184" ca="1">CONCATENATE(INDIRECT(ADDRESS(1,16,1,0,"KeySet"),0),":","""",valueMaker!P184,"""")</f>
        <v>bikou:""</v>
      </c>
    </row>
    <row r="185" spans="1:16">
      <c r="A185" t="str" cm="1">
        <f t="array" aca="1" ref="A185" ca="1">CONCATENATE(INDIRECT(ADDRESS(1,1,1,0,"KeySet"),0),":","""",valueMaker!A185,"""")</f>
        <v>kainBangou:"TD10184"</v>
      </c>
      <c r="B185" t="str" cm="1">
        <f t="array" aca="1" ref="B185" ca="1">CONCATENATE(INDIRECT(ADDRESS(1,2,1,0,"KeySet"),0),":","""",valueMaker!B185,"""")</f>
        <v>kainMeiKanji:"林祖彥"</v>
      </c>
      <c r="C185" t="str" cm="1">
        <f t="array" aca="1" ref="C185" ca="1">CONCATENATE(INDIRECT(ADDRESS(1,3,1,0,"KeySet"),0),":","""",valueMaker!C185,"""")</f>
        <v>kainMeiKana:"ﾘﾝ ｽﾞｩ ｲｴﾝ"</v>
      </c>
      <c r="D185" t="str" cm="1">
        <f t="array" aca="1" ref="D185" ca="1">CONCATENATE(INDIRECT(ADDRESS(1,4,1,0,"KeySet"),0),":","""",valueMaker!D185,"""")</f>
        <v>kainMeiEn:"Lin Zu Yan"</v>
      </c>
      <c r="E185" t="str" cm="1">
        <f t="array" aca="1" ref="E185" ca="1">CONCATENATE(INDIRECT(ADDRESS(1,5,1,0,"KeySet"),0),":","""",valueMaker!E185,"""")</f>
        <v>kainGender:"男性"</v>
      </c>
      <c r="F185" t="str" cm="1">
        <f t="array" aca="1" ref="F185" ca="1">CONCATENATE(INDIRECT(ADDRESS(1,6,1,0,"KeySet"),0),":","""",TEXT(valueMaker!F185,"yyyy/m/d"),"""")</f>
        <v>tanjyoubi:"1987/10/19"</v>
      </c>
      <c r="G185" t="str" cm="1">
        <f t="array" aca="1" ref="G185" ca="1">CONCATENATE(INDIRECT(ADDRESS(1,6,1,0,"KeySet"),0),":","""",TEXT(valueMaker!G185,"yyyy/m/d"),"""")</f>
        <v>tanjyoubi:"2006/11/5"</v>
      </c>
      <c r="H185" t="str" cm="1">
        <f t="array" aca="1" ref="H185" ca="1">CONCATENATE(INDIRECT(ADDRESS(1,6,1,0,"KeySet"),0),":","""",TEXT(valueMaker!H185,"yyyy/m/d"),"""")</f>
        <v>tanjyoubi:"2007/11/5"</v>
      </c>
      <c r="I185" t="str" cm="1">
        <f t="array" aca="1" ref="I185" ca="1">CONCATENATE(INDIRECT(ADDRESS(1,9,1,0,"KeySet"),0),":","""",valueMaker!I185,"""")</f>
        <v>denwaBangou:"090-0507-4695"</v>
      </c>
      <c r="J185" t="str" cm="1">
        <f t="array" aca="1" ref="J185" ca="1">CONCATENATE(INDIRECT(ADDRESS(1,10,1,0,"KeySet"),0),":","""",valueMaker!J185,"""")</f>
        <v>mailAddress:"Lin_Zu_Yan_39026@outlook.jp.co"</v>
      </c>
      <c r="K185" t="str" cm="1">
        <f t="array" aca="1" ref="K185" ca="1">CONCATENATE(INDIRECT(ADDRESS(1,11,1,0,"KeySet"),0),":","""",valueMaker!K185,"""")</f>
        <v>kaninSyubetu:"高級"</v>
      </c>
      <c r="L185" t="str" cm="1">
        <f t="array" aca="1" ref="L185" ca="1">CONCATENATE(INDIRECT(ADDRESS(1,12,1,0,"KeySet"),0),":","""",valueMaker!L185,"""")</f>
        <v>kaninKengenWB:"有り"</v>
      </c>
      <c r="M185" t="str" cm="1">
        <f t="array" aca="1" ref="M185" ca="1">CONCATENATE(INDIRECT(ADDRESS(1,13,1,0,"KeySet"),0),":","""",valueMaker!M185,"""")</f>
        <v>wakibiri:"10%"</v>
      </c>
      <c r="N185" t="str" cm="1">
        <f t="array" aca="1" ref="N185" ca="1">CONCATENATE(INDIRECT(ADDRESS(1,14,1,0,"KeySet"),0),":","""",valueMaker!N185,"""")</f>
        <v>kaninKengenPoint:"有り"</v>
      </c>
      <c r="O185" t="str" cm="1">
        <f t="array" aca="1" ref="O185" ca="1">CONCATENATE(INDIRECT(ADDRESS(1,15,1,0,"KeySet"),0),":","""",valueMaker!O185,"""")</f>
        <v>point:"455"</v>
      </c>
      <c r="P185" t="str" cm="1">
        <f t="array" aca="1" ref="P185" ca="1">CONCATENATE(INDIRECT(ADDRESS(1,16,1,0,"KeySet"),0),":","""",valueMaker!P185,"""")</f>
        <v>bikou:""</v>
      </c>
    </row>
    <row r="186" spans="1:16">
      <c r="A186" t="str" cm="1">
        <f t="array" aca="1" ref="A186" ca="1">CONCATENATE(INDIRECT(ADDRESS(1,1,1,0,"KeySet"),0),":","""",valueMaker!A186,"""")</f>
        <v>kainBangou:"TD10185"</v>
      </c>
      <c r="B186" t="str" cm="1">
        <f t="array" aca="1" ref="B186" ca="1">CONCATENATE(INDIRECT(ADDRESS(1,2,1,0,"KeySet"),0),":","""",valueMaker!B186,"""")</f>
        <v>kainMeiKanji:"張秀髮"</v>
      </c>
      <c r="C186" t="str" cm="1">
        <f t="array" aca="1" ref="C186" ca="1">CONCATENATE(INDIRECT(ADDRESS(1,3,1,0,"KeySet"),0),":","""",valueMaker!C186,"""")</f>
        <v>kainMeiKana:"ｼﾞｬｰﾝ ｼｳ ﾌｧｰ"</v>
      </c>
      <c r="D186" t="str" cm="1">
        <f t="array" aca="1" ref="D186" ca="1">CONCATENATE(INDIRECT(ADDRESS(1,4,1,0,"KeySet"),0),":","""",valueMaker!D186,"""")</f>
        <v>kainMeiEn:"Zhang Xiu Fa"</v>
      </c>
      <c r="E186" t="str" cm="1">
        <f t="array" aca="1" ref="E186" ca="1">CONCATENATE(INDIRECT(ADDRESS(1,5,1,0,"KeySet"),0),":","""",valueMaker!E186,"""")</f>
        <v>kainGender:"女性"</v>
      </c>
      <c r="F186" t="str" cm="1">
        <f t="array" aca="1" ref="F186" ca="1">CONCATENATE(INDIRECT(ADDRESS(1,6,1,0,"KeySet"),0),":","""",TEXT(valueMaker!F186,"yyyy/m/d"),"""")</f>
        <v>tanjyoubi:"1974/8/7"</v>
      </c>
      <c r="G186" t="str" cm="1">
        <f t="array" aca="1" ref="G186" ca="1">CONCATENATE(INDIRECT(ADDRESS(1,6,1,0,"KeySet"),0),":","""",TEXT(valueMaker!G186,"yyyy/m/d"),"""")</f>
        <v>tanjyoubi:"1995/3/31"</v>
      </c>
      <c r="H186" t="str" cm="1">
        <f t="array" aca="1" ref="H186" ca="1">CONCATENATE(INDIRECT(ADDRESS(1,6,1,0,"KeySet"),0),":","""",TEXT(valueMaker!H186,"yyyy/m/d"),"""")</f>
        <v>tanjyoubi:"1997/3/30"</v>
      </c>
      <c r="I186" t="str" cm="1">
        <f t="array" aca="1" ref="I186" ca="1">CONCATENATE(INDIRECT(ADDRESS(1,9,1,0,"KeySet"),0),":","""",valueMaker!I186,"""")</f>
        <v>denwaBangou:"080-8775-1228"</v>
      </c>
      <c r="J186" t="str" cm="1">
        <f t="array" aca="1" ref="J186" ca="1">CONCATENATE(INDIRECT(ADDRESS(1,10,1,0,"KeySet"),0),":","""",valueMaker!J186,"""")</f>
        <v>mailAddress:"Zhang_Xiu_Fa_34789@outlook.jp.co"</v>
      </c>
      <c r="K186" t="str" cm="1">
        <f t="array" aca="1" ref="K186" ca="1">CONCATENATE(INDIRECT(ADDRESS(1,11,1,0,"KeySet"),0),":","""",valueMaker!K186,"""")</f>
        <v>kaninSyubetu:"普通"</v>
      </c>
      <c r="L186" t="str" cm="1">
        <f t="array" aca="1" ref="L186" ca="1">CONCATENATE(INDIRECT(ADDRESS(1,12,1,0,"KeySet"),0),":","""",valueMaker!L186,"""")</f>
        <v>kaninKengenWB:"-"</v>
      </c>
      <c r="M186" t="str" cm="1">
        <f t="array" aca="1" ref="M186" ca="1">CONCATENATE(INDIRECT(ADDRESS(1,13,1,0,"KeySet"),0),":","""",valueMaker!M186,"""")</f>
        <v>wakibiri:"-"</v>
      </c>
      <c r="N186" t="str" cm="1">
        <f t="array" aca="1" ref="N186" ca="1">CONCATENATE(INDIRECT(ADDRESS(1,14,1,0,"KeySet"),0),":","""",valueMaker!N186,"""")</f>
        <v>kaninKengenPoint:"有り"</v>
      </c>
      <c r="O186" t="str" cm="1">
        <f t="array" aca="1" ref="O186" ca="1">CONCATENATE(INDIRECT(ADDRESS(1,15,1,0,"KeySet"),0),":","""",valueMaker!O186,"""")</f>
        <v>point:"24"</v>
      </c>
      <c r="P186" t="str" cm="1">
        <f t="array" aca="1" ref="P186" ca="1">CONCATENATE(INDIRECT(ADDRESS(1,16,1,0,"KeySet"),0),":","""",valueMaker!P186,"""")</f>
        <v>bikou:""</v>
      </c>
    </row>
    <row r="187" spans="1:16">
      <c r="A187" t="str" cm="1">
        <f t="array" aca="1" ref="A187" ca="1">CONCATENATE(INDIRECT(ADDRESS(1,1,1,0,"KeySet"),0),":","""",valueMaker!A187,"""")</f>
        <v>kainBangou:"TD10186"</v>
      </c>
      <c r="B187" t="str" cm="1">
        <f t="array" aca="1" ref="B187" ca="1">CONCATENATE(INDIRECT(ADDRESS(1,2,1,0,"KeySet"),0),":","""",valueMaker!B187,"""")</f>
        <v>kainMeiKanji:"高電爾"</v>
      </c>
      <c r="C187" t="str" cm="1">
        <f t="array" aca="1" ref="C187" ca="1">CONCATENATE(INDIRECT(ADDRESS(1,3,1,0,"KeySet"),0),":","""",valueMaker!C187,"""")</f>
        <v>kainMeiKana:"ｶﾞｵ ﾃﾞｨｴﾝ ｱﾙ"</v>
      </c>
      <c r="D187" t="str" cm="1">
        <f t="array" aca="1" ref="D187" ca="1">CONCATENATE(INDIRECT(ADDRESS(1,4,1,0,"KeySet"),0),":","""",valueMaker!D187,"""")</f>
        <v>kainMeiEn:"Gao Dian Er"</v>
      </c>
      <c r="E187" t="str" cm="1">
        <f t="array" aca="1" ref="E187" ca="1">CONCATENATE(INDIRECT(ADDRESS(1,5,1,0,"KeySet"),0),":","""",valueMaker!E187,"""")</f>
        <v>kainGender:"男性"</v>
      </c>
      <c r="F187" t="str" cm="1">
        <f t="array" aca="1" ref="F187" ca="1">CONCATENATE(INDIRECT(ADDRESS(1,6,1,0,"KeySet"),0),":","""",TEXT(valueMaker!F187,"yyyy/m/d"),"""")</f>
        <v>tanjyoubi:"1991/12/31"</v>
      </c>
      <c r="G187" t="str" cm="1">
        <f t="array" aca="1" ref="G187" ca="1">CONCATENATE(INDIRECT(ADDRESS(1,6,1,0,"KeySet"),0),":","""",TEXT(valueMaker!G187,"yyyy/m/d"),"""")</f>
        <v>tanjyoubi:"2011/2/27"</v>
      </c>
      <c r="H187" t="str" cm="1">
        <f t="array" aca="1" ref="H187" ca="1">CONCATENATE(INDIRECT(ADDRESS(1,6,1,0,"KeySet"),0),":","""",TEXT(valueMaker!H187,"yyyy/m/d"),"""")</f>
        <v>tanjyoubi:"2012/2/27"</v>
      </c>
      <c r="I187" t="str" cm="1">
        <f t="array" aca="1" ref="I187" ca="1">CONCATENATE(INDIRECT(ADDRESS(1,9,1,0,"KeySet"),0),":","""",valueMaker!I187,"""")</f>
        <v>denwaBangou:"090-1031-4226"</v>
      </c>
      <c r="J187" t="str" cm="1">
        <f t="array" aca="1" ref="J187" ca="1">CONCATENATE(INDIRECT(ADDRESS(1,10,1,0,"KeySet"),0),":","""",valueMaker!J187,"""")</f>
        <v>mailAddress:"Gao_Dian_Er_40601@outlook.jp.co"</v>
      </c>
      <c r="K187" t="str" cm="1">
        <f t="array" aca="1" ref="K187" ca="1">CONCATENATE(INDIRECT(ADDRESS(1,11,1,0,"KeySet"),0),":","""",valueMaker!K187,"""")</f>
        <v>kaninSyubetu:"高級"</v>
      </c>
      <c r="L187" t="str" cm="1">
        <f t="array" aca="1" ref="L187" ca="1">CONCATENATE(INDIRECT(ADDRESS(1,12,1,0,"KeySet"),0),":","""",valueMaker!L187,"""")</f>
        <v>kaninKengenWB:"有り"</v>
      </c>
      <c r="M187" t="str" cm="1">
        <f t="array" aca="1" ref="M187" ca="1">CONCATENATE(INDIRECT(ADDRESS(1,13,1,0,"KeySet"),0),":","""",valueMaker!M187,"""")</f>
        <v>wakibiri:"10%"</v>
      </c>
      <c r="N187" t="str" cm="1">
        <f t="array" aca="1" ref="N187" ca="1">CONCATENATE(INDIRECT(ADDRESS(1,14,1,0,"KeySet"),0),":","""",valueMaker!N187,"""")</f>
        <v>kaninKengenPoint:"有り"</v>
      </c>
      <c r="O187" t="str" cm="1">
        <f t="array" aca="1" ref="O187" ca="1">CONCATENATE(INDIRECT(ADDRESS(1,15,1,0,"KeySet"),0),":","""",valueMaker!O187,"""")</f>
        <v>point:"916"</v>
      </c>
      <c r="P187" t="str" cm="1">
        <f t="array" aca="1" ref="P187" ca="1">CONCATENATE(INDIRECT(ADDRESS(1,16,1,0,"KeySet"),0),":","""",valueMaker!P187,"""")</f>
        <v>bikou:""</v>
      </c>
    </row>
    <row r="188" spans="1:16">
      <c r="A188" t="str" cm="1">
        <f t="array" aca="1" ref="A188" ca="1">CONCATENATE(INDIRECT(ADDRESS(1,1,1,0,"KeySet"),0),":","""",valueMaker!A188,"""")</f>
        <v>kainBangou:"TD10187"</v>
      </c>
      <c r="B188" t="str" cm="1">
        <f t="array" aca="1" ref="B188" ca="1">CONCATENATE(INDIRECT(ADDRESS(1,2,1,0,"KeySet"),0),":","""",valueMaker!B188,"""")</f>
        <v>kainMeiKanji:"宋偉榮"</v>
      </c>
      <c r="C188" t="str" cm="1">
        <f t="array" aca="1" ref="C188" ca="1">CONCATENATE(INDIRECT(ADDRESS(1,3,1,0,"KeySet"),0),":","""",valueMaker!C188,"""")</f>
        <v>kainMeiKana:"ｿｰﾝ ｳｴｲ ｩﾛｰﾝ"</v>
      </c>
      <c r="D188" t="str" cm="1">
        <f t="array" aca="1" ref="D188" ca="1">CONCATENATE(INDIRECT(ADDRESS(1,4,1,0,"KeySet"),0),":","""",valueMaker!D188,"""")</f>
        <v>kainMeiEn:"Song Wei Rong"</v>
      </c>
      <c r="E188" t="str" cm="1">
        <f t="array" aca="1" ref="E188" ca="1">CONCATENATE(INDIRECT(ADDRESS(1,5,1,0,"KeySet"),0),":","""",valueMaker!E188,"""")</f>
        <v>kainGender:"男性"</v>
      </c>
      <c r="F188" t="str" cm="1">
        <f t="array" aca="1" ref="F188" ca="1">CONCATENATE(INDIRECT(ADDRESS(1,6,1,0,"KeySet"),0),":","""",TEXT(valueMaker!F188,"yyyy/m/d"),"""")</f>
        <v>tanjyoubi:"1960/2/7"</v>
      </c>
      <c r="G188" t="str" cm="1">
        <f t="array" aca="1" ref="G188" ca="1">CONCATENATE(INDIRECT(ADDRESS(1,6,1,0,"KeySet"),0),":","""",TEXT(valueMaker!G188,"yyyy/m/d"),"""")</f>
        <v>tanjyoubi:"1989/1/11"</v>
      </c>
      <c r="H188" t="str" cm="1">
        <f t="array" aca="1" ref="H188" ca="1">CONCATENATE(INDIRECT(ADDRESS(1,6,1,0,"KeySet"),0),":","""",TEXT(valueMaker!H188,"yyyy/m/d"),"""")</f>
        <v>tanjyoubi:"1990/1/11"</v>
      </c>
      <c r="I188" t="str" cm="1">
        <f t="array" aca="1" ref="I188" ca="1">CONCATENATE(INDIRECT(ADDRESS(1,9,1,0,"KeySet"),0),":","""",valueMaker!I188,"""")</f>
        <v>denwaBangou:"080-4092-9544"</v>
      </c>
      <c r="J188" t="str" cm="1">
        <f t="array" aca="1" ref="J188" ca="1">CONCATENATE(INDIRECT(ADDRESS(1,10,1,0,"KeySet"),0),":","""",valueMaker!J188,"""")</f>
        <v>mailAddress:"Song_Wei_Rong_32519@outlook.jp.co"</v>
      </c>
      <c r="K188" t="str" cm="1">
        <f t="array" aca="1" ref="K188" ca="1">CONCATENATE(INDIRECT(ADDRESS(1,11,1,0,"KeySet"),0),":","""",valueMaker!K188,"""")</f>
        <v>kaninSyubetu:"普通"</v>
      </c>
      <c r="L188" t="str" cm="1">
        <f t="array" aca="1" ref="L188" ca="1">CONCATENATE(INDIRECT(ADDRESS(1,12,1,0,"KeySet"),0),":","""",valueMaker!L188,"""")</f>
        <v>kaninKengenWB:"有り"</v>
      </c>
      <c r="M188" t="str" cm="1">
        <f t="array" aca="1" ref="M188" ca="1">CONCATENATE(INDIRECT(ADDRESS(1,13,1,0,"KeySet"),0),":","""",valueMaker!M188,"""")</f>
        <v>wakibiri:"5%"</v>
      </c>
      <c r="N188" t="str" cm="1">
        <f t="array" aca="1" ref="N188" ca="1">CONCATENATE(INDIRECT(ADDRESS(1,14,1,0,"KeySet"),0),":","""",valueMaker!N188,"""")</f>
        <v>kaninKengenPoint:"有り"</v>
      </c>
      <c r="O188" t="str" cm="1">
        <f t="array" aca="1" ref="O188" ca="1">CONCATENATE(INDIRECT(ADDRESS(1,15,1,0,"KeySet"),0),":","""",valueMaker!O188,"""")</f>
        <v>point:"171"</v>
      </c>
      <c r="P188" t="str" cm="1">
        <f t="array" aca="1" ref="P188" ca="1">CONCATENATE(INDIRECT(ADDRESS(1,16,1,0,"KeySet"),0),":","""",valueMaker!P188,"""")</f>
        <v>bikou:""</v>
      </c>
    </row>
    <row r="189" spans="1:16">
      <c r="A189" t="str" cm="1">
        <f t="array" aca="1" ref="A189" ca="1">CONCATENATE(INDIRECT(ADDRESS(1,1,1,0,"KeySet"),0),":","""",valueMaker!A189,"""")</f>
        <v>kainBangou:"TD10188"</v>
      </c>
      <c r="B189" t="str" cm="1">
        <f t="array" aca="1" ref="B189" ca="1">CONCATENATE(INDIRECT(ADDRESS(1,2,1,0,"KeySet"),0),":","""",valueMaker!B189,"""")</f>
        <v>kainMeiKanji:"唐天達"</v>
      </c>
      <c r="C189" t="str" cm="1">
        <f t="array" aca="1" ref="C189" ca="1">CONCATENATE(INDIRECT(ADDRESS(1,3,1,0,"KeySet"),0),":","""",valueMaker!C189,"""")</f>
        <v>kainMeiKana:"ﾀｰﾝ ﾃｨｴﾝ ﾀﾞｰ"</v>
      </c>
      <c r="D189" t="str" cm="1">
        <f t="array" aca="1" ref="D189" ca="1">CONCATENATE(INDIRECT(ADDRESS(1,4,1,0,"KeySet"),0),":","""",valueMaker!D189,"""")</f>
        <v>kainMeiEn:"Tang Tian Da"</v>
      </c>
      <c r="E189" t="str" cm="1">
        <f t="array" aca="1" ref="E189" ca="1">CONCATENATE(INDIRECT(ADDRESS(1,5,1,0,"KeySet"),0),":","""",valueMaker!E189,"""")</f>
        <v>kainGender:"-"</v>
      </c>
      <c r="F189" t="str" cm="1">
        <f t="array" aca="1" ref="F189" ca="1">CONCATENATE(INDIRECT(ADDRESS(1,6,1,0,"KeySet"),0),":","""",TEXT(valueMaker!F189,"yyyy/m/d"),"""")</f>
        <v>tanjyoubi:"1995/7/30"</v>
      </c>
      <c r="G189" t="str" cm="1">
        <f t="array" aca="1" ref="G189" ca="1">CONCATENATE(INDIRECT(ADDRESS(1,6,1,0,"KeySet"),0),":","""",TEXT(valueMaker!G189,"yyyy/m/d"),"""")</f>
        <v>tanjyoubi:"2024/1/13"</v>
      </c>
      <c r="H189" t="str" cm="1">
        <f t="array" aca="1" ref="H189" ca="1">CONCATENATE(INDIRECT(ADDRESS(1,6,1,0,"KeySet"),0),":","""",TEXT(valueMaker!H189,"yyyy/m/d"),"""")</f>
        <v>tanjyoubi:"2026/1/12"</v>
      </c>
      <c r="I189" t="str" cm="1">
        <f t="array" aca="1" ref="I189" ca="1">CONCATENATE(INDIRECT(ADDRESS(1,9,1,0,"KeySet"),0),":","""",valueMaker!I189,"""")</f>
        <v>denwaBangou:"090-6840-7558"</v>
      </c>
      <c r="J189" t="str" cm="1">
        <f t="array" aca="1" ref="J189" ca="1">CONCATENATE(INDIRECT(ADDRESS(1,10,1,0,"KeySet"),0),":","""",valueMaker!J189,"""")</f>
        <v>mailAddress:"Tang_Tian_Da_45304@outlook.jp.co"</v>
      </c>
      <c r="K189" t="str" cm="1">
        <f t="array" aca="1" ref="K189" ca="1">CONCATENATE(INDIRECT(ADDRESS(1,11,1,0,"KeySet"),0),":","""",valueMaker!K189,"""")</f>
        <v>kaninSyubetu:"普通"</v>
      </c>
      <c r="L189" t="str" cm="1">
        <f t="array" aca="1" ref="L189" ca="1">CONCATENATE(INDIRECT(ADDRESS(1,12,1,0,"KeySet"),0),":","""",valueMaker!L189,"""")</f>
        <v>kaninKengenWB:"有り"</v>
      </c>
      <c r="M189" t="str" cm="1">
        <f t="array" aca="1" ref="M189" ca="1">CONCATENATE(INDIRECT(ADDRESS(1,13,1,0,"KeySet"),0),":","""",valueMaker!M189,"""")</f>
        <v>wakibiri:"5%"</v>
      </c>
      <c r="N189" t="str" cm="1">
        <f t="array" aca="1" ref="N189" ca="1">CONCATENATE(INDIRECT(ADDRESS(1,14,1,0,"KeySet"),0),":","""",valueMaker!N189,"""")</f>
        <v>kaninKengenPoint:"有り"</v>
      </c>
      <c r="O189" t="str" cm="1">
        <f t="array" aca="1" ref="O189" ca="1">CONCATENATE(INDIRECT(ADDRESS(1,15,1,0,"KeySet"),0),":","""",valueMaker!O189,"""")</f>
        <v>point:"662"</v>
      </c>
      <c r="P189" t="str" cm="1">
        <f t="array" aca="1" ref="P189" ca="1">CONCATENATE(INDIRECT(ADDRESS(1,16,1,0,"KeySet"),0),":","""",valueMaker!P189,"""")</f>
        <v>bikou:""</v>
      </c>
    </row>
    <row r="190" spans="1:16">
      <c r="A190" t="str" cm="1">
        <f t="array" aca="1" ref="A190" ca="1">CONCATENATE(INDIRECT(ADDRESS(1,1,1,0,"KeySet"),0),":","""",valueMaker!A190,"""")</f>
        <v>kainBangou:"TD10189"</v>
      </c>
      <c r="B190" t="str" cm="1">
        <f t="array" aca="1" ref="B190" ca="1">CONCATENATE(INDIRECT(ADDRESS(1,2,1,0,"KeySet"),0),":","""",valueMaker!B190,"""")</f>
        <v>kainMeiKanji:"張鳳梅"</v>
      </c>
      <c r="C190" t="str" cm="1">
        <f t="array" aca="1" ref="C190" ca="1">CONCATENATE(INDIRECT(ADDRESS(1,3,1,0,"KeySet"),0),":","""",valueMaker!C190,"""")</f>
        <v>kainMeiKana:"ｼﾞｬｰﾝ ﾌｵﾝ ﾒｲ"</v>
      </c>
      <c r="D190" t="str" cm="1">
        <f t="array" aca="1" ref="D190" ca="1">CONCATENATE(INDIRECT(ADDRESS(1,4,1,0,"KeySet"),0),":","""",valueMaker!D190,"""")</f>
        <v>kainMeiEn:"Zhang Feng Mei"</v>
      </c>
      <c r="E190" t="str" cm="1">
        <f t="array" aca="1" ref="E190" ca="1">CONCATENATE(INDIRECT(ADDRESS(1,5,1,0,"KeySet"),0),":","""",valueMaker!E190,"""")</f>
        <v>kainGender:"女性"</v>
      </c>
      <c r="F190" t="str" cm="1">
        <f t="array" aca="1" ref="F190" ca="1">CONCATENATE(INDIRECT(ADDRESS(1,6,1,0,"KeySet"),0),":","""",TEXT(valueMaker!F190,"yyyy/m/d"),"""")</f>
        <v>tanjyoubi:"1996/12/15"</v>
      </c>
      <c r="G190" t="str" cm="1">
        <f t="array" aca="1" ref="G190" ca="1">CONCATENATE(INDIRECT(ADDRESS(1,6,1,0,"KeySet"),0),":","""",TEXT(valueMaker!G190,"yyyy/m/d"),"""")</f>
        <v>tanjyoubi:"2021/3/7"</v>
      </c>
      <c r="H190" t="str" cm="1">
        <f t="array" aca="1" ref="H190" ca="1">CONCATENATE(INDIRECT(ADDRESS(1,6,1,0,"KeySet"),0),":","""",TEXT(valueMaker!H190,"yyyy/m/d"),"""")</f>
        <v>tanjyoubi:"2024/3/6"</v>
      </c>
      <c r="I190" t="str" cm="1">
        <f t="array" aca="1" ref="I190" ca="1">CONCATENATE(INDIRECT(ADDRESS(1,9,1,0,"KeySet"),0),":","""",valueMaker!I190,"""")</f>
        <v>denwaBangou:"080-2722-4046"</v>
      </c>
      <c r="J190" t="str" cm="1">
        <f t="array" aca="1" ref="J190" ca="1">CONCATENATE(INDIRECT(ADDRESS(1,10,1,0,"KeySet"),0),":","""",valueMaker!J190,"""")</f>
        <v>mailAddress:"Zhang_Feng_Mei_44262@outlook.jp.co"</v>
      </c>
      <c r="K190" t="str" cm="1">
        <f t="array" aca="1" ref="K190" ca="1">CONCATENATE(INDIRECT(ADDRESS(1,11,1,0,"KeySet"),0),":","""",valueMaker!K190,"""")</f>
        <v>kaninSyubetu:"高級"</v>
      </c>
      <c r="L190" t="str" cm="1">
        <f t="array" aca="1" ref="L190" ca="1">CONCATENATE(INDIRECT(ADDRESS(1,12,1,0,"KeySet"),0),":","""",valueMaker!L190,"""")</f>
        <v>kaninKengenWB:"-"</v>
      </c>
      <c r="M190" t="str" cm="1">
        <f t="array" aca="1" ref="M190" ca="1">CONCATENATE(INDIRECT(ADDRESS(1,13,1,0,"KeySet"),0),":","""",valueMaker!M190,"""")</f>
        <v>wakibiri:"-"</v>
      </c>
      <c r="N190" t="str" cm="1">
        <f t="array" aca="1" ref="N190" ca="1">CONCATENATE(INDIRECT(ADDRESS(1,14,1,0,"KeySet"),0),":","""",valueMaker!N190,"""")</f>
        <v>kaninKengenPoint:"有り"</v>
      </c>
      <c r="O190" t="str" cm="1">
        <f t="array" aca="1" ref="O190" ca="1">CONCATENATE(INDIRECT(ADDRESS(1,15,1,0,"KeySet"),0),":","""",valueMaker!O190,"""")</f>
        <v>point:"214"</v>
      </c>
      <c r="P190" t="str" cm="1">
        <f t="array" aca="1" ref="P190" ca="1">CONCATENATE(INDIRECT(ADDRESS(1,16,1,0,"KeySet"),0),":","""",valueMaker!P190,"""")</f>
        <v>bikou:""</v>
      </c>
    </row>
    <row r="191" spans="1:16">
      <c r="A191" t="str" cm="1">
        <f t="array" aca="1" ref="A191" ca="1">CONCATENATE(INDIRECT(ADDRESS(1,1,1,0,"KeySet"),0),":","""",valueMaker!A191,"""")</f>
        <v>kainBangou:"TD10190"</v>
      </c>
      <c r="B191" t="str" cm="1">
        <f t="array" aca="1" ref="B191" ca="1">CONCATENATE(INDIRECT(ADDRESS(1,2,1,0,"KeySet"),0),":","""",valueMaker!B191,"""")</f>
        <v>kainMeiKanji:"林碼紀"</v>
      </c>
      <c r="C191" t="str" cm="1">
        <f t="array" aca="1" ref="C191" ca="1">CONCATENATE(INDIRECT(ADDRESS(1,3,1,0,"KeySet"),0),":","""",valueMaker!C191,"""")</f>
        <v>kainMeiKana:"ﾘﾝ ﾏｰ ｼﾞｰ"</v>
      </c>
      <c r="D191" t="str" cm="1">
        <f t="array" aca="1" ref="D191" ca="1">CONCATENATE(INDIRECT(ADDRESS(1,4,1,0,"KeySet"),0),":","""",valueMaker!D191,"""")</f>
        <v>kainMeiEn:"Lin Ma Ji"</v>
      </c>
      <c r="E191" t="str" cm="1">
        <f t="array" aca="1" ref="E191" ca="1">CONCATENATE(INDIRECT(ADDRESS(1,5,1,0,"KeySet"),0),":","""",valueMaker!E191,"""")</f>
        <v>kainGender:"女性"</v>
      </c>
      <c r="F191" t="str" cm="1">
        <f t="array" aca="1" ref="F191" ca="1">CONCATENATE(INDIRECT(ADDRESS(1,6,1,0,"KeySet"),0),":","""",TEXT(valueMaker!F191,"yyyy/m/d"),"""")</f>
        <v>tanjyoubi:"1967/7/2"</v>
      </c>
      <c r="G191" t="str" cm="1">
        <f t="array" aca="1" ref="G191" ca="1">CONCATENATE(INDIRECT(ADDRESS(1,6,1,0,"KeySet"),0),":","""",TEXT(valueMaker!G191,"yyyy/m/d"),"""")</f>
        <v>tanjyoubi:"2023/3/6"</v>
      </c>
      <c r="H191" t="str" cm="1">
        <f t="array" aca="1" ref="H191" ca="1">CONCATENATE(INDIRECT(ADDRESS(1,6,1,0,"KeySet"),0),":","""",TEXT(valueMaker!H191,"yyyy/m/d"),"""")</f>
        <v>tanjyoubi:"2025/3/5"</v>
      </c>
      <c r="I191" t="str" cm="1">
        <f t="array" aca="1" ref="I191" ca="1">CONCATENATE(INDIRECT(ADDRESS(1,9,1,0,"KeySet"),0),":","""",valueMaker!I191,"""")</f>
        <v>denwaBangou:"090-8802-6081"</v>
      </c>
      <c r="J191" t="str" cm="1">
        <f t="array" aca="1" ref="J191" ca="1">CONCATENATE(INDIRECT(ADDRESS(1,10,1,0,"KeySet"),0),":","""",valueMaker!J191,"""")</f>
        <v>mailAddress:"Lin_Ma_Ji_44991@outlook.jp.co"</v>
      </c>
      <c r="K191" t="str" cm="1">
        <f t="array" aca="1" ref="K191" ca="1">CONCATENATE(INDIRECT(ADDRESS(1,11,1,0,"KeySet"),0),":","""",valueMaker!K191,"""")</f>
        <v>kaninSyubetu:"普通"</v>
      </c>
      <c r="L191" t="str" cm="1">
        <f t="array" aca="1" ref="L191" ca="1">CONCATENATE(INDIRECT(ADDRESS(1,12,1,0,"KeySet"),0),":","""",valueMaker!L191,"""")</f>
        <v>kaninKengenWB:"有り"</v>
      </c>
      <c r="M191" t="str" cm="1">
        <f t="array" aca="1" ref="M191" ca="1">CONCATENATE(INDIRECT(ADDRESS(1,13,1,0,"KeySet"),0),":","""",valueMaker!M191,"""")</f>
        <v>wakibiri:"5%"</v>
      </c>
      <c r="N191" t="str" cm="1">
        <f t="array" aca="1" ref="N191" ca="1">CONCATENATE(INDIRECT(ADDRESS(1,14,1,0,"KeySet"),0),":","""",valueMaker!N191,"""")</f>
        <v>kaninKengenPoint:"有り"</v>
      </c>
      <c r="O191" t="str" cm="1">
        <f t="array" aca="1" ref="O191" ca="1">CONCATENATE(INDIRECT(ADDRESS(1,15,1,0,"KeySet"),0),":","""",valueMaker!O191,"""")</f>
        <v>point:"293"</v>
      </c>
      <c r="P191" t="str" cm="1">
        <f t="array" aca="1" ref="P191" ca="1">CONCATENATE(INDIRECT(ADDRESS(1,16,1,0,"KeySet"),0),":","""",valueMaker!P191,"""")</f>
        <v>bikou:""</v>
      </c>
    </row>
    <row r="192" spans="1:16">
      <c r="A192" t="str" cm="1">
        <f t="array" aca="1" ref="A192" ca="1">CONCATENATE(INDIRECT(ADDRESS(1,1,1,0,"KeySet"),0),":","""",valueMaker!A192,"""")</f>
        <v>kainBangou:"TD10191"</v>
      </c>
      <c r="B192" t="str" cm="1">
        <f t="array" aca="1" ref="B192" ca="1">CONCATENATE(INDIRECT(ADDRESS(1,2,1,0,"KeySet"),0),":","""",valueMaker!B192,"""")</f>
        <v>kainMeiKanji:"梁彤媛"</v>
      </c>
      <c r="C192" t="str" cm="1">
        <f t="array" aca="1" ref="C192" ca="1">CONCATENATE(INDIRECT(ADDRESS(1,3,1,0,"KeySet"),0),":","""",valueMaker!C192,"""")</f>
        <v>kainMeiKana:"ﾘﾔｰﾝ ﾄｰﾝ ﾕｴﾝ"</v>
      </c>
      <c r="D192" t="str" cm="1">
        <f t="array" aca="1" ref="D192" ca="1">CONCATENATE(INDIRECT(ADDRESS(1,4,1,0,"KeySet"),0),":","""",valueMaker!D192,"""")</f>
        <v>kainMeiEn:"Liang Tong Yuan"</v>
      </c>
      <c r="E192" t="str" cm="1">
        <f t="array" aca="1" ref="E192" ca="1">CONCATENATE(INDIRECT(ADDRESS(1,5,1,0,"KeySet"),0),":","""",valueMaker!E192,"""")</f>
        <v>kainGender:"男性"</v>
      </c>
      <c r="F192" t="str" cm="1">
        <f t="array" aca="1" ref="F192" ca="1">CONCATENATE(INDIRECT(ADDRESS(1,6,1,0,"KeySet"),0),":","""",TEXT(valueMaker!F192,"yyyy/m/d"),"""")</f>
        <v>tanjyoubi:"1995/11/4"</v>
      </c>
      <c r="G192" t="str" cm="1">
        <f t="array" aca="1" ref="G192" ca="1">CONCATENATE(INDIRECT(ADDRESS(1,6,1,0,"KeySet"),0),":","""",TEXT(valueMaker!G192,"yyyy/m/d"),"""")</f>
        <v>tanjyoubi:"2018/1/4"</v>
      </c>
      <c r="H192" t="str" cm="1">
        <f t="array" aca="1" ref="H192" ca="1">CONCATENATE(INDIRECT(ADDRESS(1,6,1,0,"KeySet"),0),":","""",TEXT(valueMaker!H192,"yyyy/m/d"),"""")</f>
        <v>tanjyoubi:"2020/1/4"</v>
      </c>
      <c r="I192" t="str" cm="1">
        <f t="array" aca="1" ref="I192" ca="1">CONCATENATE(INDIRECT(ADDRESS(1,9,1,0,"KeySet"),0),":","""",valueMaker!I192,"""")</f>
        <v>denwaBangou:"080-3278-4474"</v>
      </c>
      <c r="J192" t="str" cm="1">
        <f t="array" aca="1" ref="J192" ca="1">CONCATENATE(INDIRECT(ADDRESS(1,10,1,0,"KeySet"),0),":","""",valueMaker!J192,"""")</f>
        <v>mailAddress:"Liang_Tong_Yuan_43104@outlook.jp.co"</v>
      </c>
      <c r="K192" t="str" cm="1">
        <f t="array" aca="1" ref="K192" ca="1">CONCATENATE(INDIRECT(ADDRESS(1,11,1,0,"KeySet"),0),":","""",valueMaker!K192,"""")</f>
        <v>kaninSyubetu:"高級"</v>
      </c>
      <c r="L192" t="str" cm="1">
        <f t="array" aca="1" ref="L192" ca="1">CONCATENATE(INDIRECT(ADDRESS(1,12,1,0,"KeySet"),0),":","""",valueMaker!L192,"""")</f>
        <v>kaninKengenWB:"有り"</v>
      </c>
      <c r="M192" t="str" cm="1">
        <f t="array" aca="1" ref="M192" ca="1">CONCATENATE(INDIRECT(ADDRESS(1,13,1,0,"KeySet"),0),":","""",valueMaker!M192,"""")</f>
        <v>wakibiri:"10%"</v>
      </c>
      <c r="N192" t="str" cm="1">
        <f t="array" aca="1" ref="N192" ca="1">CONCATENATE(INDIRECT(ADDRESS(1,14,1,0,"KeySet"),0),":","""",valueMaker!N192,"""")</f>
        <v>kaninKengenPoint:"有り"</v>
      </c>
      <c r="O192" t="str" cm="1">
        <f t="array" aca="1" ref="O192" ca="1">CONCATENATE(INDIRECT(ADDRESS(1,15,1,0,"KeySet"),0),":","""",valueMaker!O192,"""")</f>
        <v>point:"817"</v>
      </c>
      <c r="P192" t="str" cm="1">
        <f t="array" aca="1" ref="P192" ca="1">CONCATENATE(INDIRECT(ADDRESS(1,16,1,0,"KeySet"),0),":","""",valueMaker!P192,"""")</f>
        <v>bikou:""</v>
      </c>
    </row>
    <row r="193" spans="1:16">
      <c r="A193" t="str" cm="1">
        <f t="array" aca="1" ref="A193" ca="1">CONCATENATE(INDIRECT(ADDRESS(1,1,1,0,"KeySet"),0),":","""",valueMaker!A193,"""")</f>
        <v>kainBangou:"TD10192"</v>
      </c>
      <c r="B193" t="str" cm="1">
        <f t="array" aca="1" ref="B193" ca="1">CONCATENATE(INDIRECT(ADDRESS(1,2,1,0,"KeySet"),0),":","""",valueMaker!B193,"""")</f>
        <v>kainMeiKanji:"梁聆實"</v>
      </c>
      <c r="C193" t="str" cm="1">
        <f t="array" aca="1" ref="C193" ca="1">CONCATENATE(INDIRECT(ADDRESS(1,3,1,0,"KeySet"),0),":","""",valueMaker!C193,"""")</f>
        <v>kainMeiKana:"ﾘﾔｰﾝ ﾘｰﾝ ｼｰ"</v>
      </c>
      <c r="D193" t="str" cm="1">
        <f t="array" aca="1" ref="D193" ca="1">CONCATENATE(INDIRECT(ADDRESS(1,4,1,0,"KeySet"),0),":","""",valueMaker!D193,"""")</f>
        <v>kainMeiEn:"Liang Ling Shi"</v>
      </c>
      <c r="E193" t="str" cm="1">
        <f t="array" aca="1" ref="E193" ca="1">CONCATENATE(INDIRECT(ADDRESS(1,5,1,0,"KeySet"),0),":","""",valueMaker!E193,"""")</f>
        <v>kainGender:"男性"</v>
      </c>
      <c r="F193" t="str" cm="1">
        <f t="array" aca="1" ref="F193" ca="1">CONCATENATE(INDIRECT(ADDRESS(1,6,1,0,"KeySet"),0),":","""",TEXT(valueMaker!F193,"yyyy/m/d"),"""")</f>
        <v>tanjyoubi:"1995/1/16"</v>
      </c>
      <c r="G193" t="str" cm="1">
        <f t="array" aca="1" ref="G193" ca="1">CONCATENATE(INDIRECT(ADDRESS(1,6,1,0,"KeySet"),0),":","""",TEXT(valueMaker!G193,"yyyy/m/d"),"""")</f>
        <v>tanjyoubi:"2022/1/17"</v>
      </c>
      <c r="H193" t="str" cm="1">
        <f t="array" aca="1" ref="H193" ca="1">CONCATENATE(INDIRECT(ADDRESS(1,6,1,0,"KeySet"),0),":","""",TEXT(valueMaker!H193,"yyyy/m/d"),"""")</f>
        <v>tanjyoubi:"2024/1/17"</v>
      </c>
      <c r="I193" t="str" cm="1">
        <f t="array" aca="1" ref="I193" ca="1">CONCATENATE(INDIRECT(ADDRESS(1,9,1,0,"KeySet"),0),":","""",valueMaker!I193,"""")</f>
        <v>denwaBangou:"080-8636-6769"</v>
      </c>
      <c r="J193" t="str" cm="1">
        <f t="array" aca="1" ref="J193" ca="1">CONCATENATE(INDIRECT(ADDRESS(1,10,1,0,"KeySet"),0),":","""",valueMaker!J193,"""")</f>
        <v>mailAddress:"Liang_Ling_Shi_44578@outlook.jp.co"</v>
      </c>
      <c r="K193" t="str" cm="1">
        <f t="array" aca="1" ref="K193" ca="1">CONCATENATE(INDIRECT(ADDRESS(1,11,1,0,"KeySet"),0),":","""",valueMaker!K193,"""")</f>
        <v>kaninSyubetu:"高級"</v>
      </c>
      <c r="L193" t="str" cm="1">
        <f t="array" aca="1" ref="L193" ca="1">CONCATENATE(INDIRECT(ADDRESS(1,12,1,0,"KeySet"),0),":","""",valueMaker!L193,"""")</f>
        <v>kaninKengenWB:"有り"</v>
      </c>
      <c r="M193" t="str" cm="1">
        <f t="array" aca="1" ref="M193" ca="1">CONCATENATE(INDIRECT(ADDRESS(1,13,1,0,"KeySet"),0),":","""",valueMaker!M193,"""")</f>
        <v>wakibiri:"10%"</v>
      </c>
      <c r="N193" t="str" cm="1">
        <f t="array" aca="1" ref="N193" ca="1">CONCATENATE(INDIRECT(ADDRESS(1,14,1,0,"KeySet"),0),":","""",valueMaker!N193,"""")</f>
        <v>kaninKengenPoint:"-"</v>
      </c>
      <c r="O193" t="str" cm="1">
        <f t="array" aca="1" ref="O193" ca="1">CONCATENATE(INDIRECT(ADDRESS(1,15,1,0,"KeySet"),0),":","""",valueMaker!O193,"""")</f>
        <v>point:"-"</v>
      </c>
      <c r="P193" t="str" cm="1">
        <f t="array" aca="1" ref="P193" ca="1">CONCATENATE(INDIRECT(ADDRESS(1,16,1,0,"KeySet"),0),":","""",valueMaker!P193,"""")</f>
        <v>bikou:""</v>
      </c>
    </row>
    <row r="194" spans="1:16">
      <c r="A194" t="str" cm="1">
        <f t="array" aca="1" ref="A194" ca="1">CONCATENATE(INDIRECT(ADDRESS(1,1,1,0,"KeySet"),0),":","""",valueMaker!A194,"""")</f>
        <v>kainBangou:"TD10193"</v>
      </c>
      <c r="B194" t="str" cm="1">
        <f t="array" aca="1" ref="B194" ca="1">CONCATENATE(INDIRECT(ADDRESS(1,2,1,0,"KeySet"),0),":","""",valueMaker!B194,"""")</f>
        <v>kainMeiKanji:"孫赫佑"</v>
      </c>
      <c r="C194" t="str" cm="1">
        <f t="array" aca="1" ref="C194" ca="1">CONCATENATE(INDIRECT(ADDRESS(1,3,1,0,"KeySet"),0),":","""",valueMaker!C194,"""")</f>
        <v>kainMeiKana:"ｽｩﾝ ﾎｰｧ ﾖｳ"</v>
      </c>
      <c r="D194" t="str" cm="1">
        <f t="array" aca="1" ref="D194" ca="1">CONCATENATE(INDIRECT(ADDRESS(1,4,1,0,"KeySet"),0),":","""",valueMaker!D194,"""")</f>
        <v>kainMeiEn:"Sun He You"</v>
      </c>
      <c r="E194" t="str" cm="1">
        <f t="array" aca="1" ref="E194" ca="1">CONCATENATE(INDIRECT(ADDRESS(1,5,1,0,"KeySet"),0),":","""",valueMaker!E194,"""")</f>
        <v>kainGender:"男性"</v>
      </c>
      <c r="F194" t="str" cm="1">
        <f t="array" aca="1" ref="F194" ca="1">CONCATENATE(INDIRECT(ADDRESS(1,6,1,0,"KeySet"),0),":","""",TEXT(valueMaker!F194,"yyyy/m/d"),"""")</f>
        <v>tanjyoubi:"1966/8/19"</v>
      </c>
      <c r="G194" t="str" cm="1">
        <f t="array" aca="1" ref="G194" ca="1">CONCATENATE(INDIRECT(ADDRESS(1,6,1,0,"KeySet"),0),":","""",TEXT(valueMaker!G194,"yyyy/m/d"),"""")</f>
        <v>tanjyoubi:"2021/4/30"</v>
      </c>
      <c r="H194" t="str" cm="1">
        <f t="array" aca="1" ref="H194" ca="1">CONCATENATE(INDIRECT(ADDRESS(1,6,1,0,"KeySet"),0),":","""",TEXT(valueMaker!H194,"yyyy/m/d"),"""")</f>
        <v>tanjyoubi:"2023/4/30"</v>
      </c>
      <c r="I194" t="str" cm="1">
        <f t="array" aca="1" ref="I194" ca="1">CONCATENATE(INDIRECT(ADDRESS(1,9,1,0,"KeySet"),0),":","""",valueMaker!I194,"""")</f>
        <v>denwaBangou:"080-0671-5442"</v>
      </c>
      <c r="J194" t="str" cm="1">
        <f t="array" aca="1" ref="J194" ca="1">CONCATENATE(INDIRECT(ADDRESS(1,10,1,0,"KeySet"),0),":","""",valueMaker!J194,"""")</f>
        <v>mailAddress:"Sun_He_You_44316@outlook.jp.co"</v>
      </c>
      <c r="K194" t="str" cm="1">
        <f t="array" aca="1" ref="K194" ca="1">CONCATENATE(INDIRECT(ADDRESS(1,11,1,0,"KeySet"),0),":","""",valueMaker!K194,"""")</f>
        <v>kaninSyubetu:"普通"</v>
      </c>
      <c r="L194" t="str" cm="1">
        <f t="array" aca="1" ref="L194" ca="1">CONCATENATE(INDIRECT(ADDRESS(1,12,1,0,"KeySet"),0),":","""",valueMaker!L194,"""")</f>
        <v>kaninKengenWB:"有り"</v>
      </c>
      <c r="M194" t="str" cm="1">
        <f t="array" aca="1" ref="M194" ca="1">CONCATENATE(INDIRECT(ADDRESS(1,13,1,0,"KeySet"),0),":","""",valueMaker!M194,"""")</f>
        <v>wakibiri:"5%"</v>
      </c>
      <c r="N194" t="str" cm="1">
        <f t="array" aca="1" ref="N194" ca="1">CONCATENATE(INDIRECT(ADDRESS(1,14,1,0,"KeySet"),0),":","""",valueMaker!N194,"""")</f>
        <v>kaninKengenPoint:"有り"</v>
      </c>
      <c r="O194" t="str" cm="1">
        <f t="array" aca="1" ref="O194" ca="1">CONCATENATE(INDIRECT(ADDRESS(1,15,1,0,"KeySet"),0),":","""",valueMaker!O194,"""")</f>
        <v>point:"86"</v>
      </c>
      <c r="P194" t="str" cm="1">
        <f t="array" aca="1" ref="P194" ca="1">CONCATENATE(INDIRECT(ADDRESS(1,16,1,0,"KeySet"),0),":","""",valueMaker!P194,"""")</f>
        <v>bikou:""</v>
      </c>
    </row>
    <row r="195" spans="1:16">
      <c r="A195" t="str" cm="1">
        <f t="array" aca="1" ref="A195" ca="1">CONCATENATE(INDIRECT(ADDRESS(1,1,1,0,"KeySet"),0),":","""",valueMaker!A195,"""")</f>
        <v>kainBangou:"TD10194"</v>
      </c>
      <c r="B195" t="str" cm="1">
        <f t="array" aca="1" ref="B195" ca="1">CONCATENATE(INDIRECT(ADDRESS(1,2,1,0,"KeySet"),0),":","""",valueMaker!B195,"""")</f>
        <v>kainMeiKanji:"馬菏科"</v>
      </c>
      <c r="C195" t="str" cm="1">
        <f t="array" aca="1" ref="C195" ca="1">CONCATENATE(INDIRECT(ADDRESS(1,3,1,0,"KeySet"),0),":","""",valueMaker!C195,"""")</f>
        <v>kainMeiKana:"ﾏｰ ﾎｰｧ ｺｰｧ"</v>
      </c>
      <c r="D195" t="str" cm="1">
        <f t="array" aca="1" ref="D195" ca="1">CONCATENATE(INDIRECT(ADDRESS(1,4,1,0,"KeySet"),0),":","""",valueMaker!D195,"""")</f>
        <v>kainMeiEn:"Ma He Ke"</v>
      </c>
      <c r="E195" t="str" cm="1">
        <f t="array" aca="1" ref="E195" ca="1">CONCATENATE(INDIRECT(ADDRESS(1,5,1,0,"KeySet"),0),":","""",valueMaker!E195,"""")</f>
        <v>kainGender:"男性"</v>
      </c>
      <c r="F195" t="str" cm="1">
        <f t="array" aca="1" ref="F195" ca="1">CONCATENATE(INDIRECT(ADDRESS(1,6,1,0,"KeySet"),0),":","""",TEXT(valueMaker!F195,"yyyy/m/d"),"""")</f>
        <v>tanjyoubi:"1967/2/10"</v>
      </c>
      <c r="G195" t="str" cm="1">
        <f t="array" aca="1" ref="G195" ca="1">CONCATENATE(INDIRECT(ADDRESS(1,6,1,0,"KeySet"),0),":","""",TEXT(valueMaker!G195,"yyyy/m/d"),"""")</f>
        <v>tanjyoubi:"2020/8/26"</v>
      </c>
      <c r="H195" t="str" cm="1">
        <f t="array" aca="1" ref="H195" ca="1">CONCATENATE(INDIRECT(ADDRESS(1,6,1,0,"KeySet"),0),":","""",TEXT(valueMaker!H195,"yyyy/m/d"),"""")</f>
        <v>tanjyoubi:"2022/8/26"</v>
      </c>
      <c r="I195" t="str" cm="1">
        <f t="array" aca="1" ref="I195" ca="1">CONCATENATE(INDIRECT(ADDRESS(1,9,1,0,"KeySet"),0),":","""",valueMaker!I195,"""")</f>
        <v>denwaBangou:"090-9296-7082"</v>
      </c>
      <c r="J195" t="str" cm="1">
        <f t="array" aca="1" ref="J195" ca="1">CONCATENATE(INDIRECT(ADDRESS(1,10,1,0,"KeySet"),0),":","""",valueMaker!J195,"""")</f>
        <v>mailAddress:"Ma_He_Ke_44069@outlook.jp.co"</v>
      </c>
      <c r="K195" t="str" cm="1">
        <f t="array" aca="1" ref="K195" ca="1">CONCATENATE(INDIRECT(ADDRESS(1,11,1,0,"KeySet"),0),":","""",valueMaker!K195,"""")</f>
        <v>kaninSyubetu:"普通"</v>
      </c>
      <c r="L195" t="str" cm="1">
        <f t="array" aca="1" ref="L195" ca="1">CONCATENATE(INDIRECT(ADDRESS(1,12,1,0,"KeySet"),0),":","""",valueMaker!L195,"""")</f>
        <v>kaninKengenWB:"-"</v>
      </c>
      <c r="M195" t="str" cm="1">
        <f t="array" aca="1" ref="M195" ca="1">CONCATENATE(INDIRECT(ADDRESS(1,13,1,0,"KeySet"),0),":","""",valueMaker!M195,"""")</f>
        <v>wakibiri:"-"</v>
      </c>
      <c r="N195" t="str" cm="1">
        <f t="array" aca="1" ref="N195" ca="1">CONCATENATE(INDIRECT(ADDRESS(1,14,1,0,"KeySet"),0),":","""",valueMaker!N195,"""")</f>
        <v>kaninKengenPoint:"有り"</v>
      </c>
      <c r="O195" t="str" cm="1">
        <f t="array" aca="1" ref="O195" ca="1">CONCATENATE(INDIRECT(ADDRESS(1,15,1,0,"KeySet"),0),":","""",valueMaker!O195,"""")</f>
        <v>point:"846"</v>
      </c>
      <c r="P195" t="str" cm="1">
        <f t="array" aca="1" ref="P195" ca="1">CONCATENATE(INDIRECT(ADDRESS(1,16,1,0,"KeySet"),0),":","""",valueMaker!P195,"""")</f>
        <v>bikou:""</v>
      </c>
    </row>
    <row r="196" spans="1:16">
      <c r="A196" t="str" cm="1">
        <f t="array" aca="1" ref="A196" ca="1">CONCATENATE(INDIRECT(ADDRESS(1,1,1,0,"KeySet"),0),":","""",valueMaker!A196,"""")</f>
        <v>kainBangou:"TD10195"</v>
      </c>
      <c r="B196" t="str" cm="1">
        <f t="array" aca="1" ref="B196" ca="1">CONCATENATE(INDIRECT(ADDRESS(1,2,1,0,"KeySet"),0),":","""",valueMaker!B196,"""")</f>
        <v>kainMeiKanji:"韓銀霆"</v>
      </c>
      <c r="C196" t="str" cm="1">
        <f t="array" aca="1" ref="C196" ca="1">CONCATENATE(INDIRECT(ADDRESS(1,3,1,0,"KeySet"),0),":","""",valueMaker!C196,"""")</f>
        <v>kainMeiKana:"ﾊﾝ ｲﾝ ﾃｨｰﾝ"</v>
      </c>
      <c r="D196" t="str" cm="1">
        <f t="array" aca="1" ref="D196" ca="1">CONCATENATE(INDIRECT(ADDRESS(1,4,1,0,"KeySet"),0),":","""",valueMaker!D196,"""")</f>
        <v>kainMeiEn:"Han Yin Ting"</v>
      </c>
      <c r="E196" t="str" cm="1">
        <f t="array" aca="1" ref="E196" ca="1">CONCATENATE(INDIRECT(ADDRESS(1,5,1,0,"KeySet"),0),":","""",valueMaker!E196,"""")</f>
        <v>kainGender:"-"</v>
      </c>
      <c r="F196" t="str" cm="1">
        <f t="array" aca="1" ref="F196" ca="1">CONCATENATE(INDIRECT(ADDRESS(1,6,1,0,"KeySet"),0),":","""",TEXT(valueMaker!F196,"yyyy/m/d"),"""")</f>
        <v>tanjyoubi:"1973/3/22"</v>
      </c>
      <c r="G196" t="str" cm="1">
        <f t="array" aca="1" ref="G196" ca="1">CONCATENATE(INDIRECT(ADDRESS(1,6,1,0,"KeySet"),0),":","""",TEXT(valueMaker!G196,"yyyy/m/d"),"""")</f>
        <v>tanjyoubi:"2015/2/27"</v>
      </c>
      <c r="H196" t="str" cm="1">
        <f t="array" aca="1" ref="H196" ca="1">CONCATENATE(INDIRECT(ADDRESS(1,6,1,0,"KeySet"),0),":","""",TEXT(valueMaker!H196,"yyyy/m/d"),"""")</f>
        <v>tanjyoubi:"2017/2/26"</v>
      </c>
      <c r="I196" t="str" cm="1">
        <f t="array" aca="1" ref="I196" ca="1">CONCATENATE(INDIRECT(ADDRESS(1,9,1,0,"KeySet"),0),":","""",valueMaker!I196,"""")</f>
        <v>denwaBangou:"080-0016-8758"</v>
      </c>
      <c r="J196" t="str" cm="1">
        <f t="array" aca="1" ref="J196" ca="1">CONCATENATE(INDIRECT(ADDRESS(1,10,1,0,"KeySet"),0),":","""",valueMaker!J196,"""")</f>
        <v>mailAddress:"Han_Yin_Ting_42062@outlook.jp.co"</v>
      </c>
      <c r="K196" t="str" cm="1">
        <f t="array" aca="1" ref="K196" ca="1">CONCATENATE(INDIRECT(ADDRESS(1,11,1,0,"KeySet"),0),":","""",valueMaker!K196,"""")</f>
        <v>kaninSyubetu:"普通"</v>
      </c>
      <c r="L196" t="str" cm="1">
        <f t="array" aca="1" ref="L196" ca="1">CONCATENATE(INDIRECT(ADDRESS(1,12,1,0,"KeySet"),0),":","""",valueMaker!L196,"""")</f>
        <v>kaninKengenWB:"有り"</v>
      </c>
      <c r="M196" t="str" cm="1">
        <f t="array" aca="1" ref="M196" ca="1">CONCATENATE(INDIRECT(ADDRESS(1,13,1,0,"KeySet"),0),":","""",valueMaker!M196,"""")</f>
        <v>wakibiri:"5%"</v>
      </c>
      <c r="N196" t="str" cm="1">
        <f t="array" aca="1" ref="N196" ca="1">CONCATENATE(INDIRECT(ADDRESS(1,14,1,0,"KeySet"),0),":","""",valueMaker!N196,"""")</f>
        <v>kaninKengenPoint:"有り"</v>
      </c>
      <c r="O196" t="str" cm="1">
        <f t="array" aca="1" ref="O196" ca="1">CONCATENATE(INDIRECT(ADDRESS(1,15,1,0,"KeySet"),0),":","""",valueMaker!O196,"""")</f>
        <v>point:"147"</v>
      </c>
      <c r="P196" t="str" cm="1">
        <f t="array" aca="1" ref="P196" ca="1">CONCATENATE(INDIRECT(ADDRESS(1,16,1,0,"KeySet"),0),":","""",valueMaker!P196,"""")</f>
        <v>bikou:""</v>
      </c>
    </row>
    <row r="197" spans="1:16">
      <c r="A197" t="str" cm="1">
        <f t="array" aca="1" ref="A197" ca="1">CONCATENATE(INDIRECT(ADDRESS(1,1,1,0,"KeySet"),0),":","""",valueMaker!A197,"""")</f>
        <v>kainBangou:"TD10196"</v>
      </c>
      <c r="B197" t="str" cm="1">
        <f t="array" aca="1" ref="B197" ca="1">CONCATENATE(INDIRECT(ADDRESS(1,2,1,0,"KeySet"),0),":","""",valueMaker!B197,"""")</f>
        <v>kainMeiKanji:"羅鈺意"</v>
      </c>
      <c r="C197" t="str" cm="1">
        <f t="array" aca="1" ref="C197" ca="1">CONCATENATE(INDIRECT(ADDRESS(1,3,1,0,"KeySet"),0),":","""",valueMaker!C197,"""")</f>
        <v>kainMeiKana:"ﾙｵ ﾕｲ ｲｰ"</v>
      </c>
      <c r="D197" t="str" cm="1">
        <f t="array" aca="1" ref="D197" ca="1">CONCATENATE(INDIRECT(ADDRESS(1,4,1,0,"KeySet"),0),":","""",valueMaker!D197,"""")</f>
        <v>kainMeiEn:"Luo Yu Yi"</v>
      </c>
      <c r="E197" t="str" cm="1">
        <f t="array" aca="1" ref="E197" ca="1">CONCATENATE(INDIRECT(ADDRESS(1,5,1,0,"KeySet"),0),":","""",valueMaker!E197,"""")</f>
        <v>kainGender:"男性"</v>
      </c>
      <c r="F197" t="str" cm="1">
        <f t="array" aca="1" ref="F197" ca="1">CONCATENATE(INDIRECT(ADDRESS(1,6,1,0,"KeySet"),0),":","""",TEXT(valueMaker!F197,"yyyy/m/d"),"""")</f>
        <v>tanjyoubi:"1988/5/5"</v>
      </c>
      <c r="G197" t="str" cm="1">
        <f t="array" aca="1" ref="G197" ca="1">CONCATENATE(INDIRECT(ADDRESS(1,6,1,0,"KeySet"),0),":","""",TEXT(valueMaker!G197,"yyyy/m/d"),"""")</f>
        <v>tanjyoubi:"2014/5/31"</v>
      </c>
      <c r="H197" t="str" cm="1">
        <f t="array" aca="1" ref="H197" ca="1">CONCATENATE(INDIRECT(ADDRESS(1,6,1,0,"KeySet"),0),":","""",TEXT(valueMaker!H197,"yyyy/m/d"),"""")</f>
        <v>tanjyoubi:"2016/5/30"</v>
      </c>
      <c r="I197" t="str" cm="1">
        <f t="array" aca="1" ref="I197" ca="1">CONCATENATE(INDIRECT(ADDRESS(1,9,1,0,"KeySet"),0),":","""",valueMaker!I197,"""")</f>
        <v>denwaBangou:"080-1081-2378"</v>
      </c>
      <c r="J197" t="str" cm="1">
        <f t="array" aca="1" ref="J197" ca="1">CONCATENATE(INDIRECT(ADDRESS(1,10,1,0,"KeySet"),0),":","""",valueMaker!J197,"""")</f>
        <v>mailAddress:"Luo_Yu_Yi_41790@outlook.jp.co"</v>
      </c>
      <c r="K197" t="str" cm="1">
        <f t="array" aca="1" ref="K197" ca="1">CONCATENATE(INDIRECT(ADDRESS(1,11,1,0,"KeySet"),0),":","""",valueMaker!K197,"""")</f>
        <v>kaninSyubetu:"普通"</v>
      </c>
      <c r="L197" t="str" cm="1">
        <f t="array" aca="1" ref="L197" ca="1">CONCATENATE(INDIRECT(ADDRESS(1,12,1,0,"KeySet"),0),":","""",valueMaker!L197,"""")</f>
        <v>kaninKengenWB:"-"</v>
      </c>
      <c r="M197" t="str" cm="1">
        <f t="array" aca="1" ref="M197" ca="1">CONCATENATE(INDIRECT(ADDRESS(1,13,1,0,"KeySet"),0),":","""",valueMaker!M197,"""")</f>
        <v>wakibiri:"-"</v>
      </c>
      <c r="N197" t="str" cm="1">
        <f t="array" aca="1" ref="N197" ca="1">CONCATENATE(INDIRECT(ADDRESS(1,14,1,0,"KeySet"),0),":","""",valueMaker!N197,"""")</f>
        <v>kaninKengenPoint:"-"</v>
      </c>
      <c r="O197" t="str" cm="1">
        <f t="array" aca="1" ref="O197" ca="1">CONCATENATE(INDIRECT(ADDRESS(1,15,1,0,"KeySet"),0),":","""",valueMaker!O197,"""")</f>
        <v>point:"-"</v>
      </c>
      <c r="P197" t="str" cm="1">
        <f t="array" aca="1" ref="P197" ca="1">CONCATENATE(INDIRECT(ADDRESS(1,16,1,0,"KeySet"),0),":","""",valueMaker!P197,"""")</f>
        <v>bikou:""</v>
      </c>
    </row>
    <row r="198" spans="1:16">
      <c r="A198" t="str" cm="1">
        <f t="array" aca="1" ref="A198" ca="1">CONCATENATE(INDIRECT(ADDRESS(1,1,1,0,"KeySet"),0),":","""",valueMaker!A198,"""")</f>
        <v>kainBangou:"TD10197"</v>
      </c>
      <c r="B198" t="str" cm="1">
        <f t="array" aca="1" ref="B198" ca="1">CONCATENATE(INDIRECT(ADDRESS(1,2,1,0,"KeySet"),0),":","""",valueMaker!B198,"""")</f>
        <v>kainMeiKanji:"黃浚微"</v>
      </c>
      <c r="C198" t="str" cm="1">
        <f t="array" aca="1" ref="C198" ca="1">CONCATENATE(INDIRECT(ADDRESS(1,3,1,0,"KeySet"),0),":","""",valueMaker!C198,"""")</f>
        <v>kainMeiKana:"ﾎﾜｰﾝ ｼﾞｭｲﾝ ｳｴｲ"</v>
      </c>
      <c r="D198" t="str" cm="1">
        <f t="array" aca="1" ref="D198" ca="1">CONCATENATE(INDIRECT(ADDRESS(1,4,1,0,"KeySet"),0),":","""",valueMaker!D198,"""")</f>
        <v>kainMeiEn:"Huang Jun Wei"</v>
      </c>
      <c r="E198" t="str" cm="1">
        <f t="array" aca="1" ref="E198" ca="1">CONCATENATE(INDIRECT(ADDRESS(1,5,1,0,"KeySet"),0),":","""",valueMaker!E198,"""")</f>
        <v>kainGender:"女性"</v>
      </c>
      <c r="F198" t="str" cm="1">
        <f t="array" aca="1" ref="F198" ca="1">CONCATENATE(INDIRECT(ADDRESS(1,6,1,0,"KeySet"),0),":","""",TEXT(valueMaker!F198,"yyyy/m/d"),"""")</f>
        <v>tanjyoubi:"2003/3/20"</v>
      </c>
      <c r="G198" t="str" cm="1">
        <f t="array" aca="1" ref="G198" ca="1">CONCATENATE(INDIRECT(ADDRESS(1,6,1,0,"KeySet"),0),":","""",TEXT(valueMaker!G198,"yyyy/m/d"),"""")</f>
        <v>tanjyoubi:"2022/9/11"</v>
      </c>
      <c r="H198" t="str" cm="1">
        <f t="array" aca="1" ref="H198" ca="1">CONCATENATE(INDIRECT(ADDRESS(1,6,1,0,"KeySet"),0),":","""",TEXT(valueMaker!H198,"yyyy/m/d"),"""")</f>
        <v>tanjyoubi:"2024/9/10"</v>
      </c>
      <c r="I198" t="str" cm="1">
        <f t="array" aca="1" ref="I198" ca="1">CONCATENATE(INDIRECT(ADDRESS(1,9,1,0,"KeySet"),0),":","""",valueMaker!I198,"""")</f>
        <v>denwaBangou:"090-5656-2937"</v>
      </c>
      <c r="J198" t="str" cm="1">
        <f t="array" aca="1" ref="J198" ca="1">CONCATENATE(INDIRECT(ADDRESS(1,10,1,0,"KeySet"),0),":","""",valueMaker!J198,"""")</f>
        <v>mailAddress:"Huang_Jun Wei_44815@outlook.jp.co"</v>
      </c>
      <c r="K198" t="str" cm="1">
        <f t="array" aca="1" ref="K198" ca="1">CONCATENATE(INDIRECT(ADDRESS(1,11,1,0,"KeySet"),0),":","""",valueMaker!K198,"""")</f>
        <v>kaninSyubetu:"普通"</v>
      </c>
      <c r="L198" t="str" cm="1">
        <f t="array" aca="1" ref="L198" ca="1">CONCATENATE(INDIRECT(ADDRESS(1,12,1,0,"KeySet"),0),":","""",valueMaker!L198,"""")</f>
        <v>kaninKengenWB:"有り"</v>
      </c>
      <c r="M198" t="str" cm="1">
        <f t="array" aca="1" ref="M198" ca="1">CONCATENATE(INDIRECT(ADDRESS(1,13,1,0,"KeySet"),0),":","""",valueMaker!M198,"""")</f>
        <v>wakibiri:"5%"</v>
      </c>
      <c r="N198" t="str" cm="1">
        <f t="array" aca="1" ref="N198" ca="1">CONCATENATE(INDIRECT(ADDRESS(1,14,1,0,"KeySet"),0),":","""",valueMaker!N198,"""")</f>
        <v>kaninKengenPoint:"-"</v>
      </c>
      <c r="O198" t="str" cm="1">
        <f t="array" aca="1" ref="O198" ca="1">CONCATENATE(INDIRECT(ADDRESS(1,15,1,0,"KeySet"),0),":","""",valueMaker!O198,"""")</f>
        <v>point:"-"</v>
      </c>
      <c r="P198" t="str" cm="1">
        <f t="array" aca="1" ref="P198" ca="1">CONCATENATE(INDIRECT(ADDRESS(1,16,1,0,"KeySet"),0),":","""",valueMaker!P198,"""")</f>
        <v>bikou:""</v>
      </c>
    </row>
    <row r="199" spans="1:16">
      <c r="A199" t="str" cm="1">
        <f t="array" aca="1" ref="A199" ca="1">CONCATENATE(INDIRECT(ADDRESS(1,1,1,0,"KeySet"),0),":","""",valueMaker!A199,"""")</f>
        <v>kainBangou:"TD10198"</v>
      </c>
      <c r="B199" t="str" cm="1">
        <f t="array" aca="1" ref="B199" ca="1">CONCATENATE(INDIRECT(ADDRESS(1,2,1,0,"KeySet"),0),":","""",valueMaker!B199,"""")</f>
        <v>kainMeiKanji:"吳倩嵐"</v>
      </c>
      <c r="C199" t="str" cm="1">
        <f t="array" aca="1" ref="C199" ca="1">CONCATENATE(INDIRECT(ADDRESS(1,3,1,0,"KeySet"),0),":","""",valueMaker!C199,"""")</f>
        <v>kainMeiKana:"ｳｰ ﾁｴﾝ ﾗﾝ"</v>
      </c>
      <c r="D199" t="str" cm="1">
        <f t="array" aca="1" ref="D199" ca="1">CONCATENATE(INDIRECT(ADDRESS(1,4,1,0,"KeySet"),0),":","""",valueMaker!D199,"""")</f>
        <v>kainMeiEn:"Wu Qian Lan"</v>
      </c>
      <c r="E199" t="str" cm="1">
        <f t="array" aca="1" ref="E199" ca="1">CONCATENATE(INDIRECT(ADDRESS(1,5,1,0,"KeySet"),0),":","""",valueMaker!E199,"""")</f>
        <v>kainGender:"男性"</v>
      </c>
      <c r="F199" t="str" cm="1">
        <f t="array" aca="1" ref="F199" ca="1">CONCATENATE(INDIRECT(ADDRESS(1,6,1,0,"KeySet"),0),":","""",TEXT(valueMaker!F199,"yyyy/m/d"),"""")</f>
        <v>tanjyoubi:"1963/11/23"</v>
      </c>
      <c r="G199" t="str" cm="1">
        <f t="array" aca="1" ref="G199" ca="1">CONCATENATE(INDIRECT(ADDRESS(1,6,1,0,"KeySet"),0),":","""",TEXT(valueMaker!G199,"yyyy/m/d"),"""")</f>
        <v>tanjyoubi:"2023/9/30"</v>
      </c>
      <c r="H199" t="str" cm="1">
        <f t="array" aca="1" ref="H199" ca="1">CONCATENATE(INDIRECT(ADDRESS(1,6,1,0,"KeySet"),0),":","""",TEXT(valueMaker!H199,"yyyy/m/d"),"""")</f>
        <v>tanjyoubi:"2024/9/29"</v>
      </c>
      <c r="I199" t="str" cm="1">
        <f t="array" aca="1" ref="I199" ca="1">CONCATENATE(INDIRECT(ADDRESS(1,9,1,0,"KeySet"),0),":","""",valueMaker!I199,"""")</f>
        <v>denwaBangou:"090-2272-5885"</v>
      </c>
      <c r="J199" t="str" cm="1">
        <f t="array" aca="1" ref="J199" ca="1">CONCATENATE(INDIRECT(ADDRESS(1,10,1,0,"KeySet"),0),":","""",valueMaker!J199,"""")</f>
        <v>mailAddress:"Wu_Qian Lan_45199@outlook.jp.co"</v>
      </c>
      <c r="K199" t="str" cm="1">
        <f t="array" aca="1" ref="K199" ca="1">CONCATENATE(INDIRECT(ADDRESS(1,11,1,0,"KeySet"),0),":","""",valueMaker!K199,"""")</f>
        <v>kaninSyubetu:"普通"</v>
      </c>
      <c r="L199" t="str" cm="1">
        <f t="array" aca="1" ref="L199" ca="1">CONCATENATE(INDIRECT(ADDRESS(1,12,1,0,"KeySet"),0),":","""",valueMaker!L199,"""")</f>
        <v>kaninKengenWB:"有り"</v>
      </c>
      <c r="M199" t="str" cm="1">
        <f t="array" aca="1" ref="M199" ca="1">CONCATENATE(INDIRECT(ADDRESS(1,13,1,0,"KeySet"),0),":","""",valueMaker!M199,"""")</f>
        <v>wakibiri:"5%"</v>
      </c>
      <c r="N199" t="str" cm="1">
        <f t="array" aca="1" ref="N199" ca="1">CONCATENATE(INDIRECT(ADDRESS(1,14,1,0,"KeySet"),0),":","""",valueMaker!N199,"""")</f>
        <v>kaninKengenPoint:"有り"</v>
      </c>
      <c r="O199" t="str" cm="1">
        <f t="array" aca="1" ref="O199" ca="1">CONCATENATE(INDIRECT(ADDRESS(1,15,1,0,"KeySet"),0),":","""",valueMaker!O199,"""")</f>
        <v>point:"383"</v>
      </c>
      <c r="P199" t="str" cm="1">
        <f t="array" aca="1" ref="P199" ca="1">CONCATENATE(INDIRECT(ADDRESS(1,16,1,0,"KeySet"),0),":","""",valueMaker!P199,"""")</f>
        <v>bikou:""</v>
      </c>
    </row>
    <row r="200" spans="1:16">
      <c r="A200" t="str" cm="1">
        <f t="array" aca="1" ref="A200" ca="1">CONCATENATE(INDIRECT(ADDRESS(1,1,1,0,"KeySet"),0),":","""",valueMaker!A200,"""")</f>
        <v>kainBangou:"TD10199"</v>
      </c>
      <c r="B200" t="str" cm="1">
        <f t="array" aca="1" ref="B200" ca="1">CONCATENATE(INDIRECT(ADDRESS(1,2,1,0,"KeySet"),0),":","""",valueMaker!B200,"""")</f>
        <v>kainMeiKanji:"楊依邁"</v>
      </c>
      <c r="C200" t="str" cm="1">
        <f t="array" aca="1" ref="C200" ca="1">CONCATENATE(INDIRECT(ADDRESS(1,3,1,0,"KeySet"),0),":","""",valueMaker!C200,"""")</f>
        <v>kainMeiKana:"ﾔｰﾝ ｲｰ ﾏｲ"</v>
      </c>
      <c r="D200" t="str" cm="1">
        <f t="array" aca="1" ref="D200" ca="1">CONCATENATE(INDIRECT(ADDRESS(1,4,1,0,"KeySet"),0),":","""",valueMaker!D200,"""")</f>
        <v>kainMeiEn:"Yang Yi Mai"</v>
      </c>
      <c r="E200" t="str" cm="1">
        <f t="array" aca="1" ref="E200" ca="1">CONCATENATE(INDIRECT(ADDRESS(1,5,1,0,"KeySet"),0),":","""",valueMaker!E200,"""")</f>
        <v>kainGender:"男性"</v>
      </c>
      <c r="F200" t="str" cm="1">
        <f t="array" aca="1" ref="F200" ca="1">CONCATENATE(INDIRECT(ADDRESS(1,6,1,0,"KeySet"),0),":","""",TEXT(valueMaker!F200,"yyyy/m/d"),"""")</f>
        <v>tanjyoubi:"1977/8/1"</v>
      </c>
      <c r="G200" t="str" cm="1">
        <f t="array" aca="1" ref="G200" ca="1">CONCATENATE(INDIRECT(ADDRESS(1,6,1,0,"KeySet"),0),":","""",TEXT(valueMaker!G200,"yyyy/m/d"),"""")</f>
        <v>tanjyoubi:"2024/4/10"</v>
      </c>
      <c r="H200" t="str" cm="1">
        <f t="array" aca="1" ref="H200" ca="1">CONCATENATE(INDIRECT(ADDRESS(1,6,1,0,"KeySet"),0),":","""",TEXT(valueMaker!H200,"yyyy/m/d"),"""")</f>
        <v>tanjyoubi:"2027/4/10"</v>
      </c>
      <c r="I200" t="str" cm="1">
        <f t="array" aca="1" ref="I200" ca="1">CONCATENATE(INDIRECT(ADDRESS(1,9,1,0,"KeySet"),0),":","""",valueMaker!I200,"""")</f>
        <v>denwaBangou:"090-7072-1041"</v>
      </c>
      <c r="J200" t="str" cm="1">
        <f t="array" aca="1" ref="J200" ca="1">CONCATENATE(INDIRECT(ADDRESS(1,10,1,0,"KeySet"),0),":","""",valueMaker!J200,"""")</f>
        <v>mailAddress:"Yang_Yi_Mai_45392@outlook.jp.co"</v>
      </c>
      <c r="K200" t="str" cm="1">
        <f t="array" aca="1" ref="K200" ca="1">CONCATENATE(INDIRECT(ADDRESS(1,11,1,0,"KeySet"),0),":","""",valueMaker!K200,"""")</f>
        <v>kaninSyubetu:"普通"</v>
      </c>
      <c r="L200" t="str" cm="1">
        <f t="array" aca="1" ref="L200" ca="1">CONCATENATE(INDIRECT(ADDRESS(1,12,1,0,"KeySet"),0),":","""",valueMaker!L200,"""")</f>
        <v>kaninKengenWB:"有り"</v>
      </c>
      <c r="M200" t="str" cm="1">
        <f t="array" aca="1" ref="M200" ca="1">CONCATENATE(INDIRECT(ADDRESS(1,13,1,0,"KeySet"),0),":","""",valueMaker!M200,"""")</f>
        <v>wakibiri:"5%"</v>
      </c>
      <c r="N200" t="str" cm="1">
        <f t="array" aca="1" ref="N200" ca="1">CONCATENATE(INDIRECT(ADDRESS(1,14,1,0,"KeySet"),0),":","""",valueMaker!N200,"""")</f>
        <v>kaninKengenPoint:"-"</v>
      </c>
      <c r="O200" t="str" cm="1">
        <f t="array" aca="1" ref="O200" ca="1">CONCATENATE(INDIRECT(ADDRESS(1,15,1,0,"KeySet"),0),":","""",valueMaker!O200,"""")</f>
        <v>point:"-"</v>
      </c>
      <c r="P200" t="str" cm="1">
        <f t="array" aca="1" ref="P200" ca="1">CONCATENATE(INDIRECT(ADDRESS(1,16,1,0,"KeySet"),0),":","""",valueMaker!P200,"""")</f>
        <v>bikou:""</v>
      </c>
    </row>
    <row r="201" spans="1:16">
      <c r="A201" t="str" cm="1">
        <f t="array" aca="1" ref="A201" ca="1">CONCATENATE(INDIRECT(ADDRESS(1,1,1,0,"KeySet"),0),":","""",valueMaker!A201,"""")</f>
        <v>kainBangou:"TD10200"</v>
      </c>
      <c r="B201" t="str" cm="1">
        <f t="array" aca="1" ref="B201" ca="1">CONCATENATE(INDIRECT(ADDRESS(1,2,1,0,"KeySet"),0),":","""",valueMaker!B201,"""")</f>
        <v>kainMeiKanji:"趙憶友"</v>
      </c>
      <c r="C201" t="str" cm="1">
        <f t="array" aca="1" ref="C201" ca="1">CONCATENATE(INDIRECT(ADDRESS(1,3,1,0,"KeySet"),0),":","""",valueMaker!C201,"""")</f>
        <v>kainMeiKana:"ｼﾞｬｵ ｲｰ ﾖｳ"</v>
      </c>
      <c r="D201" t="str" cm="1">
        <f t="array" aca="1" ref="D201" ca="1">CONCATENATE(INDIRECT(ADDRESS(1,4,1,0,"KeySet"),0),":","""",valueMaker!D201,"""")</f>
        <v>kainMeiEn:"Zhao Yi You"</v>
      </c>
      <c r="E201" t="str" cm="1">
        <f t="array" aca="1" ref="E201" ca="1">CONCATENATE(INDIRECT(ADDRESS(1,5,1,0,"KeySet"),0),":","""",valueMaker!E201,"""")</f>
        <v>kainGender:"女性"</v>
      </c>
      <c r="F201" t="str" cm="1">
        <f t="array" aca="1" ref="F201" ca="1">CONCATENATE(INDIRECT(ADDRESS(1,6,1,0,"KeySet"),0),":","""",TEXT(valueMaker!F201,"yyyy/m/d"),"""")</f>
        <v>tanjyoubi:"1966/6/28"</v>
      </c>
      <c r="G201" t="str" cm="1">
        <f t="array" aca="1" ref="G201" ca="1">CONCATENATE(INDIRECT(ADDRESS(1,6,1,0,"KeySet"),0),":","""",TEXT(valueMaker!G201,"yyyy/m/d"),"""")</f>
        <v>tanjyoubi:"1991/8/5"</v>
      </c>
      <c r="H201" t="str" cm="1">
        <f t="array" aca="1" ref="H201" ca="1">CONCATENATE(INDIRECT(ADDRESS(1,6,1,0,"KeySet"),0),":","""",TEXT(valueMaker!H201,"yyyy/m/d"),"""")</f>
        <v>tanjyoubi:"1994/8/4"</v>
      </c>
      <c r="I201" t="str" cm="1">
        <f t="array" aca="1" ref="I201" ca="1">CONCATENATE(INDIRECT(ADDRESS(1,9,1,0,"KeySet"),0),":","""",valueMaker!I201,"""")</f>
        <v>denwaBangou:"090-1578-1394"</v>
      </c>
      <c r="J201" t="str" cm="1">
        <f t="array" aca="1" ref="J201" ca="1">CONCATENATE(INDIRECT(ADDRESS(1,10,1,0,"KeySet"),0),":","""",valueMaker!J201,"""")</f>
        <v>mailAddress:"Zhao_Yi_You_33455@outlook.jp.co"</v>
      </c>
      <c r="K201" t="str" cm="1">
        <f t="array" aca="1" ref="K201" ca="1">CONCATENATE(INDIRECT(ADDRESS(1,11,1,0,"KeySet"),0),":","""",valueMaker!K201,"""")</f>
        <v>kaninSyubetu:"普通"</v>
      </c>
      <c r="L201" t="str" cm="1">
        <f t="array" aca="1" ref="L201" ca="1">CONCATENATE(INDIRECT(ADDRESS(1,12,1,0,"KeySet"),0),":","""",valueMaker!L201,"""")</f>
        <v>kaninKengenWB:"有り"</v>
      </c>
      <c r="M201" t="str" cm="1">
        <f t="array" aca="1" ref="M201" ca="1">CONCATENATE(INDIRECT(ADDRESS(1,13,1,0,"KeySet"),0),":","""",valueMaker!M201,"""")</f>
        <v>wakibiri:"5%"</v>
      </c>
      <c r="N201" t="str" cm="1">
        <f t="array" aca="1" ref="N201" ca="1">CONCATENATE(INDIRECT(ADDRESS(1,14,1,0,"KeySet"),0),":","""",valueMaker!N201,"""")</f>
        <v>kaninKengenPoint:"-"</v>
      </c>
      <c r="O201" t="str" cm="1">
        <f t="array" aca="1" ref="O201" ca="1">CONCATENATE(INDIRECT(ADDRESS(1,15,1,0,"KeySet"),0),":","""",valueMaker!O201,"""")</f>
        <v>point:"-"</v>
      </c>
      <c r="P201" t="str" cm="1">
        <f t="array" aca="1" ref="P201" ca="1">CONCATENATE(INDIRECT(ADDRESS(1,16,1,0,"KeySet"),0),":","""",valueMaker!P201,"""")</f>
        <v>bikou:""</v>
      </c>
    </row>
    <row r="202" spans="1:16">
      <c r="A202" t="str" cm="1">
        <f t="array" aca="1" ref="A202" ca="1">CONCATENATE(INDIRECT(ADDRESS(1,1,1,0,"KeySet"),0),":","""",valueMaker!A202,"""")</f>
        <v>kainBangou:"TD10201"</v>
      </c>
      <c r="B202" t="str" cm="1">
        <f t="array" aca="1" ref="B202" ca="1">CONCATENATE(INDIRECT(ADDRESS(1,2,1,0,"KeySet"),0),":","""",valueMaker!B202,"""")</f>
        <v>kainMeiKanji:"胡皇特"</v>
      </c>
      <c r="C202" t="str" cm="1">
        <f t="array" aca="1" ref="C202" ca="1">CONCATENATE(INDIRECT(ADDRESS(1,3,1,0,"KeySet"),0),":","""",valueMaker!C202,"""")</f>
        <v>kainMeiKana:"ﾎｩ ﾎﾜｰﾝ ﾄｰｧ"</v>
      </c>
      <c r="D202" t="str" cm="1">
        <f t="array" aca="1" ref="D202" ca="1">CONCATENATE(INDIRECT(ADDRESS(1,4,1,0,"KeySet"),0),":","""",valueMaker!D202,"""")</f>
        <v>kainMeiEn:"Hu Huang Te"</v>
      </c>
      <c r="E202" t="str" cm="1">
        <f t="array" aca="1" ref="E202" ca="1">CONCATENATE(INDIRECT(ADDRESS(1,5,1,0,"KeySet"),0),":","""",valueMaker!E202,"""")</f>
        <v>kainGender:"女性"</v>
      </c>
      <c r="F202" t="str" cm="1">
        <f t="array" aca="1" ref="F202" ca="1">CONCATENATE(INDIRECT(ADDRESS(1,6,1,0,"KeySet"),0),":","""",TEXT(valueMaker!F202,"yyyy/m/d"),"""")</f>
        <v>tanjyoubi:"1979/9/9"</v>
      </c>
      <c r="G202" t="str" cm="1">
        <f t="array" aca="1" ref="G202" ca="1">CONCATENATE(INDIRECT(ADDRESS(1,6,1,0,"KeySet"),0),":","""",TEXT(valueMaker!G202,"yyyy/m/d"),"""")</f>
        <v>tanjyoubi:"2021/2/2"</v>
      </c>
      <c r="H202" t="str" cm="1">
        <f t="array" aca="1" ref="H202" ca="1">CONCATENATE(INDIRECT(ADDRESS(1,6,1,0,"KeySet"),0),":","""",TEXT(valueMaker!H202,"yyyy/m/d"),"""")</f>
        <v>tanjyoubi:"2024/2/2"</v>
      </c>
      <c r="I202" t="str" cm="1">
        <f t="array" aca="1" ref="I202" ca="1">CONCATENATE(INDIRECT(ADDRESS(1,9,1,0,"KeySet"),0),":","""",valueMaker!I202,"""")</f>
        <v>denwaBangou:"090-3967-2060"</v>
      </c>
      <c r="J202" t="str" cm="1">
        <f t="array" aca="1" ref="J202" ca="1">CONCATENATE(INDIRECT(ADDRESS(1,10,1,0,"KeySet"),0),":","""",valueMaker!J202,"""")</f>
        <v>mailAddress:"Hu_Huang_Te_44229@outlook.jp.co"</v>
      </c>
      <c r="K202" t="str" cm="1">
        <f t="array" aca="1" ref="K202" ca="1">CONCATENATE(INDIRECT(ADDRESS(1,11,1,0,"KeySet"),0),":","""",valueMaker!K202,"""")</f>
        <v>kaninSyubetu:"高級"</v>
      </c>
      <c r="L202" t="str" cm="1">
        <f t="array" aca="1" ref="L202" ca="1">CONCATENATE(INDIRECT(ADDRESS(1,12,1,0,"KeySet"),0),":","""",valueMaker!L202,"""")</f>
        <v>kaninKengenWB:"有り"</v>
      </c>
      <c r="M202" t="str" cm="1">
        <f t="array" aca="1" ref="M202" ca="1">CONCATENATE(INDIRECT(ADDRESS(1,13,1,0,"KeySet"),0),":","""",valueMaker!M202,"""")</f>
        <v>wakibiri:"10%"</v>
      </c>
      <c r="N202" t="str" cm="1">
        <f t="array" aca="1" ref="N202" ca="1">CONCATENATE(INDIRECT(ADDRESS(1,14,1,0,"KeySet"),0),":","""",valueMaker!N202,"""")</f>
        <v>kaninKengenPoint:"-"</v>
      </c>
      <c r="O202" t="str" cm="1">
        <f t="array" aca="1" ref="O202" ca="1">CONCATENATE(INDIRECT(ADDRESS(1,15,1,0,"KeySet"),0),":","""",valueMaker!O202,"""")</f>
        <v>point:"-"</v>
      </c>
      <c r="P202" t="str" cm="1">
        <f t="array" aca="1" ref="P202" ca="1">CONCATENATE(INDIRECT(ADDRESS(1,16,1,0,"KeySet"),0),":","""",valueMaker!P202,"""")</f>
        <v>bikou:""</v>
      </c>
    </row>
    <row r="203" spans="1:16">
      <c r="A203" t="str" cm="1">
        <f t="array" aca="1" ref="A203" ca="1">CONCATENATE(INDIRECT(ADDRESS(1,1,1,0,"KeySet"),0),":","""",valueMaker!A203,"""")</f>
        <v>kainBangou:"TD10202"</v>
      </c>
      <c r="B203" t="str" cm="1">
        <f t="array" aca="1" ref="B203" ca="1">CONCATENATE(INDIRECT(ADDRESS(1,2,1,0,"KeySet"),0),":","""",valueMaker!B203,"""")</f>
        <v>kainMeiKanji:"韓靜耿"</v>
      </c>
      <c r="C203" t="str" cm="1">
        <f t="array" aca="1" ref="C203" ca="1">CONCATENATE(INDIRECT(ADDRESS(1,3,1,0,"KeySet"),0),":","""",valueMaker!C203,"""")</f>
        <v>kainMeiKana:"ﾊﾝ ｼﾞｰﾝ ｸﾞｵﾝ"</v>
      </c>
      <c r="D203" t="str" cm="1">
        <f t="array" aca="1" ref="D203" ca="1">CONCATENATE(INDIRECT(ADDRESS(1,4,1,0,"KeySet"),0),":","""",valueMaker!D203,"""")</f>
        <v>kainMeiEn:"Han Jing Geng"</v>
      </c>
      <c r="E203" t="str" cm="1">
        <f t="array" aca="1" ref="E203" ca="1">CONCATENATE(INDIRECT(ADDRESS(1,5,1,0,"KeySet"),0),":","""",valueMaker!E203,"""")</f>
        <v>kainGender:"-"</v>
      </c>
      <c r="F203" t="str" cm="1">
        <f t="array" aca="1" ref="F203" ca="1">CONCATENATE(INDIRECT(ADDRESS(1,6,1,0,"KeySet"),0),":","""",TEXT(valueMaker!F203,"yyyy/m/d"),"""")</f>
        <v>tanjyoubi:"1961/8/12"</v>
      </c>
      <c r="G203" t="str" cm="1">
        <f t="array" aca="1" ref="G203" ca="1">CONCATENATE(INDIRECT(ADDRESS(1,6,1,0,"KeySet"),0),":","""",TEXT(valueMaker!G203,"yyyy/m/d"),"""")</f>
        <v>tanjyoubi:"2006/11/26"</v>
      </c>
      <c r="H203" t="str" cm="1">
        <f t="array" aca="1" ref="H203" ca="1">CONCATENATE(INDIRECT(ADDRESS(1,6,1,0,"KeySet"),0),":","""",TEXT(valueMaker!H203,"yyyy/m/d"),"""")</f>
        <v>tanjyoubi:"2008/11/25"</v>
      </c>
      <c r="I203" t="str" cm="1">
        <f t="array" aca="1" ref="I203" ca="1">CONCATENATE(INDIRECT(ADDRESS(1,9,1,0,"KeySet"),0),":","""",valueMaker!I203,"""")</f>
        <v>denwaBangou:"090-0813-3873"</v>
      </c>
      <c r="J203" t="str" cm="1">
        <f t="array" aca="1" ref="J203" ca="1">CONCATENATE(INDIRECT(ADDRESS(1,10,1,0,"KeySet"),0),":","""",valueMaker!J203,"""")</f>
        <v>mailAddress:"Han_Jing_Geng_39047@outlook.jp.co"</v>
      </c>
      <c r="K203" t="str" cm="1">
        <f t="array" aca="1" ref="K203" ca="1">CONCATENATE(INDIRECT(ADDRESS(1,11,1,0,"KeySet"),0),":","""",valueMaker!K203,"""")</f>
        <v>kaninSyubetu:"普通"</v>
      </c>
      <c r="L203" t="str" cm="1">
        <f t="array" aca="1" ref="L203" ca="1">CONCATENATE(INDIRECT(ADDRESS(1,12,1,0,"KeySet"),0),":","""",valueMaker!L203,"""")</f>
        <v>kaninKengenWB:"有り"</v>
      </c>
      <c r="M203" t="str" cm="1">
        <f t="array" aca="1" ref="M203" ca="1">CONCATENATE(INDIRECT(ADDRESS(1,13,1,0,"KeySet"),0),":","""",valueMaker!M203,"""")</f>
        <v>wakibiri:"5%"</v>
      </c>
      <c r="N203" t="str" cm="1">
        <f t="array" aca="1" ref="N203" ca="1">CONCATENATE(INDIRECT(ADDRESS(1,14,1,0,"KeySet"),0),":","""",valueMaker!N203,"""")</f>
        <v>kaninKengenPoint:"有り"</v>
      </c>
      <c r="O203" t="str" cm="1">
        <f t="array" aca="1" ref="O203" ca="1">CONCATENATE(INDIRECT(ADDRESS(1,15,1,0,"KeySet"),0),":","""",valueMaker!O203,"""")</f>
        <v>point:"909"</v>
      </c>
      <c r="P203" t="str" cm="1">
        <f t="array" aca="1" ref="P203" ca="1">CONCATENATE(INDIRECT(ADDRESS(1,16,1,0,"KeySet"),0),":","""",valueMaker!P203,"""")</f>
        <v>bikou:""</v>
      </c>
    </row>
    <row r="204" spans="1:16">
      <c r="A204" t="str" cm="1">
        <f t="array" aca="1" ref="A204" ca="1">CONCATENATE(INDIRECT(ADDRESS(1,1,1,0,"KeySet"),0),":","""",valueMaker!A204,"""")</f>
        <v>kainBangou:"TD10203"</v>
      </c>
      <c r="B204" t="str" cm="1">
        <f t="array" aca="1" ref="B204" ca="1">CONCATENATE(INDIRECT(ADDRESS(1,2,1,0,"KeySet"),0),":","""",valueMaker!B204,"""")</f>
        <v>kainMeiKanji:"高天達"</v>
      </c>
      <c r="C204" t="str" cm="1">
        <f t="array" aca="1" ref="C204" ca="1">CONCATENATE(INDIRECT(ADDRESS(1,3,1,0,"KeySet"),0),":","""",valueMaker!C204,"""")</f>
        <v>kainMeiKana:"ｶﾞｵ ﾃｨｴﾝ ﾀﾞｰ"</v>
      </c>
      <c r="D204" t="str" cm="1">
        <f t="array" aca="1" ref="D204" ca="1">CONCATENATE(INDIRECT(ADDRESS(1,4,1,0,"KeySet"),0),":","""",valueMaker!D204,"""")</f>
        <v>kainMeiEn:"Gao Tian Da"</v>
      </c>
      <c r="E204" t="str" cm="1">
        <f t="array" aca="1" ref="E204" ca="1">CONCATENATE(INDIRECT(ADDRESS(1,5,1,0,"KeySet"),0),":","""",valueMaker!E204,"""")</f>
        <v>kainGender:"女性"</v>
      </c>
      <c r="F204" t="str" cm="1">
        <f t="array" aca="1" ref="F204" ca="1">CONCATENATE(INDIRECT(ADDRESS(1,6,1,0,"KeySet"),0),":","""",TEXT(valueMaker!F204,"yyyy/m/d"),"""")</f>
        <v>tanjyoubi:"1995/6/12"</v>
      </c>
      <c r="G204" t="str" cm="1">
        <f t="array" aca="1" ref="G204" ca="1">CONCATENATE(INDIRECT(ADDRESS(1,6,1,0,"KeySet"),0),":","""",TEXT(valueMaker!G204,"yyyy/m/d"),"""")</f>
        <v>tanjyoubi:"2024/6/2"</v>
      </c>
      <c r="H204" t="str" cm="1">
        <f t="array" aca="1" ref="H204" ca="1">CONCATENATE(INDIRECT(ADDRESS(1,6,1,0,"KeySet"),0),":","""",TEXT(valueMaker!H204,"yyyy/m/d"),"""")</f>
        <v>tanjyoubi:"2026/6/2"</v>
      </c>
      <c r="I204" t="str" cm="1">
        <f t="array" aca="1" ref="I204" ca="1">CONCATENATE(INDIRECT(ADDRESS(1,9,1,0,"KeySet"),0),":","""",valueMaker!I204,"""")</f>
        <v>denwaBangou:"080-2137-3996"</v>
      </c>
      <c r="J204" t="str" cm="1">
        <f t="array" aca="1" ref="J204" ca="1">CONCATENATE(INDIRECT(ADDRESS(1,10,1,0,"KeySet"),0),":","""",valueMaker!J204,"""")</f>
        <v>mailAddress:"Gao_Tian_Da_45445@outlook.jp.co"</v>
      </c>
      <c r="K204" t="str" cm="1">
        <f t="array" aca="1" ref="K204" ca="1">CONCATENATE(INDIRECT(ADDRESS(1,11,1,0,"KeySet"),0),":","""",valueMaker!K204,"""")</f>
        <v>kaninSyubetu:"普通"</v>
      </c>
      <c r="L204" t="str" cm="1">
        <f t="array" aca="1" ref="L204" ca="1">CONCATENATE(INDIRECT(ADDRESS(1,12,1,0,"KeySet"),0),":","""",valueMaker!L204,"""")</f>
        <v>kaninKengenWB:"-"</v>
      </c>
      <c r="M204" t="str" cm="1">
        <f t="array" aca="1" ref="M204" ca="1">CONCATENATE(INDIRECT(ADDRESS(1,13,1,0,"KeySet"),0),":","""",valueMaker!M204,"""")</f>
        <v>wakibiri:"-"</v>
      </c>
      <c r="N204" t="str" cm="1">
        <f t="array" aca="1" ref="N204" ca="1">CONCATENATE(INDIRECT(ADDRESS(1,14,1,0,"KeySet"),0),":","""",valueMaker!N204,"""")</f>
        <v>kaninKengenPoint:"有り"</v>
      </c>
      <c r="O204" t="str" cm="1">
        <f t="array" aca="1" ref="O204" ca="1">CONCATENATE(INDIRECT(ADDRESS(1,15,1,0,"KeySet"),0),":","""",valueMaker!O204,"""")</f>
        <v>point:"866"</v>
      </c>
      <c r="P204" t="str" cm="1">
        <f t="array" aca="1" ref="P204" ca="1">CONCATENATE(INDIRECT(ADDRESS(1,16,1,0,"KeySet"),0),":","""",valueMaker!P204,"""")</f>
        <v>bikou:""</v>
      </c>
    </row>
    <row r="205" spans="1:16">
      <c r="A205" t="str" cm="1">
        <f t="array" aca="1" ref="A205" ca="1">CONCATENATE(INDIRECT(ADDRESS(1,1,1,0,"KeySet"),0),":","""",valueMaker!A205,"""")</f>
        <v>kainBangou:"TD10204"</v>
      </c>
      <c r="B205" t="str" cm="1">
        <f t="array" aca="1" ref="B205" ca="1">CONCATENATE(INDIRECT(ADDRESS(1,2,1,0,"KeySet"),0),":","""",valueMaker!B205,"""")</f>
        <v>kainMeiKanji:"王宇高"</v>
      </c>
      <c r="C205" t="str" cm="1">
        <f t="array" aca="1" ref="C205" ca="1">CONCATENATE(INDIRECT(ADDRESS(1,3,1,0,"KeySet"),0),":","""",valueMaker!C205,"""")</f>
        <v>kainMeiKana:"ﾜｰﾝ ﾕｲ ｶﾞｵ"</v>
      </c>
      <c r="D205" t="str" cm="1">
        <f t="array" aca="1" ref="D205" ca="1">CONCATENATE(INDIRECT(ADDRESS(1,4,1,0,"KeySet"),0),":","""",valueMaker!D205,"""")</f>
        <v>kainMeiEn:"Wang Yu Gao"</v>
      </c>
      <c r="E205" t="str" cm="1">
        <f t="array" aca="1" ref="E205" ca="1">CONCATENATE(INDIRECT(ADDRESS(1,5,1,0,"KeySet"),0),":","""",valueMaker!E205,"""")</f>
        <v>kainGender:"-"</v>
      </c>
      <c r="F205" t="str" cm="1">
        <f t="array" aca="1" ref="F205" ca="1">CONCATENATE(INDIRECT(ADDRESS(1,6,1,0,"KeySet"),0),":","""",TEXT(valueMaker!F205,"yyyy/m/d"),"""")</f>
        <v>tanjyoubi:"1980/8/15"</v>
      </c>
      <c r="G205" t="str" cm="1">
        <f t="array" aca="1" ref="G205" ca="1">CONCATENATE(INDIRECT(ADDRESS(1,6,1,0,"KeySet"),0),":","""",TEXT(valueMaker!G205,"yyyy/m/d"),"""")</f>
        <v>tanjyoubi:"2009/11/29"</v>
      </c>
      <c r="H205" t="str" cm="1">
        <f t="array" aca="1" ref="H205" ca="1">CONCATENATE(INDIRECT(ADDRESS(1,6,1,0,"KeySet"),0),":","""",TEXT(valueMaker!H205,"yyyy/m/d"),"""")</f>
        <v>tanjyoubi:"2010/11/29"</v>
      </c>
      <c r="I205" t="str" cm="1">
        <f t="array" aca="1" ref="I205" ca="1">CONCATENATE(INDIRECT(ADDRESS(1,9,1,0,"KeySet"),0),":","""",valueMaker!I205,"""")</f>
        <v>denwaBangou:"090-5805-7142"</v>
      </c>
      <c r="J205" t="str" cm="1">
        <f t="array" aca="1" ref="J205" ca="1">CONCATENATE(INDIRECT(ADDRESS(1,10,1,0,"KeySet"),0),":","""",valueMaker!J205,"""")</f>
        <v>mailAddress:"Wang_Yu_Gao_40146@outlook.jp.co"</v>
      </c>
      <c r="K205" t="str" cm="1">
        <f t="array" aca="1" ref="K205" ca="1">CONCATENATE(INDIRECT(ADDRESS(1,11,1,0,"KeySet"),0),":","""",valueMaker!K205,"""")</f>
        <v>kaninSyubetu:"高級"</v>
      </c>
      <c r="L205" t="str" cm="1">
        <f t="array" aca="1" ref="L205" ca="1">CONCATENATE(INDIRECT(ADDRESS(1,12,1,0,"KeySet"),0),":","""",valueMaker!L205,"""")</f>
        <v>kaninKengenWB:"有り"</v>
      </c>
      <c r="M205" t="str" cm="1">
        <f t="array" aca="1" ref="M205" ca="1">CONCATENATE(INDIRECT(ADDRESS(1,13,1,0,"KeySet"),0),":","""",valueMaker!M205,"""")</f>
        <v>wakibiri:"10%"</v>
      </c>
      <c r="N205" t="str" cm="1">
        <f t="array" aca="1" ref="N205" ca="1">CONCATENATE(INDIRECT(ADDRESS(1,14,1,0,"KeySet"),0),":","""",valueMaker!N205,"""")</f>
        <v>kaninKengenPoint:"有り"</v>
      </c>
      <c r="O205" t="str" cm="1">
        <f t="array" aca="1" ref="O205" ca="1">CONCATENATE(INDIRECT(ADDRESS(1,15,1,0,"KeySet"),0),":","""",valueMaker!O205,"""")</f>
        <v>point:"775"</v>
      </c>
      <c r="P205" t="str" cm="1">
        <f t="array" aca="1" ref="P205" ca="1">CONCATENATE(INDIRECT(ADDRESS(1,16,1,0,"KeySet"),0),":","""",valueMaker!P205,"""")</f>
        <v>bikou:""</v>
      </c>
    </row>
    <row r="206" spans="1:16">
      <c r="A206" t="str" cm="1">
        <f t="array" aca="1" ref="A206" ca="1">CONCATENATE(INDIRECT(ADDRESS(1,1,1,0,"KeySet"),0),":","""",valueMaker!A206,"""")</f>
        <v>kainBangou:"TD10205"</v>
      </c>
      <c r="B206" t="str" cm="1">
        <f t="array" aca="1" ref="B206" ca="1">CONCATENATE(INDIRECT(ADDRESS(1,2,1,0,"KeySet"),0),":","""",valueMaker!B206,"""")</f>
        <v>kainMeiKanji:"何資繼"</v>
      </c>
      <c r="C206" t="str" cm="1">
        <f t="array" aca="1" ref="C206" ca="1">CONCATENATE(INDIRECT(ADDRESS(1,3,1,0,"KeySet"),0),":","""",valueMaker!C206,"""")</f>
        <v>kainMeiKana:"ﾎｰｧ ｽﾞｰ ｼﾞｰ"</v>
      </c>
      <c r="D206" t="str" cm="1">
        <f t="array" aca="1" ref="D206" ca="1">CONCATENATE(INDIRECT(ADDRESS(1,4,1,0,"KeySet"),0),":","""",valueMaker!D206,"""")</f>
        <v>kainMeiEn:"He Zi Ji"</v>
      </c>
      <c r="E206" t="str" cm="1">
        <f t="array" aca="1" ref="E206" ca="1">CONCATENATE(INDIRECT(ADDRESS(1,5,1,0,"KeySet"),0),":","""",valueMaker!E206,"""")</f>
        <v>kainGender:"女性"</v>
      </c>
      <c r="F206" t="str" cm="1">
        <f t="array" aca="1" ref="F206" ca="1">CONCATENATE(INDIRECT(ADDRESS(1,6,1,0,"KeySet"),0),":","""",TEXT(valueMaker!F206,"yyyy/m/d"),"""")</f>
        <v>tanjyoubi:"1987/1/24"</v>
      </c>
      <c r="G206" t="str" cm="1">
        <f t="array" aca="1" ref="G206" ca="1">CONCATENATE(INDIRECT(ADDRESS(1,6,1,0,"KeySet"),0),":","""",TEXT(valueMaker!G206,"yyyy/m/d"),"""")</f>
        <v>tanjyoubi:"2008/10/15"</v>
      </c>
      <c r="H206" t="str" cm="1">
        <f t="array" aca="1" ref="H206" ca="1">CONCATENATE(INDIRECT(ADDRESS(1,6,1,0,"KeySet"),0),":","""",TEXT(valueMaker!H206,"yyyy/m/d"),"""")</f>
        <v>tanjyoubi:"2011/10/15"</v>
      </c>
      <c r="I206" t="str" cm="1">
        <f t="array" aca="1" ref="I206" ca="1">CONCATENATE(INDIRECT(ADDRESS(1,9,1,0,"KeySet"),0),":","""",valueMaker!I206,"""")</f>
        <v>denwaBangou:"080-6670-3011"</v>
      </c>
      <c r="J206" t="str" cm="1">
        <f t="array" aca="1" ref="J206" ca="1">CONCATENATE(INDIRECT(ADDRESS(1,10,1,0,"KeySet"),0),":","""",valueMaker!J206,"""")</f>
        <v>mailAddress:"He_Zi_Ji_39736@outlook.jp.co"</v>
      </c>
      <c r="K206" t="str" cm="1">
        <f t="array" aca="1" ref="K206" ca="1">CONCATENATE(INDIRECT(ADDRESS(1,11,1,0,"KeySet"),0),":","""",valueMaker!K206,"""")</f>
        <v>kaninSyubetu:"高級"</v>
      </c>
      <c r="L206" t="str" cm="1">
        <f t="array" aca="1" ref="L206" ca="1">CONCATENATE(INDIRECT(ADDRESS(1,12,1,0,"KeySet"),0),":","""",valueMaker!L206,"""")</f>
        <v>kaninKengenWB:"有り"</v>
      </c>
      <c r="M206" t="str" cm="1">
        <f t="array" aca="1" ref="M206" ca="1">CONCATENATE(INDIRECT(ADDRESS(1,13,1,0,"KeySet"),0),":","""",valueMaker!M206,"""")</f>
        <v>wakibiri:"10%"</v>
      </c>
      <c r="N206" t="str" cm="1">
        <f t="array" aca="1" ref="N206" ca="1">CONCATENATE(INDIRECT(ADDRESS(1,14,1,0,"KeySet"),0),":","""",valueMaker!N206,"""")</f>
        <v>kaninKengenPoint:"-"</v>
      </c>
      <c r="O206" t="str" cm="1">
        <f t="array" aca="1" ref="O206" ca="1">CONCATENATE(INDIRECT(ADDRESS(1,15,1,0,"KeySet"),0),":","""",valueMaker!O206,"""")</f>
        <v>point:"-"</v>
      </c>
      <c r="P206" t="str" cm="1">
        <f t="array" aca="1" ref="P206" ca="1">CONCATENATE(INDIRECT(ADDRESS(1,16,1,0,"KeySet"),0),":","""",valueMaker!P206,"""")</f>
        <v>bikou:""</v>
      </c>
    </row>
    <row r="207" spans="1:16">
      <c r="A207" t="str" cm="1">
        <f t="array" aca="1" ref="A207" ca="1">CONCATENATE(INDIRECT(ADDRESS(1,1,1,0,"KeySet"),0),":","""",valueMaker!A207,"""")</f>
        <v>kainBangou:"TD10206"</v>
      </c>
      <c r="B207" t="str" cm="1">
        <f t="array" aca="1" ref="B207" ca="1">CONCATENATE(INDIRECT(ADDRESS(1,2,1,0,"KeySet"),0),":","""",valueMaker!B207,"""")</f>
        <v>kainMeiKanji:"宋碧漢"</v>
      </c>
      <c r="C207" t="str" cm="1">
        <f t="array" aca="1" ref="C207" ca="1">CONCATENATE(INDIRECT(ADDRESS(1,3,1,0,"KeySet"),0),":","""",valueMaker!C207,"""")</f>
        <v>kainMeiKana:"ｿｰﾝ ﾋﾞｰ ﾊﾝ"</v>
      </c>
      <c r="D207" t="str" cm="1">
        <f t="array" aca="1" ref="D207" ca="1">CONCATENATE(INDIRECT(ADDRESS(1,4,1,0,"KeySet"),0),":","""",valueMaker!D207,"""")</f>
        <v>kainMeiEn:"Song Bi Han"</v>
      </c>
      <c r="E207" t="str" cm="1">
        <f t="array" aca="1" ref="E207" ca="1">CONCATENATE(INDIRECT(ADDRESS(1,5,1,0,"KeySet"),0),":","""",valueMaker!E207,"""")</f>
        <v>kainGender:"女性"</v>
      </c>
      <c r="F207" t="str" cm="1">
        <f t="array" aca="1" ref="F207" ca="1">CONCATENATE(INDIRECT(ADDRESS(1,6,1,0,"KeySet"),0),":","""",TEXT(valueMaker!F207,"yyyy/m/d"),"""")</f>
        <v>tanjyoubi:"1965/5/17"</v>
      </c>
      <c r="G207" t="str" cm="1">
        <f t="array" aca="1" ref="G207" ca="1">CONCATENATE(INDIRECT(ADDRESS(1,6,1,0,"KeySet"),0),":","""",TEXT(valueMaker!G207,"yyyy/m/d"),"""")</f>
        <v>tanjyoubi:"2005/6/11"</v>
      </c>
      <c r="H207" t="str" cm="1">
        <f t="array" aca="1" ref="H207" ca="1">CONCATENATE(INDIRECT(ADDRESS(1,6,1,0,"KeySet"),0),":","""",TEXT(valueMaker!H207,"yyyy/m/d"),"""")</f>
        <v>tanjyoubi:"2008/6/10"</v>
      </c>
      <c r="I207" t="str" cm="1">
        <f t="array" aca="1" ref="I207" ca="1">CONCATENATE(INDIRECT(ADDRESS(1,9,1,0,"KeySet"),0),":","""",valueMaker!I207,"""")</f>
        <v>denwaBangou:"090-8592-1702"</v>
      </c>
      <c r="J207" t="str" cm="1">
        <f t="array" aca="1" ref="J207" ca="1">CONCATENATE(INDIRECT(ADDRESS(1,10,1,0,"KeySet"),0),":","""",valueMaker!J207,"""")</f>
        <v>mailAddress:"Song_Bi_Han_38514@outlook.jp.co"</v>
      </c>
      <c r="K207" t="str" cm="1">
        <f t="array" aca="1" ref="K207" ca="1">CONCATENATE(INDIRECT(ADDRESS(1,11,1,0,"KeySet"),0),":","""",valueMaker!K207,"""")</f>
        <v>kaninSyubetu:"普通"</v>
      </c>
      <c r="L207" t="str" cm="1">
        <f t="array" aca="1" ref="L207" ca="1">CONCATENATE(INDIRECT(ADDRESS(1,12,1,0,"KeySet"),0),":","""",valueMaker!L207,"""")</f>
        <v>kaninKengenWB:"有り"</v>
      </c>
      <c r="M207" t="str" cm="1">
        <f t="array" aca="1" ref="M207" ca="1">CONCATENATE(INDIRECT(ADDRESS(1,13,1,0,"KeySet"),0),":","""",valueMaker!M207,"""")</f>
        <v>wakibiri:"5%"</v>
      </c>
      <c r="N207" t="str" cm="1">
        <f t="array" aca="1" ref="N207" ca="1">CONCATENATE(INDIRECT(ADDRESS(1,14,1,0,"KeySet"),0),":","""",valueMaker!N207,"""")</f>
        <v>kaninKengenPoint:"有り"</v>
      </c>
      <c r="O207" t="str" cm="1">
        <f t="array" aca="1" ref="O207" ca="1">CONCATENATE(INDIRECT(ADDRESS(1,15,1,0,"KeySet"),0),":","""",valueMaker!O207,"""")</f>
        <v>point:"10"</v>
      </c>
      <c r="P207" t="str" cm="1">
        <f t="array" aca="1" ref="P207" ca="1">CONCATENATE(INDIRECT(ADDRESS(1,16,1,0,"KeySet"),0),":","""",valueMaker!P207,"""")</f>
        <v>bikou:""</v>
      </c>
    </row>
    <row r="208" spans="1:16">
      <c r="A208" t="str" cm="1">
        <f t="array" aca="1" ref="A208" ca="1">CONCATENATE(INDIRECT(ADDRESS(1,1,1,0,"KeySet"),0),":","""",valueMaker!A208,"""")</f>
        <v>kainBangou:"TD10207"</v>
      </c>
      <c r="B208" t="str" cm="1">
        <f t="array" aca="1" ref="B208" ca="1">CONCATENATE(INDIRECT(ADDRESS(1,2,1,0,"KeySet"),0),":","""",valueMaker!B208,"""")</f>
        <v>kainMeiKanji:"吳冰夢"</v>
      </c>
      <c r="C208" t="str" cm="1">
        <f t="array" aca="1" ref="C208" ca="1">CONCATENATE(INDIRECT(ADDRESS(1,3,1,0,"KeySet"),0),":","""",valueMaker!C208,"""")</f>
        <v>kainMeiKana:"ｳｰ ﾋﾞｰﾝ ﾑｵﾝ"</v>
      </c>
      <c r="D208" t="str" cm="1">
        <f t="array" aca="1" ref="D208" ca="1">CONCATENATE(INDIRECT(ADDRESS(1,4,1,0,"KeySet"),0),":","""",valueMaker!D208,"""")</f>
        <v>kainMeiEn:"Wu Bing Meng"</v>
      </c>
      <c r="E208" t="str" cm="1">
        <f t="array" aca="1" ref="E208" ca="1">CONCATENATE(INDIRECT(ADDRESS(1,5,1,0,"KeySet"),0),":","""",valueMaker!E208,"""")</f>
        <v>kainGender:"女性"</v>
      </c>
      <c r="F208" t="str" cm="1">
        <f t="array" aca="1" ref="F208" ca="1">CONCATENATE(INDIRECT(ADDRESS(1,6,1,0,"KeySet"),0),":","""",TEXT(valueMaker!F208,"yyyy/m/d"),"""")</f>
        <v>tanjyoubi:"1988/2/7"</v>
      </c>
      <c r="G208" t="str" cm="1">
        <f t="array" aca="1" ref="G208" ca="1">CONCATENATE(INDIRECT(ADDRESS(1,6,1,0,"KeySet"),0),":","""",TEXT(valueMaker!G208,"yyyy/m/d"),"""")</f>
        <v>tanjyoubi:"2012/5/22"</v>
      </c>
      <c r="H208" t="str" cm="1">
        <f t="array" aca="1" ref="H208" ca="1">CONCATENATE(INDIRECT(ADDRESS(1,6,1,0,"KeySet"),0),":","""",TEXT(valueMaker!H208,"yyyy/m/d"),"""")</f>
        <v>tanjyoubi:"2013/5/22"</v>
      </c>
      <c r="I208" t="str" cm="1">
        <f t="array" aca="1" ref="I208" ca="1">CONCATENATE(INDIRECT(ADDRESS(1,9,1,0,"KeySet"),0),":","""",valueMaker!I208,"""")</f>
        <v>denwaBangou:"090-6032-1806"</v>
      </c>
      <c r="J208" t="str" cm="1">
        <f t="array" aca="1" ref="J208" ca="1">CONCATENATE(INDIRECT(ADDRESS(1,10,1,0,"KeySet"),0),":","""",valueMaker!J208,"""")</f>
        <v>mailAddress:"Wu_Bing_Meng_41051@outlook.jp.co"</v>
      </c>
      <c r="K208" t="str" cm="1">
        <f t="array" aca="1" ref="K208" ca="1">CONCATENATE(INDIRECT(ADDRESS(1,11,1,0,"KeySet"),0),":","""",valueMaker!K208,"""")</f>
        <v>kaninSyubetu:"高級"</v>
      </c>
      <c r="L208" t="str" cm="1">
        <f t="array" aca="1" ref="L208" ca="1">CONCATENATE(INDIRECT(ADDRESS(1,12,1,0,"KeySet"),0),":","""",valueMaker!L208,"""")</f>
        <v>kaninKengenWB:"有り"</v>
      </c>
      <c r="M208" t="str" cm="1">
        <f t="array" aca="1" ref="M208" ca="1">CONCATENATE(INDIRECT(ADDRESS(1,13,1,0,"KeySet"),0),":","""",valueMaker!M208,"""")</f>
        <v>wakibiri:"10%"</v>
      </c>
      <c r="N208" t="str" cm="1">
        <f t="array" aca="1" ref="N208" ca="1">CONCATENATE(INDIRECT(ADDRESS(1,14,1,0,"KeySet"),0),":","""",valueMaker!N208,"""")</f>
        <v>kaninKengenPoint:"有り"</v>
      </c>
      <c r="O208" t="str" cm="1">
        <f t="array" aca="1" ref="O208" ca="1">CONCATENATE(INDIRECT(ADDRESS(1,15,1,0,"KeySet"),0),":","""",valueMaker!O208,"""")</f>
        <v>point:"505"</v>
      </c>
      <c r="P208" t="str" cm="1">
        <f t="array" aca="1" ref="P208" ca="1">CONCATENATE(INDIRECT(ADDRESS(1,16,1,0,"KeySet"),0),":","""",valueMaker!P208,"""")</f>
        <v>bikou:""</v>
      </c>
    </row>
    <row r="209" spans="1:16">
      <c r="A209" t="str" cm="1">
        <f t="array" aca="1" ref="A209" ca="1">CONCATENATE(INDIRECT(ADDRESS(1,1,1,0,"KeySet"),0),":","""",valueMaker!A209,"""")</f>
        <v>kainBangou:"TD10208"</v>
      </c>
      <c r="B209" t="str" cm="1">
        <f t="array" aca="1" ref="B209" ca="1">CONCATENATE(INDIRECT(ADDRESS(1,2,1,0,"KeySet"),0),":","""",valueMaker!B209,"""")</f>
        <v>kainMeiKanji:"高萌至"</v>
      </c>
      <c r="C209" t="str" cm="1">
        <f t="array" aca="1" ref="C209" ca="1">CONCATENATE(INDIRECT(ADDRESS(1,3,1,0,"KeySet"),0),":","""",valueMaker!C209,"""")</f>
        <v>kainMeiKana:"ｶﾞｵ ﾑｵﾝ ｼﾞｰ"</v>
      </c>
      <c r="D209" t="str" cm="1">
        <f t="array" aca="1" ref="D209" ca="1">CONCATENATE(INDIRECT(ADDRESS(1,4,1,0,"KeySet"),0),":","""",valueMaker!D209,"""")</f>
        <v>kainMeiEn:"Gao Meng Zhi"</v>
      </c>
      <c r="E209" t="str" cm="1">
        <f t="array" aca="1" ref="E209" ca="1">CONCATENATE(INDIRECT(ADDRESS(1,5,1,0,"KeySet"),0),":","""",valueMaker!E209,"""")</f>
        <v>kainGender:"女性"</v>
      </c>
      <c r="F209" t="str" cm="1">
        <f t="array" aca="1" ref="F209" ca="1">CONCATENATE(INDIRECT(ADDRESS(1,6,1,0,"KeySet"),0),":","""",TEXT(valueMaker!F209,"yyyy/m/d"),"""")</f>
        <v>tanjyoubi:"2001/10/4"</v>
      </c>
      <c r="G209" t="str" cm="1">
        <f t="array" aca="1" ref="G209" ca="1">CONCATENATE(INDIRECT(ADDRESS(1,6,1,0,"KeySet"),0),":","""",TEXT(valueMaker!G209,"yyyy/m/d"),"""")</f>
        <v>tanjyoubi:"2023/5/17"</v>
      </c>
      <c r="H209" t="str" cm="1">
        <f t="array" aca="1" ref="H209" ca="1">CONCATENATE(INDIRECT(ADDRESS(1,6,1,0,"KeySet"),0),":","""",TEXT(valueMaker!H209,"yyyy/m/d"),"""")</f>
        <v>tanjyoubi:"2026/5/16"</v>
      </c>
      <c r="I209" t="str" cm="1">
        <f t="array" aca="1" ref="I209" ca="1">CONCATENATE(INDIRECT(ADDRESS(1,9,1,0,"KeySet"),0),":","""",valueMaker!I209,"""")</f>
        <v>denwaBangou:"090-6958-5921"</v>
      </c>
      <c r="J209" t="str" cm="1">
        <f t="array" aca="1" ref="J209" ca="1">CONCATENATE(INDIRECT(ADDRESS(1,10,1,0,"KeySet"),0),":","""",valueMaker!J209,"""")</f>
        <v>mailAddress:"Gao_Meng_Zhi_45063@outlook.jp.co"</v>
      </c>
      <c r="K209" t="str" cm="1">
        <f t="array" aca="1" ref="K209" ca="1">CONCATENATE(INDIRECT(ADDRESS(1,11,1,0,"KeySet"),0),":","""",valueMaker!K209,"""")</f>
        <v>kaninSyubetu:"普通"</v>
      </c>
      <c r="L209" t="str" cm="1">
        <f t="array" aca="1" ref="L209" ca="1">CONCATENATE(INDIRECT(ADDRESS(1,12,1,0,"KeySet"),0),":","""",valueMaker!L209,"""")</f>
        <v>kaninKengenWB:"-"</v>
      </c>
      <c r="M209" t="str" cm="1">
        <f t="array" aca="1" ref="M209" ca="1">CONCATENATE(INDIRECT(ADDRESS(1,13,1,0,"KeySet"),0),":","""",valueMaker!M209,"""")</f>
        <v>wakibiri:"-"</v>
      </c>
      <c r="N209" t="str" cm="1">
        <f t="array" aca="1" ref="N209" ca="1">CONCATENATE(INDIRECT(ADDRESS(1,14,1,0,"KeySet"),0),":","""",valueMaker!N209,"""")</f>
        <v>kaninKengenPoint:"有り"</v>
      </c>
      <c r="O209" t="str" cm="1">
        <f t="array" aca="1" ref="O209" ca="1">CONCATENATE(INDIRECT(ADDRESS(1,15,1,0,"KeySet"),0),":","""",valueMaker!O209,"""")</f>
        <v>point:"36"</v>
      </c>
      <c r="P209" t="str" cm="1">
        <f t="array" aca="1" ref="P209" ca="1">CONCATENATE(INDIRECT(ADDRESS(1,16,1,0,"KeySet"),0),":","""",valueMaker!P209,"""")</f>
        <v>bikou:""</v>
      </c>
    </row>
    <row r="210" spans="1:16">
      <c r="A210" t="str" cm="1">
        <f t="array" aca="1" ref="A210" ca="1">CONCATENATE(INDIRECT(ADDRESS(1,1,1,0,"KeySet"),0),":","""",valueMaker!A210,"""")</f>
        <v>kainBangou:"TD10209"</v>
      </c>
      <c r="B210" t="str" cm="1">
        <f t="array" aca="1" ref="B210" ca="1">CONCATENATE(INDIRECT(ADDRESS(1,2,1,0,"KeySet"),0),":","""",valueMaker!B210,"""")</f>
        <v>kainMeiKanji:"陳祖萱"</v>
      </c>
      <c r="C210" t="str" cm="1">
        <f t="array" aca="1" ref="C210" ca="1">CONCATENATE(INDIRECT(ADDRESS(1,3,1,0,"KeySet"),0),":","""",valueMaker!C210,"""")</f>
        <v>kainMeiKana:"ﾁｪﾝ ｽﾞｩ ｼｭｴﾝ"</v>
      </c>
      <c r="D210" t="str" cm="1">
        <f t="array" aca="1" ref="D210" ca="1">CONCATENATE(INDIRECT(ADDRESS(1,4,1,0,"KeySet"),0),":","""",valueMaker!D210,"""")</f>
        <v>kainMeiEn:"Chen Zu Xuan"</v>
      </c>
      <c r="E210" t="str" cm="1">
        <f t="array" aca="1" ref="E210" ca="1">CONCATENATE(INDIRECT(ADDRESS(1,5,1,0,"KeySet"),0),":","""",valueMaker!E210,"""")</f>
        <v>kainGender:"男性"</v>
      </c>
      <c r="F210" t="str" cm="1">
        <f t="array" aca="1" ref="F210" ca="1">CONCATENATE(INDIRECT(ADDRESS(1,6,1,0,"KeySet"),0),":","""",TEXT(valueMaker!F210,"yyyy/m/d"),"""")</f>
        <v>tanjyoubi:"1965/2/20"</v>
      </c>
      <c r="G210" t="str" cm="1">
        <f t="array" aca="1" ref="G210" ca="1">CONCATENATE(INDIRECT(ADDRESS(1,6,1,0,"KeySet"),0),":","""",TEXT(valueMaker!G210,"yyyy/m/d"),"""")</f>
        <v>tanjyoubi:"1996/9/9"</v>
      </c>
      <c r="H210" t="str" cm="1">
        <f t="array" aca="1" ref="H210" ca="1">CONCATENATE(INDIRECT(ADDRESS(1,6,1,0,"KeySet"),0),":","""",TEXT(valueMaker!H210,"yyyy/m/d"),"""")</f>
        <v>tanjyoubi:"1998/9/9"</v>
      </c>
      <c r="I210" t="str" cm="1">
        <f t="array" aca="1" ref="I210" ca="1">CONCATENATE(INDIRECT(ADDRESS(1,9,1,0,"KeySet"),0),":","""",valueMaker!I210,"""")</f>
        <v>denwaBangou:"080-6030-4871"</v>
      </c>
      <c r="J210" t="str" cm="1">
        <f t="array" aca="1" ref="J210" ca="1">CONCATENATE(INDIRECT(ADDRESS(1,10,1,0,"KeySet"),0),":","""",valueMaker!J210,"""")</f>
        <v>mailAddress:"Chen_Zu_Xuan_35317@outlook.jp.co"</v>
      </c>
      <c r="K210" t="str" cm="1">
        <f t="array" aca="1" ref="K210" ca="1">CONCATENATE(INDIRECT(ADDRESS(1,11,1,0,"KeySet"),0),":","""",valueMaker!K210,"""")</f>
        <v>kaninSyubetu:"普通"</v>
      </c>
      <c r="L210" t="str" cm="1">
        <f t="array" aca="1" ref="L210" ca="1">CONCATENATE(INDIRECT(ADDRESS(1,12,1,0,"KeySet"),0),":","""",valueMaker!L210,"""")</f>
        <v>kaninKengenWB:"有り"</v>
      </c>
      <c r="M210" t="str" cm="1">
        <f t="array" aca="1" ref="M210" ca="1">CONCATENATE(INDIRECT(ADDRESS(1,13,1,0,"KeySet"),0),":","""",valueMaker!M210,"""")</f>
        <v>wakibiri:"5%"</v>
      </c>
      <c r="N210" t="str" cm="1">
        <f t="array" aca="1" ref="N210" ca="1">CONCATENATE(INDIRECT(ADDRESS(1,14,1,0,"KeySet"),0),":","""",valueMaker!N210,"""")</f>
        <v>kaninKengenPoint:"有り"</v>
      </c>
      <c r="O210" t="str" cm="1">
        <f t="array" aca="1" ref="O210" ca="1">CONCATENATE(INDIRECT(ADDRESS(1,15,1,0,"KeySet"),0),":","""",valueMaker!O210,"""")</f>
        <v>point:"860"</v>
      </c>
      <c r="P210" t="str" cm="1">
        <f t="array" aca="1" ref="P210" ca="1">CONCATENATE(INDIRECT(ADDRESS(1,16,1,0,"KeySet"),0),":","""",valueMaker!P210,"""")</f>
        <v>bikou:""</v>
      </c>
    </row>
    <row r="211" spans="1:16">
      <c r="A211" t="str" cm="1">
        <f t="array" aca="1" ref="A211" ca="1">CONCATENATE(INDIRECT(ADDRESS(1,1,1,0,"KeySet"),0),":","""",valueMaker!A211,"""")</f>
        <v>kainBangou:"TD10210"</v>
      </c>
      <c r="B211" t="str" cm="1">
        <f t="array" aca="1" ref="B211" ca="1">CONCATENATE(INDIRECT(ADDRESS(1,2,1,0,"KeySet"),0),":","""",valueMaker!B211,"""")</f>
        <v>kainMeiKanji:"韓祖彥"</v>
      </c>
      <c r="C211" t="str" cm="1">
        <f t="array" aca="1" ref="C211" ca="1">CONCATENATE(INDIRECT(ADDRESS(1,3,1,0,"KeySet"),0),":","""",valueMaker!C211,"""")</f>
        <v>kainMeiKana:"ﾊﾝ ｽﾞｩ ｲｴﾝ"</v>
      </c>
      <c r="D211" t="str" cm="1">
        <f t="array" aca="1" ref="D211" ca="1">CONCATENATE(INDIRECT(ADDRESS(1,4,1,0,"KeySet"),0),":","""",valueMaker!D211,"""")</f>
        <v>kainMeiEn:"Han Zu Yan"</v>
      </c>
      <c r="E211" t="str" cm="1">
        <f t="array" aca="1" ref="E211" ca="1">CONCATENATE(INDIRECT(ADDRESS(1,5,1,0,"KeySet"),0),":","""",valueMaker!E211,"""")</f>
        <v>kainGender:"女性"</v>
      </c>
      <c r="F211" t="str" cm="1">
        <f t="array" aca="1" ref="F211" ca="1">CONCATENATE(INDIRECT(ADDRESS(1,6,1,0,"KeySet"),0),":","""",TEXT(valueMaker!F211,"yyyy/m/d"),"""")</f>
        <v>tanjyoubi:"1976/4/17"</v>
      </c>
      <c r="G211" t="str" cm="1">
        <f t="array" aca="1" ref="G211" ca="1">CONCATENATE(INDIRECT(ADDRESS(1,6,1,0,"KeySet"),0),":","""",TEXT(valueMaker!G211,"yyyy/m/d"),"""")</f>
        <v>tanjyoubi:"2015/11/14"</v>
      </c>
      <c r="H211" t="str" cm="1">
        <f t="array" aca="1" ref="H211" ca="1">CONCATENATE(INDIRECT(ADDRESS(1,6,1,0,"KeySet"),0),":","""",TEXT(valueMaker!H211,"yyyy/m/d"),"""")</f>
        <v>tanjyoubi:"2016/11/13"</v>
      </c>
      <c r="I211" t="str" cm="1">
        <f t="array" aca="1" ref="I211" ca="1">CONCATENATE(INDIRECT(ADDRESS(1,9,1,0,"KeySet"),0),":","""",valueMaker!I211,"""")</f>
        <v>denwaBangou:"090-8714-6623"</v>
      </c>
      <c r="J211" t="str" cm="1">
        <f t="array" aca="1" ref="J211" ca="1">CONCATENATE(INDIRECT(ADDRESS(1,10,1,0,"KeySet"),0),":","""",valueMaker!J211,"""")</f>
        <v>mailAddress:"Han_Zu_Yan_42322@outlook.jp.co"</v>
      </c>
      <c r="K211" t="str" cm="1">
        <f t="array" aca="1" ref="K211" ca="1">CONCATENATE(INDIRECT(ADDRESS(1,11,1,0,"KeySet"),0),":","""",valueMaker!K211,"""")</f>
        <v>kaninSyubetu:"普通"</v>
      </c>
      <c r="L211" t="str" cm="1">
        <f t="array" aca="1" ref="L211" ca="1">CONCATENATE(INDIRECT(ADDRESS(1,12,1,0,"KeySet"),0),":","""",valueMaker!L211,"""")</f>
        <v>kaninKengenWB:"有り"</v>
      </c>
      <c r="M211" t="str" cm="1">
        <f t="array" aca="1" ref="M211" ca="1">CONCATENATE(INDIRECT(ADDRESS(1,13,1,0,"KeySet"),0),":","""",valueMaker!M211,"""")</f>
        <v>wakibiri:"5%"</v>
      </c>
      <c r="N211" t="str" cm="1">
        <f t="array" aca="1" ref="N211" ca="1">CONCATENATE(INDIRECT(ADDRESS(1,14,1,0,"KeySet"),0),":","""",valueMaker!N211,"""")</f>
        <v>kaninKengenPoint:"有り"</v>
      </c>
      <c r="O211" t="str" cm="1">
        <f t="array" aca="1" ref="O211" ca="1">CONCATENATE(INDIRECT(ADDRESS(1,15,1,0,"KeySet"),0),":","""",valueMaker!O211,"""")</f>
        <v>point:"693"</v>
      </c>
      <c r="P211" t="str" cm="1">
        <f t="array" aca="1" ref="P211" ca="1">CONCATENATE(INDIRECT(ADDRESS(1,16,1,0,"KeySet"),0),":","""",valueMaker!P211,"""")</f>
        <v>bikou:""</v>
      </c>
    </row>
    <row r="212" spans="1:16">
      <c r="A212" t="str" cm="1">
        <f t="array" aca="1" ref="A212" ca="1">CONCATENATE(INDIRECT(ADDRESS(1,1,1,0,"KeySet"),0),":","""",valueMaker!A212,"""")</f>
        <v>kainBangou:"TD10211"</v>
      </c>
      <c r="B212" t="str" cm="1">
        <f t="array" aca="1" ref="B212" ca="1">CONCATENATE(INDIRECT(ADDRESS(1,2,1,0,"KeySet"),0),":","""",valueMaker!B212,"""")</f>
        <v>kainMeiKanji:"胡冠生"</v>
      </c>
      <c r="C212" t="str" cm="1">
        <f t="array" aca="1" ref="C212" ca="1">CONCATENATE(INDIRECT(ADDRESS(1,3,1,0,"KeySet"),0),":","""",valueMaker!C212,"""")</f>
        <v>kainMeiKana:"ﾎｩ ｸﾞﾜﾝ ｼｭﾖﾝ"</v>
      </c>
      <c r="D212" t="str" cm="1">
        <f t="array" aca="1" ref="D212" ca="1">CONCATENATE(INDIRECT(ADDRESS(1,4,1,0,"KeySet"),0),":","""",valueMaker!D212,"""")</f>
        <v>kainMeiEn:"Hu Guan Sheng"</v>
      </c>
      <c r="E212" t="str" cm="1">
        <f t="array" aca="1" ref="E212" ca="1">CONCATENATE(INDIRECT(ADDRESS(1,5,1,0,"KeySet"),0),":","""",valueMaker!E212,"""")</f>
        <v>kainGender:"男性"</v>
      </c>
      <c r="F212" t="str" cm="1">
        <f t="array" aca="1" ref="F212" ca="1">CONCATENATE(INDIRECT(ADDRESS(1,6,1,0,"KeySet"),0),":","""",TEXT(valueMaker!F212,"yyyy/m/d"),"""")</f>
        <v>tanjyoubi:"1965/6/12"</v>
      </c>
      <c r="G212" t="str" cm="1">
        <f t="array" aca="1" ref="G212" ca="1">CONCATENATE(INDIRECT(ADDRESS(1,6,1,0,"KeySet"),0),":","""",TEXT(valueMaker!G212,"yyyy/m/d"),"""")</f>
        <v>tanjyoubi:"2014/2/24"</v>
      </c>
      <c r="H212" t="str" cm="1">
        <f t="array" aca="1" ref="H212" ca="1">CONCATENATE(INDIRECT(ADDRESS(1,6,1,0,"KeySet"),0),":","""",TEXT(valueMaker!H212,"yyyy/m/d"),"""")</f>
        <v>tanjyoubi:"2015/2/24"</v>
      </c>
      <c r="I212" t="str" cm="1">
        <f t="array" aca="1" ref="I212" ca="1">CONCATENATE(INDIRECT(ADDRESS(1,9,1,0,"KeySet"),0),":","""",valueMaker!I212,"""")</f>
        <v>denwaBangou:"090-1471-9798"</v>
      </c>
      <c r="J212" t="str" cm="1">
        <f t="array" aca="1" ref="J212" ca="1">CONCATENATE(INDIRECT(ADDRESS(1,10,1,0,"KeySet"),0),":","""",valueMaker!J212,"""")</f>
        <v>mailAddress:"Hu_Guan_Sheng_41694@outlook.jp.co"</v>
      </c>
      <c r="K212" t="str" cm="1">
        <f t="array" aca="1" ref="K212" ca="1">CONCATENATE(INDIRECT(ADDRESS(1,11,1,0,"KeySet"),0),":","""",valueMaker!K212,"""")</f>
        <v>kaninSyubetu:"普通"</v>
      </c>
      <c r="L212" t="str" cm="1">
        <f t="array" aca="1" ref="L212" ca="1">CONCATENATE(INDIRECT(ADDRESS(1,12,1,0,"KeySet"),0),":","""",valueMaker!L212,"""")</f>
        <v>kaninKengenWB:"-"</v>
      </c>
      <c r="M212" t="str" cm="1">
        <f t="array" aca="1" ref="M212" ca="1">CONCATENATE(INDIRECT(ADDRESS(1,13,1,0,"KeySet"),0),":","""",valueMaker!M212,"""")</f>
        <v>wakibiri:"-"</v>
      </c>
      <c r="N212" t="str" cm="1">
        <f t="array" aca="1" ref="N212" ca="1">CONCATENATE(INDIRECT(ADDRESS(1,14,1,0,"KeySet"),0),":","""",valueMaker!N212,"""")</f>
        <v>kaninKengenPoint:"-"</v>
      </c>
      <c r="O212" t="str" cm="1">
        <f t="array" aca="1" ref="O212" ca="1">CONCATENATE(INDIRECT(ADDRESS(1,15,1,0,"KeySet"),0),":","""",valueMaker!O212,"""")</f>
        <v>point:"-"</v>
      </c>
      <c r="P212" t="str" cm="1">
        <f t="array" aca="1" ref="P212" ca="1">CONCATENATE(INDIRECT(ADDRESS(1,16,1,0,"KeySet"),0),":","""",valueMaker!P212,"""")</f>
        <v>bikou:""</v>
      </c>
    </row>
    <row r="213" spans="1:16">
      <c r="A213" t="str" cm="1">
        <f t="array" aca="1" ref="A213" ca="1">CONCATENATE(INDIRECT(ADDRESS(1,1,1,0,"KeySet"),0),":","""",valueMaker!A213,"""")</f>
        <v>kainBangou:"TD10212"</v>
      </c>
      <c r="B213" t="str" cm="1">
        <f t="array" aca="1" ref="B213" ca="1">CONCATENATE(INDIRECT(ADDRESS(1,2,1,0,"KeySet"),0),":","""",valueMaker!B213,"""")</f>
        <v>kainMeiKanji:"馬勁綠"</v>
      </c>
      <c r="C213" t="str" cm="1">
        <f t="array" aca="1" ref="C213" ca="1">CONCATENATE(INDIRECT(ADDRESS(1,3,1,0,"KeySet"),0),":","""",valueMaker!C213,"""")</f>
        <v>kainMeiKana:"ﾏｰ ｼﾞﾝ ﾙｩｨ"</v>
      </c>
      <c r="D213" t="str" cm="1">
        <f t="array" aca="1" ref="D213" ca="1">CONCATENATE(INDIRECT(ADDRESS(1,4,1,0,"KeySet"),0),":","""",valueMaker!D213,"""")</f>
        <v>kainMeiEn:"Ma Jin Lü"</v>
      </c>
      <c r="E213" t="str" cm="1">
        <f t="array" aca="1" ref="E213" ca="1">CONCATENATE(INDIRECT(ADDRESS(1,5,1,0,"KeySet"),0),":","""",valueMaker!E213,"""")</f>
        <v>kainGender:"女性"</v>
      </c>
      <c r="F213" t="str" cm="1">
        <f t="array" aca="1" ref="F213" ca="1">CONCATENATE(INDIRECT(ADDRESS(1,6,1,0,"KeySet"),0),":","""",TEXT(valueMaker!F213,"yyyy/m/d"),"""")</f>
        <v>tanjyoubi:"1969/11/4"</v>
      </c>
      <c r="G213" t="str" cm="1">
        <f t="array" aca="1" ref="G213" ca="1">CONCATENATE(INDIRECT(ADDRESS(1,6,1,0,"KeySet"),0),":","""",TEXT(valueMaker!G213,"yyyy/m/d"),"""")</f>
        <v>tanjyoubi:"2010/1/27"</v>
      </c>
      <c r="H213" t="str" cm="1">
        <f t="array" aca="1" ref="H213" ca="1">CONCATENATE(INDIRECT(ADDRESS(1,6,1,0,"KeySet"),0),":","""",TEXT(valueMaker!H213,"yyyy/m/d"),"""")</f>
        <v>tanjyoubi:"2012/1/27"</v>
      </c>
      <c r="I213" t="str" cm="1">
        <f t="array" aca="1" ref="I213" ca="1">CONCATENATE(INDIRECT(ADDRESS(1,9,1,0,"KeySet"),0),":","""",valueMaker!I213,"""")</f>
        <v>denwaBangou:"080-8745-7269"</v>
      </c>
      <c r="J213" t="str" cm="1">
        <f t="array" aca="1" ref="J213" ca="1">CONCATENATE(INDIRECT(ADDRESS(1,10,1,0,"KeySet"),0),":","""",valueMaker!J213,"""")</f>
        <v>mailAddress:"Ma_Jin Lü_40205@outlook.jp.co"</v>
      </c>
      <c r="K213" t="str" cm="1">
        <f t="array" aca="1" ref="K213" ca="1">CONCATENATE(INDIRECT(ADDRESS(1,11,1,0,"KeySet"),0),":","""",valueMaker!K213,"""")</f>
        <v>kaninSyubetu:"高級"</v>
      </c>
      <c r="L213" t="str" cm="1">
        <f t="array" aca="1" ref="L213" ca="1">CONCATENATE(INDIRECT(ADDRESS(1,12,1,0,"KeySet"),0),":","""",valueMaker!L213,"""")</f>
        <v>kaninKengenWB:"有り"</v>
      </c>
      <c r="M213" t="str" cm="1">
        <f t="array" aca="1" ref="M213" ca="1">CONCATENATE(INDIRECT(ADDRESS(1,13,1,0,"KeySet"),0),":","""",valueMaker!M213,"""")</f>
        <v>wakibiri:"10%"</v>
      </c>
      <c r="N213" t="str" cm="1">
        <f t="array" aca="1" ref="N213" ca="1">CONCATENATE(INDIRECT(ADDRESS(1,14,1,0,"KeySet"),0),":","""",valueMaker!N213,"""")</f>
        <v>kaninKengenPoint:"有り"</v>
      </c>
      <c r="O213" t="str" cm="1">
        <f t="array" aca="1" ref="O213" ca="1">CONCATENATE(INDIRECT(ADDRESS(1,15,1,0,"KeySet"),0),":","""",valueMaker!O213,"""")</f>
        <v>point:"868"</v>
      </c>
      <c r="P213" t="str" cm="1">
        <f t="array" aca="1" ref="P213" ca="1">CONCATENATE(INDIRECT(ADDRESS(1,16,1,0,"KeySet"),0),":","""",valueMaker!P213,"""")</f>
        <v>bikou:""</v>
      </c>
    </row>
    <row r="214" spans="1:16">
      <c r="A214" t="str" cm="1">
        <f t="array" aca="1" ref="A214" ca="1">CONCATENATE(INDIRECT(ADDRESS(1,1,1,0,"KeySet"),0),":","""",valueMaker!A214,"""")</f>
        <v>kainBangou:"TD10213"</v>
      </c>
      <c r="B214" t="str" cm="1">
        <f t="array" aca="1" ref="B214" ca="1">CONCATENATE(INDIRECT(ADDRESS(1,2,1,0,"KeySet"),0),":","""",valueMaker!B214,"""")</f>
        <v>kainMeiKanji:"宋飛湖"</v>
      </c>
      <c r="C214" t="str" cm="1">
        <f t="array" aca="1" ref="C214" ca="1">CONCATENATE(INDIRECT(ADDRESS(1,3,1,0,"KeySet"),0),":","""",valueMaker!C214,"""")</f>
        <v>kainMeiKana:"ｿｰﾝ ﾌｪｲ ﾎｩ"</v>
      </c>
      <c r="D214" t="str" cm="1">
        <f t="array" aca="1" ref="D214" ca="1">CONCATENATE(INDIRECT(ADDRESS(1,4,1,0,"KeySet"),0),":","""",valueMaker!D214,"""")</f>
        <v>kainMeiEn:"Song Fei Hu"</v>
      </c>
      <c r="E214" t="str" cm="1">
        <f t="array" aca="1" ref="E214" ca="1">CONCATENATE(INDIRECT(ADDRESS(1,5,1,0,"KeySet"),0),":","""",valueMaker!E214,"""")</f>
        <v>kainGender:"男性"</v>
      </c>
      <c r="F214" t="str" cm="1">
        <f t="array" aca="1" ref="F214" ca="1">CONCATENATE(INDIRECT(ADDRESS(1,6,1,0,"KeySet"),0),":","""",TEXT(valueMaker!F214,"yyyy/m/d"),"""")</f>
        <v>tanjyoubi:"1999/9/1"</v>
      </c>
      <c r="G214" t="str" cm="1">
        <f t="array" aca="1" ref="G214" ca="1">CONCATENATE(INDIRECT(ADDRESS(1,6,1,0,"KeySet"),0),":","""",TEXT(valueMaker!G214,"yyyy/m/d"),"""")</f>
        <v>tanjyoubi:"2019/3/28"</v>
      </c>
      <c r="H214" t="str" cm="1">
        <f t="array" aca="1" ref="H214" ca="1">CONCATENATE(INDIRECT(ADDRESS(1,6,1,0,"KeySet"),0),":","""",TEXT(valueMaker!H214,"yyyy/m/d"),"""")</f>
        <v>tanjyoubi:"2021/3/27"</v>
      </c>
      <c r="I214" t="str" cm="1">
        <f t="array" aca="1" ref="I214" ca="1">CONCATENATE(INDIRECT(ADDRESS(1,9,1,0,"KeySet"),0),":","""",valueMaker!I214,"""")</f>
        <v>denwaBangou:"080-6803-6127"</v>
      </c>
      <c r="J214" t="str" cm="1">
        <f t="array" aca="1" ref="J214" ca="1">CONCATENATE(INDIRECT(ADDRESS(1,10,1,0,"KeySet"),0),":","""",valueMaker!J214,"""")</f>
        <v>mailAddress:"Song_Fei_Hu_43552@outlook.jp.co"</v>
      </c>
      <c r="K214" t="str" cm="1">
        <f t="array" aca="1" ref="K214" ca="1">CONCATENATE(INDIRECT(ADDRESS(1,11,1,0,"KeySet"),0),":","""",valueMaker!K214,"""")</f>
        <v>kaninSyubetu:"高級"</v>
      </c>
      <c r="L214" t="str" cm="1">
        <f t="array" aca="1" ref="L214" ca="1">CONCATENATE(INDIRECT(ADDRESS(1,12,1,0,"KeySet"),0),":","""",valueMaker!L214,"""")</f>
        <v>kaninKengenWB:"有り"</v>
      </c>
      <c r="M214" t="str" cm="1">
        <f t="array" aca="1" ref="M214" ca="1">CONCATENATE(INDIRECT(ADDRESS(1,13,1,0,"KeySet"),0),":","""",valueMaker!M214,"""")</f>
        <v>wakibiri:"10%"</v>
      </c>
      <c r="N214" t="str" cm="1">
        <f t="array" aca="1" ref="N214" ca="1">CONCATENATE(INDIRECT(ADDRESS(1,14,1,0,"KeySet"),0),":","""",valueMaker!N214,"""")</f>
        <v>kaninKengenPoint:"有り"</v>
      </c>
      <c r="O214" t="str" cm="1">
        <f t="array" aca="1" ref="O214" ca="1">CONCATENATE(INDIRECT(ADDRESS(1,15,1,0,"KeySet"),0),":","""",valueMaker!O214,"""")</f>
        <v>point:"2"</v>
      </c>
      <c r="P214" t="str" cm="1">
        <f t="array" aca="1" ref="P214" ca="1">CONCATENATE(INDIRECT(ADDRESS(1,16,1,0,"KeySet"),0),":","""",valueMaker!P214,"""")</f>
        <v>bikou:""</v>
      </c>
    </row>
    <row r="215" spans="1:16">
      <c r="A215" t="str" cm="1">
        <f t="array" aca="1" ref="A215" ca="1">CONCATENATE(INDIRECT(ADDRESS(1,1,1,0,"KeySet"),0),":","""",valueMaker!A215,"""")</f>
        <v>kainBangou:"TD10214"</v>
      </c>
      <c r="B215" t="str" cm="1">
        <f t="array" aca="1" ref="B215" ca="1">CONCATENATE(INDIRECT(ADDRESS(1,2,1,0,"KeySet"),0),":","""",valueMaker!B215,"""")</f>
        <v>kainMeiKanji:"鄭彥臨"</v>
      </c>
      <c r="C215" t="str" cm="1">
        <f t="array" aca="1" ref="C215" ca="1">CONCATENATE(INDIRECT(ADDRESS(1,3,1,0,"KeySet"),0),":","""",valueMaker!C215,"""")</f>
        <v>kainMeiKana:"ｼﾞｭﾖﾝ ｲｴﾝ ﾘﾝ"</v>
      </c>
      <c r="D215" t="str" cm="1">
        <f t="array" aca="1" ref="D215" ca="1">CONCATENATE(INDIRECT(ADDRESS(1,4,1,0,"KeySet"),0),":","""",valueMaker!D215,"""")</f>
        <v>kainMeiEn:"Zheng Yan Lin"</v>
      </c>
      <c r="E215" t="str" cm="1">
        <f t="array" aca="1" ref="E215" ca="1">CONCATENATE(INDIRECT(ADDRESS(1,5,1,0,"KeySet"),0),":","""",valueMaker!E215,"""")</f>
        <v>kainGender:"男性"</v>
      </c>
      <c r="F215" t="str" cm="1">
        <f t="array" aca="1" ref="F215" ca="1">CONCATENATE(INDIRECT(ADDRESS(1,6,1,0,"KeySet"),0),":","""",TEXT(valueMaker!F215,"yyyy/m/d"),"""")</f>
        <v>tanjyoubi:"2002/1/22"</v>
      </c>
      <c r="G215" t="str" cm="1">
        <f t="array" aca="1" ref="G215" ca="1">CONCATENATE(INDIRECT(ADDRESS(1,6,1,0,"KeySet"),0),":","""",TEXT(valueMaker!G215,"yyyy/m/d"),"""")</f>
        <v>tanjyoubi:"2021/12/20"</v>
      </c>
      <c r="H215" t="str" cm="1">
        <f t="array" aca="1" ref="H215" ca="1">CONCATENATE(INDIRECT(ADDRESS(1,6,1,0,"KeySet"),0),":","""",TEXT(valueMaker!H215,"yyyy/m/d"),"""")</f>
        <v>tanjyoubi:"2024/12/19"</v>
      </c>
      <c r="I215" t="str" cm="1">
        <f t="array" aca="1" ref="I215" ca="1">CONCATENATE(INDIRECT(ADDRESS(1,9,1,0,"KeySet"),0),":","""",valueMaker!I215,"""")</f>
        <v>denwaBangou:"080-7178-4263"</v>
      </c>
      <c r="J215" t="str" cm="1">
        <f t="array" aca="1" ref="J215" ca="1">CONCATENATE(INDIRECT(ADDRESS(1,10,1,0,"KeySet"),0),":","""",valueMaker!J215,"""")</f>
        <v>mailAddress:"Zheng_Yan_Lin_44550@outlook.jp.co"</v>
      </c>
      <c r="K215" t="str" cm="1">
        <f t="array" aca="1" ref="K215" ca="1">CONCATENATE(INDIRECT(ADDRESS(1,11,1,0,"KeySet"),0),":","""",valueMaker!K215,"""")</f>
        <v>kaninSyubetu:"高級"</v>
      </c>
      <c r="L215" t="str" cm="1">
        <f t="array" aca="1" ref="L215" ca="1">CONCATENATE(INDIRECT(ADDRESS(1,12,1,0,"KeySet"),0),":","""",valueMaker!L215,"""")</f>
        <v>kaninKengenWB:"有り"</v>
      </c>
      <c r="M215" t="str" cm="1">
        <f t="array" aca="1" ref="M215" ca="1">CONCATENATE(INDIRECT(ADDRESS(1,13,1,0,"KeySet"),0),":","""",valueMaker!M215,"""")</f>
        <v>wakibiri:"10%"</v>
      </c>
      <c r="N215" t="str" cm="1">
        <f t="array" aca="1" ref="N215" ca="1">CONCATENATE(INDIRECT(ADDRESS(1,14,1,0,"KeySet"),0),":","""",valueMaker!N215,"""")</f>
        <v>kaninKengenPoint:"有り"</v>
      </c>
      <c r="O215" t="str" cm="1">
        <f t="array" aca="1" ref="O215" ca="1">CONCATENATE(INDIRECT(ADDRESS(1,15,1,0,"KeySet"),0),":","""",valueMaker!O215,"""")</f>
        <v>point:"377"</v>
      </c>
      <c r="P215" t="str" cm="1">
        <f t="array" aca="1" ref="P215" ca="1">CONCATENATE(INDIRECT(ADDRESS(1,16,1,0,"KeySet"),0),":","""",valueMaker!P215,"""")</f>
        <v>bikou:""</v>
      </c>
    </row>
    <row r="216" spans="1:16">
      <c r="A216" t="str" cm="1">
        <f t="array" aca="1" ref="A216" ca="1">CONCATENATE(INDIRECT(ADDRESS(1,1,1,0,"KeySet"),0),":","""",valueMaker!A216,"""")</f>
        <v>kainBangou:"TD10215"</v>
      </c>
      <c r="B216" t="str" cm="1">
        <f t="array" aca="1" ref="B216" ca="1">CONCATENATE(INDIRECT(ADDRESS(1,2,1,0,"KeySet"),0),":","""",valueMaker!B216,"""")</f>
        <v>kainMeiKanji:"楊依邁"</v>
      </c>
      <c r="C216" t="str" cm="1">
        <f t="array" aca="1" ref="C216" ca="1">CONCATENATE(INDIRECT(ADDRESS(1,3,1,0,"KeySet"),0),":","""",valueMaker!C216,"""")</f>
        <v>kainMeiKana:"ﾔｰﾝ ｲｰ ﾏｲ"</v>
      </c>
      <c r="D216" t="str" cm="1">
        <f t="array" aca="1" ref="D216" ca="1">CONCATENATE(INDIRECT(ADDRESS(1,4,1,0,"KeySet"),0),":","""",valueMaker!D216,"""")</f>
        <v>kainMeiEn:"Yang Yi Mai"</v>
      </c>
      <c r="E216" t="str" cm="1">
        <f t="array" aca="1" ref="E216" ca="1">CONCATENATE(INDIRECT(ADDRESS(1,5,1,0,"KeySet"),0),":","""",valueMaker!E216,"""")</f>
        <v>kainGender:"女性"</v>
      </c>
      <c r="F216" t="str" cm="1">
        <f t="array" aca="1" ref="F216" ca="1">CONCATENATE(INDIRECT(ADDRESS(1,6,1,0,"KeySet"),0),":","""",TEXT(valueMaker!F216,"yyyy/m/d"),"""")</f>
        <v>tanjyoubi:"1997/6/5"</v>
      </c>
      <c r="G216" t="str" cm="1">
        <f t="array" aca="1" ref="G216" ca="1">CONCATENATE(INDIRECT(ADDRESS(1,6,1,0,"KeySet"),0),":","""",TEXT(valueMaker!G216,"yyyy/m/d"),"""")</f>
        <v>tanjyoubi:"2015/6/29"</v>
      </c>
      <c r="H216" t="str" cm="1">
        <f t="array" aca="1" ref="H216" ca="1">CONCATENATE(INDIRECT(ADDRESS(1,6,1,0,"KeySet"),0),":","""",TEXT(valueMaker!H216,"yyyy/m/d"),"""")</f>
        <v>tanjyoubi:"2017/6/28"</v>
      </c>
      <c r="I216" t="str" cm="1">
        <f t="array" aca="1" ref="I216" ca="1">CONCATENATE(INDIRECT(ADDRESS(1,9,1,0,"KeySet"),0),":","""",valueMaker!I216,"""")</f>
        <v>denwaBangou:"080-6858-6783"</v>
      </c>
      <c r="J216" t="str" cm="1">
        <f t="array" aca="1" ref="J216" ca="1">CONCATENATE(INDIRECT(ADDRESS(1,10,1,0,"KeySet"),0),":","""",valueMaker!J216,"""")</f>
        <v>mailAddress:"Yang_Yi_Mai_42184@outlook.jp.co"</v>
      </c>
      <c r="K216" t="str" cm="1">
        <f t="array" aca="1" ref="K216" ca="1">CONCATENATE(INDIRECT(ADDRESS(1,11,1,0,"KeySet"),0),":","""",valueMaker!K216,"""")</f>
        <v>kaninSyubetu:"普通"</v>
      </c>
      <c r="L216" t="str" cm="1">
        <f t="array" aca="1" ref="L216" ca="1">CONCATENATE(INDIRECT(ADDRESS(1,12,1,0,"KeySet"),0),":","""",valueMaker!L216,"""")</f>
        <v>kaninKengenWB:"有り"</v>
      </c>
      <c r="M216" t="str" cm="1">
        <f t="array" aca="1" ref="M216" ca="1">CONCATENATE(INDIRECT(ADDRESS(1,13,1,0,"KeySet"),0),":","""",valueMaker!M216,"""")</f>
        <v>wakibiri:"5%"</v>
      </c>
      <c r="N216" t="str" cm="1">
        <f t="array" aca="1" ref="N216" ca="1">CONCATENATE(INDIRECT(ADDRESS(1,14,1,0,"KeySet"),0),":","""",valueMaker!N216,"""")</f>
        <v>kaninKengenPoint:"有り"</v>
      </c>
      <c r="O216" t="str" cm="1">
        <f t="array" aca="1" ref="O216" ca="1">CONCATENATE(INDIRECT(ADDRESS(1,15,1,0,"KeySet"),0),":","""",valueMaker!O216,"""")</f>
        <v>point:"721"</v>
      </c>
      <c r="P216" t="str" cm="1">
        <f t="array" aca="1" ref="P216" ca="1">CONCATENATE(INDIRECT(ADDRESS(1,16,1,0,"KeySet"),0),":","""",valueMaker!P216,"""")</f>
        <v>bikou:""</v>
      </c>
    </row>
    <row r="217" spans="1:16">
      <c r="A217" t="str" cm="1">
        <f t="array" aca="1" ref="A217" ca="1">CONCATENATE(INDIRECT(ADDRESS(1,1,1,0,"KeySet"),0),":","""",valueMaker!A217,"""")</f>
        <v>kainBangou:"TD10216"</v>
      </c>
      <c r="B217" t="str" cm="1">
        <f t="array" aca="1" ref="B217" ca="1">CONCATENATE(INDIRECT(ADDRESS(1,2,1,0,"KeySet"),0),":","""",valueMaker!B217,"""")</f>
        <v>kainMeiKanji:"王烈斌"</v>
      </c>
      <c r="C217" t="str" cm="1">
        <f t="array" aca="1" ref="C217" ca="1">CONCATENATE(INDIRECT(ADDRESS(1,3,1,0,"KeySet"),0),":","""",valueMaker!C217,"""")</f>
        <v>kainMeiKana:"ﾜｰﾝ ﾘｴ ﾋﾞﾝ"</v>
      </c>
      <c r="D217" t="str" cm="1">
        <f t="array" aca="1" ref="D217" ca="1">CONCATENATE(INDIRECT(ADDRESS(1,4,1,0,"KeySet"),0),":","""",valueMaker!D217,"""")</f>
        <v>kainMeiEn:"Wang Lie Bin"</v>
      </c>
      <c r="E217" t="str" cm="1">
        <f t="array" aca="1" ref="E217" ca="1">CONCATENATE(INDIRECT(ADDRESS(1,5,1,0,"KeySet"),0),":","""",valueMaker!E217,"""")</f>
        <v>kainGender:"女性"</v>
      </c>
      <c r="F217" t="str" cm="1">
        <f t="array" aca="1" ref="F217" ca="1">CONCATENATE(INDIRECT(ADDRESS(1,6,1,0,"KeySet"),0),":","""",TEXT(valueMaker!F217,"yyyy/m/d"),"""")</f>
        <v>tanjyoubi:"1984/3/9"</v>
      </c>
      <c r="G217" t="str" cm="1">
        <f t="array" aca="1" ref="G217" ca="1">CONCATENATE(INDIRECT(ADDRESS(1,6,1,0,"KeySet"),0),":","""",TEXT(valueMaker!G217,"yyyy/m/d"),"""")</f>
        <v>tanjyoubi:"2023/9/23"</v>
      </c>
      <c r="H217" t="str" cm="1">
        <f t="array" aca="1" ref="H217" ca="1">CONCATENATE(INDIRECT(ADDRESS(1,6,1,0,"KeySet"),0),":","""",TEXT(valueMaker!H217,"yyyy/m/d"),"""")</f>
        <v>tanjyoubi:"2026/9/22"</v>
      </c>
      <c r="I217" t="str" cm="1">
        <f t="array" aca="1" ref="I217" ca="1">CONCATENATE(INDIRECT(ADDRESS(1,9,1,0,"KeySet"),0),":","""",valueMaker!I217,"""")</f>
        <v>denwaBangou:"090-0770-5290"</v>
      </c>
      <c r="J217" t="str" cm="1">
        <f t="array" aca="1" ref="J217" ca="1">CONCATENATE(INDIRECT(ADDRESS(1,10,1,0,"KeySet"),0),":","""",valueMaker!J217,"""")</f>
        <v>mailAddress:"Wang_Lie_Bin_45192@outlook.jp.co"</v>
      </c>
      <c r="K217" t="str" cm="1">
        <f t="array" aca="1" ref="K217" ca="1">CONCATENATE(INDIRECT(ADDRESS(1,11,1,0,"KeySet"),0),":","""",valueMaker!K217,"""")</f>
        <v>kaninSyubetu:"普通"</v>
      </c>
      <c r="L217" t="str" cm="1">
        <f t="array" aca="1" ref="L217" ca="1">CONCATENATE(INDIRECT(ADDRESS(1,12,1,0,"KeySet"),0),":","""",valueMaker!L217,"""")</f>
        <v>kaninKengenWB:"有り"</v>
      </c>
      <c r="M217" t="str" cm="1">
        <f t="array" aca="1" ref="M217" ca="1">CONCATENATE(INDIRECT(ADDRESS(1,13,1,0,"KeySet"),0),":","""",valueMaker!M217,"""")</f>
        <v>wakibiri:"5%"</v>
      </c>
      <c r="N217" t="str" cm="1">
        <f t="array" aca="1" ref="N217" ca="1">CONCATENATE(INDIRECT(ADDRESS(1,14,1,0,"KeySet"),0),":","""",valueMaker!N217,"""")</f>
        <v>kaninKengenPoint:"有り"</v>
      </c>
      <c r="O217" t="str" cm="1">
        <f t="array" aca="1" ref="O217" ca="1">CONCATENATE(INDIRECT(ADDRESS(1,15,1,0,"KeySet"),0),":","""",valueMaker!O217,"""")</f>
        <v>point:"137"</v>
      </c>
      <c r="P217" t="str" cm="1">
        <f t="array" aca="1" ref="P217" ca="1">CONCATENATE(INDIRECT(ADDRESS(1,16,1,0,"KeySet"),0),":","""",valueMaker!P217,"""")</f>
        <v>bikou:""</v>
      </c>
    </row>
    <row r="218" spans="1:16">
      <c r="A218" t="str" cm="1">
        <f t="array" aca="1" ref="A218" ca="1">CONCATENATE(INDIRECT(ADDRESS(1,1,1,0,"KeySet"),0),":","""",valueMaker!A218,"""")</f>
        <v>kainBangou:"TD10217"</v>
      </c>
      <c r="B218" t="str" cm="1">
        <f t="array" aca="1" ref="B218" ca="1">CONCATENATE(INDIRECT(ADDRESS(1,2,1,0,"KeySet"),0),":","""",valueMaker!B218,"""")</f>
        <v>kainMeiKanji:"梁譽昌"</v>
      </c>
      <c r="C218" t="str" cm="1">
        <f t="array" aca="1" ref="C218" ca="1">CONCATENATE(INDIRECT(ADDRESS(1,3,1,0,"KeySet"),0),":","""",valueMaker!C218,"""")</f>
        <v>kainMeiKana:"ﾘﾔｰﾝ ﾕｲ ﾁｬｰﾝ"</v>
      </c>
      <c r="D218" t="str" cm="1">
        <f t="array" aca="1" ref="D218" ca="1">CONCATENATE(INDIRECT(ADDRESS(1,4,1,0,"KeySet"),0),":","""",valueMaker!D218,"""")</f>
        <v>kainMeiEn:"Liang Yu Chang"</v>
      </c>
      <c r="E218" t="str" cm="1">
        <f t="array" aca="1" ref="E218" ca="1">CONCATENATE(INDIRECT(ADDRESS(1,5,1,0,"KeySet"),0),":","""",valueMaker!E218,"""")</f>
        <v>kainGender:"男性"</v>
      </c>
      <c r="F218" t="str" cm="1">
        <f t="array" aca="1" ref="F218" ca="1">CONCATENATE(INDIRECT(ADDRESS(1,6,1,0,"KeySet"),0),":","""",TEXT(valueMaker!F218,"yyyy/m/d"),"""")</f>
        <v>tanjyoubi:"1986/11/25"</v>
      </c>
      <c r="G218" t="str" cm="1">
        <f t="array" aca="1" ref="G218" ca="1">CONCATENATE(INDIRECT(ADDRESS(1,6,1,0,"KeySet"),0),":","""",TEXT(valueMaker!G218,"yyyy/m/d"),"""")</f>
        <v>tanjyoubi:"2010/5/11"</v>
      </c>
      <c r="H218" t="str" cm="1">
        <f t="array" aca="1" ref="H218" ca="1">CONCATENATE(INDIRECT(ADDRESS(1,6,1,0,"KeySet"),0),":","""",TEXT(valueMaker!H218,"yyyy/m/d"),"""")</f>
        <v>tanjyoubi:"2013/5/10"</v>
      </c>
      <c r="I218" t="str" cm="1">
        <f t="array" aca="1" ref="I218" ca="1">CONCATENATE(INDIRECT(ADDRESS(1,9,1,0,"KeySet"),0),":","""",valueMaker!I218,"""")</f>
        <v>denwaBangou:"080-4197-0596"</v>
      </c>
      <c r="J218" t="str" cm="1">
        <f t="array" aca="1" ref="J218" ca="1">CONCATENATE(INDIRECT(ADDRESS(1,10,1,0,"KeySet"),0),":","""",valueMaker!J218,"""")</f>
        <v>mailAddress:"Liang_Yu_Chang_40309@outlook.jp.co"</v>
      </c>
      <c r="K218" t="str" cm="1">
        <f t="array" aca="1" ref="K218" ca="1">CONCATENATE(INDIRECT(ADDRESS(1,11,1,0,"KeySet"),0),":","""",valueMaker!K218,"""")</f>
        <v>kaninSyubetu:"高級"</v>
      </c>
      <c r="L218" t="str" cm="1">
        <f t="array" aca="1" ref="L218" ca="1">CONCATENATE(INDIRECT(ADDRESS(1,12,1,0,"KeySet"),0),":","""",valueMaker!L218,"""")</f>
        <v>kaninKengenWB:"有り"</v>
      </c>
      <c r="M218" t="str" cm="1">
        <f t="array" aca="1" ref="M218" ca="1">CONCATENATE(INDIRECT(ADDRESS(1,13,1,0,"KeySet"),0),":","""",valueMaker!M218,"""")</f>
        <v>wakibiri:"10%"</v>
      </c>
      <c r="N218" t="str" cm="1">
        <f t="array" aca="1" ref="N218" ca="1">CONCATENATE(INDIRECT(ADDRESS(1,14,1,0,"KeySet"),0),":","""",valueMaker!N218,"""")</f>
        <v>kaninKengenPoint:"有り"</v>
      </c>
      <c r="O218" t="str" cm="1">
        <f t="array" aca="1" ref="O218" ca="1">CONCATENATE(INDIRECT(ADDRESS(1,15,1,0,"KeySet"),0),":","""",valueMaker!O218,"""")</f>
        <v>point:"403"</v>
      </c>
      <c r="P218" t="str" cm="1">
        <f t="array" aca="1" ref="P218" ca="1">CONCATENATE(INDIRECT(ADDRESS(1,16,1,0,"KeySet"),0),":","""",valueMaker!P218,"""")</f>
        <v>bikou:""</v>
      </c>
    </row>
    <row r="219" spans="1:16">
      <c r="A219" t="str" cm="1">
        <f t="array" aca="1" ref="A219" ca="1">CONCATENATE(INDIRECT(ADDRESS(1,1,1,0,"KeySet"),0),":","""",valueMaker!A219,"""")</f>
        <v>kainBangou:"TD10218"</v>
      </c>
      <c r="B219" t="str" cm="1">
        <f t="array" aca="1" ref="B219" ca="1">CONCATENATE(INDIRECT(ADDRESS(1,2,1,0,"KeySet"),0),":","""",valueMaker!B219,"""")</f>
        <v>kainMeiKanji:"劉孝海"</v>
      </c>
      <c r="C219" t="str" cm="1">
        <f t="array" aca="1" ref="C219" ca="1">CONCATENATE(INDIRECT(ADDRESS(1,3,1,0,"KeySet"),0),":","""",valueMaker!C219,"""")</f>
        <v>kainMeiKana:"ﾘｳ ｼﾔｵ ﾊｲ"</v>
      </c>
      <c r="D219" t="str" cm="1">
        <f t="array" aca="1" ref="D219" ca="1">CONCATENATE(INDIRECT(ADDRESS(1,4,1,0,"KeySet"),0),":","""",valueMaker!D219,"""")</f>
        <v>kainMeiEn:"Liu Xiao Hai"</v>
      </c>
      <c r="E219" t="str" cm="1">
        <f t="array" aca="1" ref="E219" ca="1">CONCATENATE(INDIRECT(ADDRESS(1,5,1,0,"KeySet"),0),":","""",valueMaker!E219,"""")</f>
        <v>kainGender:"女性"</v>
      </c>
      <c r="F219" t="str" cm="1">
        <f t="array" aca="1" ref="F219" ca="1">CONCATENATE(INDIRECT(ADDRESS(1,6,1,0,"KeySet"),0),":","""",TEXT(valueMaker!F219,"yyyy/m/d"),"""")</f>
        <v>tanjyoubi:"1984/11/14"</v>
      </c>
      <c r="G219" t="str" cm="1">
        <f t="array" aca="1" ref="G219" ca="1">CONCATENATE(INDIRECT(ADDRESS(1,6,1,0,"KeySet"),0),":","""",TEXT(valueMaker!G219,"yyyy/m/d"),"""")</f>
        <v>tanjyoubi:"2023/7/24"</v>
      </c>
      <c r="H219" t="str" cm="1">
        <f t="array" aca="1" ref="H219" ca="1">CONCATENATE(INDIRECT(ADDRESS(1,6,1,0,"KeySet"),0),":","""",TEXT(valueMaker!H219,"yyyy/m/d"),"""")</f>
        <v>tanjyoubi:"2025/7/23"</v>
      </c>
      <c r="I219" t="str" cm="1">
        <f t="array" aca="1" ref="I219" ca="1">CONCATENATE(INDIRECT(ADDRESS(1,9,1,0,"KeySet"),0),":","""",valueMaker!I219,"""")</f>
        <v>denwaBangou:"080-4916-5698"</v>
      </c>
      <c r="J219" t="str" cm="1">
        <f t="array" aca="1" ref="J219" ca="1">CONCATENATE(INDIRECT(ADDRESS(1,10,1,0,"KeySet"),0),":","""",valueMaker!J219,"""")</f>
        <v>mailAddress:"Liu_Xiao_Hai_45131@outlook.jp.co"</v>
      </c>
      <c r="K219" t="str" cm="1">
        <f t="array" aca="1" ref="K219" ca="1">CONCATENATE(INDIRECT(ADDRESS(1,11,1,0,"KeySet"),0),":","""",valueMaker!K219,"""")</f>
        <v>kaninSyubetu:"高級"</v>
      </c>
      <c r="L219" t="str" cm="1">
        <f t="array" aca="1" ref="L219" ca="1">CONCATENATE(INDIRECT(ADDRESS(1,12,1,0,"KeySet"),0),":","""",valueMaker!L219,"""")</f>
        <v>kaninKengenWB:"有り"</v>
      </c>
      <c r="M219" t="str" cm="1">
        <f t="array" aca="1" ref="M219" ca="1">CONCATENATE(INDIRECT(ADDRESS(1,13,1,0,"KeySet"),0),":","""",valueMaker!M219,"""")</f>
        <v>wakibiri:"10%"</v>
      </c>
      <c r="N219" t="str" cm="1">
        <f t="array" aca="1" ref="N219" ca="1">CONCATENATE(INDIRECT(ADDRESS(1,14,1,0,"KeySet"),0),":","""",valueMaker!N219,"""")</f>
        <v>kaninKengenPoint:"-"</v>
      </c>
      <c r="O219" t="str" cm="1">
        <f t="array" aca="1" ref="O219" ca="1">CONCATENATE(INDIRECT(ADDRESS(1,15,1,0,"KeySet"),0),":","""",valueMaker!O219,"""")</f>
        <v>point:"-"</v>
      </c>
      <c r="P219" t="str" cm="1">
        <f t="array" aca="1" ref="P219" ca="1">CONCATENATE(INDIRECT(ADDRESS(1,16,1,0,"KeySet"),0),":","""",valueMaker!P219,"""")</f>
        <v>bikou:""</v>
      </c>
    </row>
    <row r="220" spans="1:16">
      <c r="A220" t="str" cm="1">
        <f t="array" aca="1" ref="A220" ca="1">CONCATENATE(INDIRECT(ADDRESS(1,1,1,0,"KeySet"),0),":","""",valueMaker!A220,"""")</f>
        <v>kainBangou:"TD10219"</v>
      </c>
      <c r="B220" t="str" cm="1">
        <f t="array" aca="1" ref="B220" ca="1">CONCATENATE(INDIRECT(ADDRESS(1,2,1,0,"KeySet"),0),":","""",valueMaker!B220,"""")</f>
        <v>kainMeiKanji:"韓忠博"</v>
      </c>
      <c r="C220" t="str" cm="1">
        <f t="array" aca="1" ref="C220" ca="1">CONCATENATE(INDIRECT(ADDRESS(1,3,1,0,"KeySet"),0),":","""",valueMaker!C220,"""")</f>
        <v>kainMeiKana:"ﾊﾝ ｼﾞｮｰﾝ ﾎﾞｰ"</v>
      </c>
      <c r="D220" t="str" cm="1">
        <f t="array" aca="1" ref="D220" ca="1">CONCATENATE(INDIRECT(ADDRESS(1,4,1,0,"KeySet"),0),":","""",valueMaker!D220,"""")</f>
        <v>kainMeiEn:"Han Zhong Bo"</v>
      </c>
      <c r="E220" t="str" cm="1">
        <f t="array" aca="1" ref="E220" ca="1">CONCATENATE(INDIRECT(ADDRESS(1,5,1,0,"KeySet"),0),":","""",valueMaker!E220,"""")</f>
        <v>kainGender:"女性"</v>
      </c>
      <c r="F220" t="str" cm="1">
        <f t="array" aca="1" ref="F220" ca="1">CONCATENATE(INDIRECT(ADDRESS(1,6,1,0,"KeySet"),0),":","""",TEXT(valueMaker!F220,"yyyy/m/d"),"""")</f>
        <v>tanjyoubi:"1980/7/25"</v>
      </c>
      <c r="G220" t="str" cm="1">
        <f t="array" aca="1" ref="G220" ca="1">CONCATENATE(INDIRECT(ADDRESS(1,6,1,0,"KeySet"),0),":","""",TEXT(valueMaker!G220,"yyyy/m/d"),"""")</f>
        <v>tanjyoubi:"2011/5/12"</v>
      </c>
      <c r="H220" t="str" cm="1">
        <f t="array" aca="1" ref="H220" ca="1">CONCATENATE(INDIRECT(ADDRESS(1,6,1,0,"KeySet"),0),":","""",TEXT(valueMaker!H220,"yyyy/m/d"),"""")</f>
        <v>tanjyoubi:"2013/5/11"</v>
      </c>
      <c r="I220" t="str" cm="1">
        <f t="array" aca="1" ref="I220" ca="1">CONCATENATE(INDIRECT(ADDRESS(1,9,1,0,"KeySet"),0),":","""",valueMaker!I220,"""")</f>
        <v>denwaBangou:"080-4255-1254"</v>
      </c>
      <c r="J220" t="str" cm="1">
        <f t="array" aca="1" ref="J220" ca="1">CONCATENATE(INDIRECT(ADDRESS(1,10,1,0,"KeySet"),0),":","""",valueMaker!J220,"""")</f>
        <v>mailAddress:"Han_Zhong_Bo_40675@outlook.jp.co"</v>
      </c>
      <c r="K220" t="str" cm="1">
        <f t="array" aca="1" ref="K220" ca="1">CONCATENATE(INDIRECT(ADDRESS(1,11,1,0,"KeySet"),0),":","""",valueMaker!K220,"""")</f>
        <v>kaninSyubetu:"高級"</v>
      </c>
      <c r="L220" t="str" cm="1">
        <f t="array" aca="1" ref="L220" ca="1">CONCATENATE(INDIRECT(ADDRESS(1,12,1,0,"KeySet"),0),":","""",valueMaker!L220,"""")</f>
        <v>kaninKengenWB:"有り"</v>
      </c>
      <c r="M220" t="str" cm="1">
        <f t="array" aca="1" ref="M220" ca="1">CONCATENATE(INDIRECT(ADDRESS(1,13,1,0,"KeySet"),0),":","""",valueMaker!M220,"""")</f>
        <v>wakibiri:"10%"</v>
      </c>
      <c r="N220" t="str" cm="1">
        <f t="array" aca="1" ref="N220" ca="1">CONCATENATE(INDIRECT(ADDRESS(1,14,1,0,"KeySet"),0),":","""",valueMaker!N220,"""")</f>
        <v>kaninKengenPoint:"有り"</v>
      </c>
      <c r="O220" t="str" cm="1">
        <f t="array" aca="1" ref="O220" ca="1">CONCATENATE(INDIRECT(ADDRESS(1,15,1,0,"KeySet"),0),":","""",valueMaker!O220,"""")</f>
        <v>point:"915"</v>
      </c>
      <c r="P220" t="str" cm="1">
        <f t="array" aca="1" ref="P220" ca="1">CONCATENATE(INDIRECT(ADDRESS(1,16,1,0,"KeySet"),0),":","""",valueMaker!P220,"""")</f>
        <v>bikou:""</v>
      </c>
    </row>
    <row r="221" spans="1:16">
      <c r="A221" t="str" cm="1">
        <f t="array" aca="1" ref="A221" ca="1">CONCATENATE(INDIRECT(ADDRESS(1,1,1,0,"KeySet"),0),":","""",valueMaker!A221,"""")</f>
        <v>kainBangou:"TD10220"</v>
      </c>
      <c r="B221" t="str" cm="1">
        <f t="array" aca="1" ref="B221" ca="1">CONCATENATE(INDIRECT(ADDRESS(1,2,1,0,"KeySet"),0),":","""",valueMaker!B221,"""")</f>
        <v>kainMeiKanji:"胡冠聆"</v>
      </c>
      <c r="C221" t="str" cm="1">
        <f t="array" aca="1" ref="C221" ca="1">CONCATENATE(INDIRECT(ADDRESS(1,3,1,0,"KeySet"),0),":","""",valueMaker!C221,"""")</f>
        <v>kainMeiKana:"ﾎｩ ｸﾞﾜﾝ ﾘｰﾝ"</v>
      </c>
      <c r="D221" t="str" cm="1">
        <f t="array" aca="1" ref="D221" ca="1">CONCATENATE(INDIRECT(ADDRESS(1,4,1,0,"KeySet"),0),":","""",valueMaker!D221,"""")</f>
        <v>kainMeiEn:"Hu Guan Ling"</v>
      </c>
      <c r="E221" t="str" cm="1">
        <f t="array" aca="1" ref="E221" ca="1">CONCATENATE(INDIRECT(ADDRESS(1,5,1,0,"KeySet"),0),":","""",valueMaker!E221,"""")</f>
        <v>kainGender:"女性"</v>
      </c>
      <c r="F221" t="str" cm="1">
        <f t="array" aca="1" ref="F221" ca="1">CONCATENATE(INDIRECT(ADDRESS(1,6,1,0,"KeySet"),0),":","""",TEXT(valueMaker!F221,"yyyy/m/d"),"""")</f>
        <v>tanjyoubi:"1981/7/30"</v>
      </c>
      <c r="G221" t="str" cm="1">
        <f t="array" aca="1" ref="G221" ca="1">CONCATENATE(INDIRECT(ADDRESS(1,6,1,0,"KeySet"),0),":","""",TEXT(valueMaker!G221,"yyyy/m/d"),"""")</f>
        <v>tanjyoubi:"2001/3/9"</v>
      </c>
      <c r="H221" t="str" cm="1">
        <f t="array" aca="1" ref="H221" ca="1">CONCATENATE(INDIRECT(ADDRESS(1,6,1,0,"KeySet"),0),":","""",TEXT(valueMaker!H221,"yyyy/m/d"),"""")</f>
        <v>tanjyoubi:"2004/3/8"</v>
      </c>
      <c r="I221" t="str" cm="1">
        <f t="array" aca="1" ref="I221" ca="1">CONCATENATE(INDIRECT(ADDRESS(1,9,1,0,"KeySet"),0),":","""",valueMaker!I221,"""")</f>
        <v>denwaBangou:"090-7357-6986"</v>
      </c>
      <c r="J221" t="str" cm="1">
        <f t="array" aca="1" ref="J221" ca="1">CONCATENATE(INDIRECT(ADDRESS(1,10,1,0,"KeySet"),0),":","""",valueMaker!J221,"""")</f>
        <v>mailAddress:"Hu_Guan_Ling_36959@outlook.jp.co"</v>
      </c>
      <c r="K221" t="str" cm="1">
        <f t="array" aca="1" ref="K221" ca="1">CONCATENATE(INDIRECT(ADDRESS(1,11,1,0,"KeySet"),0),":","""",valueMaker!K221,"""")</f>
        <v>kaninSyubetu:"高級"</v>
      </c>
      <c r="L221" t="str" cm="1">
        <f t="array" aca="1" ref="L221" ca="1">CONCATENATE(INDIRECT(ADDRESS(1,12,1,0,"KeySet"),0),":","""",valueMaker!L221,"""")</f>
        <v>kaninKengenWB:"有り"</v>
      </c>
      <c r="M221" t="str" cm="1">
        <f t="array" aca="1" ref="M221" ca="1">CONCATENATE(INDIRECT(ADDRESS(1,13,1,0,"KeySet"),0),":","""",valueMaker!M221,"""")</f>
        <v>wakibiri:"10%"</v>
      </c>
      <c r="N221" t="str" cm="1">
        <f t="array" aca="1" ref="N221" ca="1">CONCATENATE(INDIRECT(ADDRESS(1,14,1,0,"KeySet"),0),":","""",valueMaker!N221,"""")</f>
        <v>kaninKengenPoint:"有り"</v>
      </c>
      <c r="O221" t="str" cm="1">
        <f t="array" aca="1" ref="O221" ca="1">CONCATENATE(INDIRECT(ADDRESS(1,15,1,0,"KeySet"),0),":","""",valueMaker!O221,"""")</f>
        <v>point:"839"</v>
      </c>
      <c r="P221" t="str" cm="1">
        <f t="array" aca="1" ref="P221" ca="1">CONCATENATE(INDIRECT(ADDRESS(1,16,1,0,"KeySet"),0),":","""",valueMaker!P221,"""")</f>
        <v>bikou:""</v>
      </c>
    </row>
    <row r="222" spans="1:16">
      <c r="A222" t="str" cm="1">
        <f t="array" aca="1" ref="A222" ca="1">CONCATENATE(INDIRECT(ADDRESS(1,1,1,0,"KeySet"),0),":","""",valueMaker!A222,"""")</f>
        <v>kainBangou:"TD10221"</v>
      </c>
      <c r="B222" t="str" cm="1">
        <f t="array" aca="1" ref="B222" ca="1">CONCATENATE(INDIRECT(ADDRESS(1,2,1,0,"KeySet"),0),":","""",valueMaker!B222,"""")</f>
        <v>kainMeiKanji:"王若齊"</v>
      </c>
      <c r="C222" t="str" cm="1">
        <f t="array" aca="1" ref="C222" ca="1">CONCATENATE(INDIRECT(ADDRESS(1,3,1,0,"KeySet"),0),":","""",valueMaker!C222,"""")</f>
        <v>kainMeiKana:"ﾜｰﾝ ｩﾙｵ ﾁｲ"</v>
      </c>
      <c r="D222" t="str" cm="1">
        <f t="array" aca="1" ref="D222" ca="1">CONCATENATE(INDIRECT(ADDRESS(1,4,1,0,"KeySet"),0),":","""",valueMaker!D222,"""")</f>
        <v>kainMeiEn:"Wang Ruo Qi"</v>
      </c>
      <c r="E222" t="str" cm="1">
        <f t="array" aca="1" ref="E222" ca="1">CONCATENATE(INDIRECT(ADDRESS(1,5,1,0,"KeySet"),0),":","""",valueMaker!E222,"""")</f>
        <v>kainGender:"男性"</v>
      </c>
      <c r="F222" t="str" cm="1">
        <f t="array" aca="1" ref="F222" ca="1">CONCATENATE(INDIRECT(ADDRESS(1,6,1,0,"KeySet"),0),":","""",TEXT(valueMaker!F222,"yyyy/m/d"),"""")</f>
        <v>tanjyoubi:"1977/10/2"</v>
      </c>
      <c r="G222" t="str" cm="1">
        <f t="array" aca="1" ref="G222" ca="1">CONCATENATE(INDIRECT(ADDRESS(1,6,1,0,"KeySet"),0),":","""",TEXT(valueMaker!G222,"yyyy/m/d"),"""")</f>
        <v>tanjyoubi:"2001/8/17"</v>
      </c>
      <c r="H222" t="str" cm="1">
        <f t="array" aca="1" ref="H222" ca="1">CONCATENATE(INDIRECT(ADDRESS(1,6,1,0,"KeySet"),0),":","""",TEXT(valueMaker!H222,"yyyy/m/d"),"""")</f>
        <v>tanjyoubi:"2003/8/17"</v>
      </c>
      <c r="I222" t="str" cm="1">
        <f t="array" aca="1" ref="I222" ca="1">CONCATENATE(INDIRECT(ADDRESS(1,9,1,0,"KeySet"),0),":","""",valueMaker!I222,"""")</f>
        <v>denwaBangou:"090-7328-9454"</v>
      </c>
      <c r="J222" t="str" cm="1">
        <f t="array" aca="1" ref="J222" ca="1">CONCATENATE(INDIRECT(ADDRESS(1,10,1,0,"KeySet"),0),":","""",valueMaker!J222,"""")</f>
        <v>mailAddress:"Wang_Ruo Qi_37120@outlook.jp.co"</v>
      </c>
      <c r="K222" t="str" cm="1">
        <f t="array" aca="1" ref="K222" ca="1">CONCATENATE(INDIRECT(ADDRESS(1,11,1,0,"KeySet"),0),":","""",valueMaker!K222,"""")</f>
        <v>kaninSyubetu:"普通"</v>
      </c>
      <c r="L222" t="str" cm="1">
        <f t="array" aca="1" ref="L222" ca="1">CONCATENATE(INDIRECT(ADDRESS(1,12,1,0,"KeySet"),0),":","""",valueMaker!L222,"""")</f>
        <v>kaninKengenWB:"有り"</v>
      </c>
      <c r="M222" t="str" cm="1">
        <f t="array" aca="1" ref="M222" ca="1">CONCATENATE(INDIRECT(ADDRESS(1,13,1,0,"KeySet"),0),":","""",valueMaker!M222,"""")</f>
        <v>wakibiri:"5%"</v>
      </c>
      <c r="N222" t="str" cm="1">
        <f t="array" aca="1" ref="N222" ca="1">CONCATENATE(INDIRECT(ADDRESS(1,14,1,0,"KeySet"),0),":","""",valueMaker!N222,"""")</f>
        <v>kaninKengenPoint:"有り"</v>
      </c>
      <c r="O222" t="str" cm="1">
        <f t="array" aca="1" ref="O222" ca="1">CONCATENATE(INDIRECT(ADDRESS(1,15,1,0,"KeySet"),0),":","""",valueMaker!O222,"""")</f>
        <v>point:"706"</v>
      </c>
      <c r="P222" t="str" cm="1">
        <f t="array" aca="1" ref="P222" ca="1">CONCATENATE(INDIRECT(ADDRESS(1,16,1,0,"KeySet"),0),":","""",valueMaker!P222,"""")</f>
        <v>bikou:""</v>
      </c>
    </row>
    <row r="223" spans="1:16">
      <c r="A223" t="str" cm="1">
        <f t="array" aca="1" ref="A223" ca="1">CONCATENATE(INDIRECT(ADDRESS(1,1,1,0,"KeySet"),0),":","""",valueMaker!A223,"""")</f>
        <v>kainBangou:"TD10222"</v>
      </c>
      <c r="B223" t="str" cm="1">
        <f t="array" aca="1" ref="B223" ca="1">CONCATENATE(INDIRECT(ADDRESS(1,2,1,0,"KeySet"),0),":","""",valueMaker!B223,"""")</f>
        <v>kainMeiKanji:"郭銀霆"</v>
      </c>
      <c r="C223" t="str" cm="1">
        <f t="array" aca="1" ref="C223" ca="1">CONCATENATE(INDIRECT(ADDRESS(1,3,1,0,"KeySet"),0),":","""",valueMaker!C223,"""")</f>
        <v>kainMeiKana:"ｸﾞｵ ｲﾝ ﾃｨｰﾝ"</v>
      </c>
      <c r="D223" t="str" cm="1">
        <f t="array" aca="1" ref="D223" ca="1">CONCATENATE(INDIRECT(ADDRESS(1,4,1,0,"KeySet"),0),":","""",valueMaker!D223,"""")</f>
        <v>kainMeiEn:"Guo Yin Ting"</v>
      </c>
      <c r="E223" t="str" cm="1">
        <f t="array" aca="1" ref="E223" ca="1">CONCATENATE(INDIRECT(ADDRESS(1,5,1,0,"KeySet"),0),":","""",valueMaker!E223,"""")</f>
        <v>kainGender:"女性"</v>
      </c>
      <c r="F223" t="str" cm="1">
        <f t="array" aca="1" ref="F223" ca="1">CONCATENATE(INDIRECT(ADDRESS(1,6,1,0,"KeySet"),0),":","""",TEXT(valueMaker!F223,"yyyy/m/d"),"""")</f>
        <v>tanjyoubi:"1994/12/18"</v>
      </c>
      <c r="G223" t="str" cm="1">
        <f t="array" aca="1" ref="G223" ca="1">CONCATENATE(INDIRECT(ADDRESS(1,6,1,0,"KeySet"),0),":","""",TEXT(valueMaker!G223,"yyyy/m/d"),"""")</f>
        <v>tanjyoubi:"2021/4/8"</v>
      </c>
      <c r="H223" t="str" cm="1">
        <f t="array" aca="1" ref="H223" ca="1">CONCATENATE(INDIRECT(ADDRESS(1,6,1,0,"KeySet"),0),":","""",TEXT(valueMaker!H223,"yyyy/m/d"),"""")</f>
        <v>tanjyoubi:"2024/4/7"</v>
      </c>
      <c r="I223" t="str" cm="1">
        <f t="array" aca="1" ref="I223" ca="1">CONCATENATE(INDIRECT(ADDRESS(1,9,1,0,"KeySet"),0),":","""",valueMaker!I223,"""")</f>
        <v>denwaBangou:"080-2390-8855"</v>
      </c>
      <c r="J223" t="str" cm="1">
        <f t="array" aca="1" ref="J223" ca="1">CONCATENATE(INDIRECT(ADDRESS(1,10,1,0,"KeySet"),0),":","""",valueMaker!J223,"""")</f>
        <v>mailAddress:"Guo_Yin_Ting_44294@outlook.jp.co"</v>
      </c>
      <c r="K223" t="str" cm="1">
        <f t="array" aca="1" ref="K223" ca="1">CONCATENATE(INDIRECT(ADDRESS(1,11,1,0,"KeySet"),0),":","""",valueMaker!K223,"""")</f>
        <v>kaninSyubetu:"普通"</v>
      </c>
      <c r="L223" t="str" cm="1">
        <f t="array" aca="1" ref="L223" ca="1">CONCATENATE(INDIRECT(ADDRESS(1,12,1,0,"KeySet"),0),":","""",valueMaker!L223,"""")</f>
        <v>kaninKengenWB:"有り"</v>
      </c>
      <c r="M223" t="str" cm="1">
        <f t="array" aca="1" ref="M223" ca="1">CONCATENATE(INDIRECT(ADDRESS(1,13,1,0,"KeySet"),0),":","""",valueMaker!M223,"""")</f>
        <v>wakibiri:"5%"</v>
      </c>
      <c r="N223" t="str" cm="1">
        <f t="array" aca="1" ref="N223" ca="1">CONCATENATE(INDIRECT(ADDRESS(1,14,1,0,"KeySet"),0),":","""",valueMaker!N223,"""")</f>
        <v>kaninKengenPoint:"有り"</v>
      </c>
      <c r="O223" t="str" cm="1">
        <f t="array" aca="1" ref="O223" ca="1">CONCATENATE(INDIRECT(ADDRESS(1,15,1,0,"KeySet"),0),":","""",valueMaker!O223,"""")</f>
        <v>point:"512"</v>
      </c>
      <c r="P223" t="str" cm="1">
        <f t="array" aca="1" ref="P223" ca="1">CONCATENATE(INDIRECT(ADDRESS(1,16,1,0,"KeySet"),0),":","""",valueMaker!P223,"""")</f>
        <v>bikou:""</v>
      </c>
    </row>
    <row r="224" spans="1:16">
      <c r="A224" t="str" cm="1">
        <f t="array" aca="1" ref="A224" ca="1">CONCATENATE(INDIRECT(ADDRESS(1,1,1,0,"KeySet"),0),":","""",valueMaker!A224,"""")</f>
        <v>kainBangou:"TD10223"</v>
      </c>
      <c r="B224" t="str" cm="1">
        <f t="array" aca="1" ref="B224" ca="1">CONCATENATE(INDIRECT(ADDRESS(1,2,1,0,"KeySet"),0),":","""",valueMaker!B224,"""")</f>
        <v>kainMeiKanji:"羅用卓"</v>
      </c>
      <c r="C224" t="str" cm="1">
        <f t="array" aca="1" ref="C224" ca="1">CONCATENATE(INDIRECT(ADDRESS(1,3,1,0,"KeySet"),0),":","""",valueMaker!C224,"""")</f>
        <v>kainMeiKana:"ﾙｵ ﾖｰﾝ ｼﾞｭｵ"</v>
      </c>
      <c r="D224" t="str" cm="1">
        <f t="array" aca="1" ref="D224" ca="1">CONCATENATE(INDIRECT(ADDRESS(1,4,1,0,"KeySet"),0),":","""",valueMaker!D224,"""")</f>
        <v>kainMeiEn:"Luo Yong Zhuo"</v>
      </c>
      <c r="E224" t="str" cm="1">
        <f t="array" aca="1" ref="E224" ca="1">CONCATENATE(INDIRECT(ADDRESS(1,5,1,0,"KeySet"),0),":","""",valueMaker!E224,"""")</f>
        <v>kainGender:"女性"</v>
      </c>
      <c r="F224" t="str" cm="1">
        <f t="array" aca="1" ref="F224" ca="1">CONCATENATE(INDIRECT(ADDRESS(1,6,1,0,"KeySet"),0),":","""",TEXT(valueMaker!F224,"yyyy/m/d"),"""")</f>
        <v>tanjyoubi:"1987/4/11"</v>
      </c>
      <c r="G224" t="str" cm="1">
        <f t="array" aca="1" ref="G224" ca="1">CONCATENATE(INDIRECT(ADDRESS(1,6,1,0,"KeySet"),0),":","""",TEXT(valueMaker!G224,"yyyy/m/d"),"""")</f>
        <v>tanjyoubi:"2023/4/13"</v>
      </c>
      <c r="H224" t="str" cm="1">
        <f t="array" aca="1" ref="H224" ca="1">CONCATENATE(INDIRECT(ADDRESS(1,6,1,0,"KeySet"),0),":","""",TEXT(valueMaker!H224,"yyyy/m/d"),"""")</f>
        <v>tanjyoubi:"2024/4/12"</v>
      </c>
      <c r="I224" t="str" cm="1">
        <f t="array" aca="1" ref="I224" ca="1">CONCATENATE(INDIRECT(ADDRESS(1,9,1,0,"KeySet"),0),":","""",valueMaker!I224,"""")</f>
        <v>denwaBangou:"080-0030-6902"</v>
      </c>
      <c r="J224" t="str" cm="1">
        <f t="array" aca="1" ref="J224" ca="1">CONCATENATE(INDIRECT(ADDRESS(1,10,1,0,"KeySet"),0),":","""",valueMaker!J224,"""")</f>
        <v>mailAddress:"Luo_Yong_Zhuo_45029@outlook.jp.co"</v>
      </c>
      <c r="K224" t="str" cm="1">
        <f t="array" aca="1" ref="K224" ca="1">CONCATENATE(INDIRECT(ADDRESS(1,11,1,0,"KeySet"),0),":","""",valueMaker!K224,"""")</f>
        <v>kaninSyubetu:"高級"</v>
      </c>
      <c r="L224" t="str" cm="1">
        <f t="array" aca="1" ref="L224" ca="1">CONCATENATE(INDIRECT(ADDRESS(1,12,1,0,"KeySet"),0),":","""",valueMaker!L224,"""")</f>
        <v>kaninKengenWB:"-"</v>
      </c>
      <c r="M224" t="str" cm="1">
        <f t="array" aca="1" ref="M224" ca="1">CONCATENATE(INDIRECT(ADDRESS(1,13,1,0,"KeySet"),0),":","""",valueMaker!M224,"""")</f>
        <v>wakibiri:"-"</v>
      </c>
      <c r="N224" t="str" cm="1">
        <f t="array" aca="1" ref="N224" ca="1">CONCATENATE(INDIRECT(ADDRESS(1,14,1,0,"KeySet"),0),":","""",valueMaker!N224,"""")</f>
        <v>kaninKengenPoint:"有り"</v>
      </c>
      <c r="O224" t="str" cm="1">
        <f t="array" aca="1" ref="O224" ca="1">CONCATENATE(INDIRECT(ADDRESS(1,15,1,0,"KeySet"),0),":","""",valueMaker!O224,"""")</f>
        <v>point:"930"</v>
      </c>
      <c r="P224" t="str" cm="1">
        <f t="array" aca="1" ref="P224" ca="1">CONCATENATE(INDIRECT(ADDRESS(1,16,1,0,"KeySet"),0),":","""",valueMaker!P224,"""")</f>
        <v>bikou:""</v>
      </c>
    </row>
    <row r="225" spans="1:16">
      <c r="A225" t="str" cm="1">
        <f t="array" aca="1" ref="A225" ca="1">CONCATENATE(INDIRECT(ADDRESS(1,1,1,0,"KeySet"),0),":","""",valueMaker!A225,"""")</f>
        <v>kainBangou:"TD10224"</v>
      </c>
      <c r="B225" t="str" cm="1">
        <f t="array" aca="1" ref="B225" ca="1">CONCATENATE(INDIRECT(ADDRESS(1,2,1,0,"KeySet"),0),":","""",valueMaker!B225,"""")</f>
        <v>kainMeiKanji:"徐滋帆"</v>
      </c>
      <c r="C225" t="str" cm="1">
        <f t="array" aca="1" ref="C225" ca="1">CONCATENATE(INDIRECT(ADDRESS(1,3,1,0,"KeySet"),0),":","""",valueMaker!C225,"""")</f>
        <v>kainMeiKana:"ｼｭｲ ｽﾞｰ ﾌｧﾝ"</v>
      </c>
      <c r="D225" t="str" cm="1">
        <f t="array" aca="1" ref="D225" ca="1">CONCATENATE(INDIRECT(ADDRESS(1,4,1,0,"KeySet"),0),":","""",valueMaker!D225,"""")</f>
        <v>kainMeiEn:"Xu Zi Fan"</v>
      </c>
      <c r="E225" t="str" cm="1">
        <f t="array" aca="1" ref="E225" ca="1">CONCATENATE(INDIRECT(ADDRESS(1,5,1,0,"KeySet"),0),":","""",valueMaker!E225,"""")</f>
        <v>kainGender:"男性"</v>
      </c>
      <c r="F225" t="str" cm="1">
        <f t="array" aca="1" ref="F225" ca="1">CONCATENATE(INDIRECT(ADDRESS(1,6,1,0,"KeySet"),0),":","""",TEXT(valueMaker!F225,"yyyy/m/d"),"""")</f>
        <v>tanjyoubi:"1985/11/1"</v>
      </c>
      <c r="G225" t="str" cm="1">
        <f t="array" aca="1" ref="G225" ca="1">CONCATENATE(INDIRECT(ADDRESS(1,6,1,0,"KeySet"),0),":","""",TEXT(valueMaker!G225,"yyyy/m/d"),"""")</f>
        <v>tanjyoubi:"2005/5/5"</v>
      </c>
      <c r="H225" t="str" cm="1">
        <f t="array" aca="1" ref="H225" ca="1">CONCATENATE(INDIRECT(ADDRESS(1,6,1,0,"KeySet"),0),":","""",TEXT(valueMaker!H225,"yyyy/m/d"),"""")</f>
        <v>tanjyoubi:"2007/5/5"</v>
      </c>
      <c r="I225" t="str" cm="1">
        <f t="array" aca="1" ref="I225" ca="1">CONCATENATE(INDIRECT(ADDRESS(1,9,1,0,"KeySet"),0),":","""",valueMaker!I225,"""")</f>
        <v>denwaBangou:"090-9127-9843"</v>
      </c>
      <c r="J225" t="str" cm="1">
        <f t="array" aca="1" ref="J225" ca="1">CONCATENATE(INDIRECT(ADDRESS(1,10,1,0,"KeySet"),0),":","""",valueMaker!J225,"""")</f>
        <v>mailAddress:"Xu_Zi_Fan_38477@outlook.jp.co"</v>
      </c>
      <c r="K225" t="str" cm="1">
        <f t="array" aca="1" ref="K225" ca="1">CONCATENATE(INDIRECT(ADDRESS(1,11,1,0,"KeySet"),0),":","""",valueMaker!K225,"""")</f>
        <v>kaninSyubetu:"普通"</v>
      </c>
      <c r="L225" t="str" cm="1">
        <f t="array" aca="1" ref="L225" ca="1">CONCATENATE(INDIRECT(ADDRESS(1,12,1,0,"KeySet"),0),":","""",valueMaker!L225,"""")</f>
        <v>kaninKengenWB:"-"</v>
      </c>
      <c r="M225" t="str" cm="1">
        <f t="array" aca="1" ref="M225" ca="1">CONCATENATE(INDIRECT(ADDRESS(1,13,1,0,"KeySet"),0),":","""",valueMaker!M225,"""")</f>
        <v>wakibiri:"-"</v>
      </c>
      <c r="N225" t="str" cm="1">
        <f t="array" aca="1" ref="N225" ca="1">CONCATENATE(INDIRECT(ADDRESS(1,14,1,0,"KeySet"),0),":","""",valueMaker!N225,"""")</f>
        <v>kaninKengenPoint:"有り"</v>
      </c>
      <c r="O225" t="str" cm="1">
        <f t="array" aca="1" ref="O225" ca="1">CONCATENATE(INDIRECT(ADDRESS(1,15,1,0,"KeySet"),0),":","""",valueMaker!O225,"""")</f>
        <v>point:"877"</v>
      </c>
      <c r="P225" t="str" cm="1">
        <f t="array" aca="1" ref="P225" ca="1">CONCATENATE(INDIRECT(ADDRESS(1,16,1,0,"KeySet"),0),":","""",valueMaker!P225,"""")</f>
        <v>bikou:""</v>
      </c>
    </row>
    <row r="226" spans="1:16">
      <c r="A226" t="str" cm="1">
        <f t="array" aca="1" ref="A226" ca="1">CONCATENATE(INDIRECT(ADDRESS(1,1,1,0,"KeySet"),0),":","""",valueMaker!A226,"""")</f>
        <v>kainBangou:"TD10225"</v>
      </c>
      <c r="B226" t="str" cm="1">
        <f t="array" aca="1" ref="B226" ca="1">CONCATENATE(INDIRECT(ADDRESS(1,2,1,0,"KeySet"),0),":","""",valueMaker!B226,"""")</f>
        <v>kainMeiKanji:"梁真物"</v>
      </c>
      <c r="C226" t="str" cm="1">
        <f t="array" aca="1" ref="C226" ca="1">CONCATENATE(INDIRECT(ADDRESS(1,3,1,0,"KeySet"),0),":","""",valueMaker!C226,"""")</f>
        <v>kainMeiKana:"ﾘﾔｰﾝ ｼﾞｪﾝ ｳｰ"</v>
      </c>
      <c r="D226" t="str" cm="1">
        <f t="array" aca="1" ref="D226" ca="1">CONCATENATE(INDIRECT(ADDRESS(1,4,1,0,"KeySet"),0),":","""",valueMaker!D226,"""")</f>
        <v>kainMeiEn:"Liang Zhen Wu"</v>
      </c>
      <c r="E226" t="str" cm="1">
        <f t="array" aca="1" ref="E226" ca="1">CONCATENATE(INDIRECT(ADDRESS(1,5,1,0,"KeySet"),0),":","""",valueMaker!E226,"""")</f>
        <v>kainGender:"男性"</v>
      </c>
      <c r="F226" t="str" cm="1">
        <f t="array" aca="1" ref="F226" ca="1">CONCATENATE(INDIRECT(ADDRESS(1,6,1,0,"KeySet"),0),":","""",TEXT(valueMaker!F226,"yyyy/m/d"),"""")</f>
        <v>tanjyoubi:"1962/5/12"</v>
      </c>
      <c r="G226" t="str" cm="1">
        <f t="array" aca="1" ref="G226" ca="1">CONCATENATE(INDIRECT(ADDRESS(1,6,1,0,"KeySet"),0),":","""",TEXT(valueMaker!G226,"yyyy/m/d"),"""")</f>
        <v>tanjyoubi:"2013/8/9"</v>
      </c>
      <c r="H226" t="str" cm="1">
        <f t="array" aca="1" ref="H226" ca="1">CONCATENATE(INDIRECT(ADDRESS(1,6,1,0,"KeySet"),0),":","""",TEXT(valueMaker!H226,"yyyy/m/d"),"""")</f>
        <v>tanjyoubi:"2015/8/9"</v>
      </c>
      <c r="I226" t="str" cm="1">
        <f t="array" aca="1" ref="I226" ca="1">CONCATENATE(INDIRECT(ADDRESS(1,9,1,0,"KeySet"),0),":","""",valueMaker!I226,"""")</f>
        <v>denwaBangou:"080-7721-1450"</v>
      </c>
      <c r="J226" t="str" cm="1">
        <f t="array" aca="1" ref="J226" ca="1">CONCATENATE(INDIRECT(ADDRESS(1,10,1,0,"KeySet"),0),":","""",valueMaker!J226,"""")</f>
        <v>mailAddress:"Liang_Zhen_Wu_41495@outlook.jp.co"</v>
      </c>
      <c r="K226" t="str" cm="1">
        <f t="array" aca="1" ref="K226" ca="1">CONCATENATE(INDIRECT(ADDRESS(1,11,1,0,"KeySet"),0),":","""",valueMaker!K226,"""")</f>
        <v>kaninSyubetu:"普通"</v>
      </c>
      <c r="L226" t="str" cm="1">
        <f t="array" aca="1" ref="L226" ca="1">CONCATENATE(INDIRECT(ADDRESS(1,12,1,0,"KeySet"),0),":","""",valueMaker!L226,"""")</f>
        <v>kaninKengenWB:"有り"</v>
      </c>
      <c r="M226" t="str" cm="1">
        <f t="array" aca="1" ref="M226" ca="1">CONCATENATE(INDIRECT(ADDRESS(1,13,1,0,"KeySet"),0),":","""",valueMaker!M226,"""")</f>
        <v>wakibiri:"5%"</v>
      </c>
      <c r="N226" t="str" cm="1">
        <f t="array" aca="1" ref="N226" ca="1">CONCATENATE(INDIRECT(ADDRESS(1,14,1,0,"KeySet"),0),":","""",valueMaker!N226,"""")</f>
        <v>kaninKengenPoint:"有り"</v>
      </c>
      <c r="O226" t="str" cm="1">
        <f t="array" aca="1" ref="O226" ca="1">CONCATENATE(INDIRECT(ADDRESS(1,15,1,0,"KeySet"),0),":","""",valueMaker!O226,"""")</f>
        <v>point:"686"</v>
      </c>
      <c r="P226" t="str" cm="1">
        <f t="array" aca="1" ref="P226" ca="1">CONCATENATE(INDIRECT(ADDRESS(1,16,1,0,"KeySet"),0),":","""",valueMaker!P226,"""")</f>
        <v>bikou:""</v>
      </c>
    </row>
    <row r="227" spans="1:16">
      <c r="A227" t="str" cm="1">
        <f t="array" aca="1" ref="A227" ca="1">CONCATENATE(INDIRECT(ADDRESS(1,1,1,0,"KeySet"),0),":","""",valueMaker!A227,"""")</f>
        <v>kainBangou:"TD10226"</v>
      </c>
      <c r="B227" t="str" cm="1">
        <f t="array" aca="1" ref="B227" ca="1">CONCATENATE(INDIRECT(ADDRESS(1,2,1,0,"KeySet"),0),":","""",valueMaker!B227,"""")</f>
        <v>kainMeiKanji:"馮偉榮"</v>
      </c>
      <c r="C227" t="str" cm="1">
        <f t="array" aca="1" ref="C227" ca="1">CONCATENATE(INDIRECT(ADDRESS(1,3,1,0,"KeySet"),0),":","""",valueMaker!C227,"""")</f>
        <v>kainMeiKana:"ﾌｵﾝ ｳｴｲ ｩﾛｰﾝ"</v>
      </c>
      <c r="D227" t="str" cm="1">
        <f t="array" aca="1" ref="D227" ca="1">CONCATENATE(INDIRECT(ADDRESS(1,4,1,0,"KeySet"),0),":","""",valueMaker!D227,"""")</f>
        <v>kainMeiEn:"Feng Wei Rong"</v>
      </c>
      <c r="E227" t="str" cm="1">
        <f t="array" aca="1" ref="E227" ca="1">CONCATENATE(INDIRECT(ADDRESS(1,5,1,0,"KeySet"),0),":","""",valueMaker!E227,"""")</f>
        <v>kainGender:"男性"</v>
      </c>
      <c r="F227" t="str" cm="1">
        <f t="array" aca="1" ref="F227" ca="1">CONCATENATE(INDIRECT(ADDRESS(1,6,1,0,"KeySet"),0),":","""",TEXT(valueMaker!F227,"yyyy/m/d"),"""")</f>
        <v>tanjyoubi:"1998/11/29"</v>
      </c>
      <c r="G227" t="str" cm="1">
        <f t="array" aca="1" ref="G227" ca="1">CONCATENATE(INDIRECT(ADDRESS(1,6,1,0,"KeySet"),0),":","""",TEXT(valueMaker!G227,"yyyy/m/d"),"""")</f>
        <v>tanjyoubi:"2019/4/6"</v>
      </c>
      <c r="H227" t="str" cm="1">
        <f t="array" aca="1" ref="H227" ca="1">CONCATENATE(INDIRECT(ADDRESS(1,6,1,0,"KeySet"),0),":","""",TEXT(valueMaker!H227,"yyyy/m/d"),"""")</f>
        <v>tanjyoubi:"2022/4/5"</v>
      </c>
      <c r="I227" t="str" cm="1">
        <f t="array" aca="1" ref="I227" ca="1">CONCATENATE(INDIRECT(ADDRESS(1,9,1,0,"KeySet"),0),":","""",valueMaker!I227,"""")</f>
        <v>denwaBangou:"090-5776-2258"</v>
      </c>
      <c r="J227" t="str" cm="1">
        <f t="array" aca="1" ref="J227" ca="1">CONCATENATE(INDIRECT(ADDRESS(1,10,1,0,"KeySet"),0),":","""",valueMaker!J227,"""")</f>
        <v>mailAddress:"Feng_Wei_Rong_43561@outlook.jp.co"</v>
      </c>
      <c r="K227" t="str" cm="1">
        <f t="array" aca="1" ref="K227" ca="1">CONCATENATE(INDIRECT(ADDRESS(1,11,1,0,"KeySet"),0),":","""",valueMaker!K227,"""")</f>
        <v>kaninSyubetu:"高級"</v>
      </c>
      <c r="L227" t="str" cm="1">
        <f t="array" aca="1" ref="L227" ca="1">CONCATENATE(INDIRECT(ADDRESS(1,12,1,0,"KeySet"),0),":","""",valueMaker!L227,"""")</f>
        <v>kaninKengenWB:"-"</v>
      </c>
      <c r="M227" t="str" cm="1">
        <f t="array" aca="1" ref="M227" ca="1">CONCATENATE(INDIRECT(ADDRESS(1,13,1,0,"KeySet"),0),":","""",valueMaker!M227,"""")</f>
        <v>wakibiri:"-"</v>
      </c>
      <c r="N227" t="str" cm="1">
        <f t="array" aca="1" ref="N227" ca="1">CONCATENATE(INDIRECT(ADDRESS(1,14,1,0,"KeySet"),0),":","""",valueMaker!N227,"""")</f>
        <v>kaninKengenPoint:"有り"</v>
      </c>
      <c r="O227" t="str" cm="1">
        <f t="array" aca="1" ref="O227" ca="1">CONCATENATE(INDIRECT(ADDRESS(1,15,1,0,"KeySet"),0),":","""",valueMaker!O227,"""")</f>
        <v>point:"361"</v>
      </c>
      <c r="P227" t="str" cm="1">
        <f t="array" aca="1" ref="P227" ca="1">CONCATENATE(INDIRECT(ADDRESS(1,16,1,0,"KeySet"),0),":","""",valueMaker!P227,"""")</f>
        <v>bikou:""</v>
      </c>
    </row>
    <row r="228" spans="1:16">
      <c r="A228" t="str" cm="1">
        <f t="array" aca="1" ref="A228" ca="1">CONCATENATE(INDIRECT(ADDRESS(1,1,1,0,"KeySet"),0),":","""",valueMaker!A228,"""")</f>
        <v>kainBangou:"TD10227"</v>
      </c>
      <c r="B228" t="str" cm="1">
        <f t="array" aca="1" ref="B228" ca="1">CONCATENATE(INDIRECT(ADDRESS(1,2,1,0,"KeySet"),0),":","""",valueMaker!B228,"""")</f>
        <v>kainMeiKanji:"黃樂真"</v>
      </c>
      <c r="C228" t="str" cm="1">
        <f t="array" aca="1" ref="C228" ca="1">CONCATENATE(INDIRECT(ADDRESS(1,3,1,0,"KeySet"),0),":","""",valueMaker!C228,"""")</f>
        <v>kainMeiKana:"ﾎﾜｰﾝ ﾛｰｧ ｼﾞｪﾝ"</v>
      </c>
      <c r="D228" t="str" cm="1">
        <f t="array" aca="1" ref="D228" ca="1">CONCATENATE(INDIRECT(ADDRESS(1,4,1,0,"KeySet"),0),":","""",valueMaker!D228,"""")</f>
        <v>kainMeiEn:"Huang Le Zhen"</v>
      </c>
      <c r="E228" t="str" cm="1">
        <f t="array" aca="1" ref="E228" ca="1">CONCATENATE(INDIRECT(ADDRESS(1,5,1,0,"KeySet"),0),":","""",valueMaker!E228,"""")</f>
        <v>kainGender:"男性"</v>
      </c>
      <c r="F228" t="str" cm="1">
        <f t="array" aca="1" ref="F228" ca="1">CONCATENATE(INDIRECT(ADDRESS(1,6,1,0,"KeySet"),0),":","""",TEXT(valueMaker!F228,"yyyy/m/d"),"""")</f>
        <v>tanjyoubi:"1982/11/14"</v>
      </c>
      <c r="G228" t="str" cm="1">
        <f t="array" aca="1" ref="G228" ca="1">CONCATENATE(INDIRECT(ADDRESS(1,6,1,0,"KeySet"),0),":","""",TEXT(valueMaker!G228,"yyyy/m/d"),"""")</f>
        <v>tanjyoubi:"2008/10/21"</v>
      </c>
      <c r="H228" t="str" cm="1">
        <f t="array" aca="1" ref="H228" ca="1">CONCATENATE(INDIRECT(ADDRESS(1,6,1,0,"KeySet"),0),":","""",TEXT(valueMaker!H228,"yyyy/m/d"),"""")</f>
        <v>tanjyoubi:"2010/10/21"</v>
      </c>
      <c r="I228" t="str" cm="1">
        <f t="array" aca="1" ref="I228" ca="1">CONCATENATE(INDIRECT(ADDRESS(1,9,1,0,"KeySet"),0),":","""",valueMaker!I228,"""")</f>
        <v>denwaBangou:"080-0719-4619"</v>
      </c>
      <c r="J228" t="str" cm="1">
        <f t="array" aca="1" ref="J228" ca="1">CONCATENATE(INDIRECT(ADDRESS(1,10,1,0,"KeySet"),0),":","""",valueMaker!J228,"""")</f>
        <v>mailAddress:"Huang_Le Zhen_39742@outlook.jp.co"</v>
      </c>
      <c r="K228" t="str" cm="1">
        <f t="array" aca="1" ref="K228" ca="1">CONCATENATE(INDIRECT(ADDRESS(1,11,1,0,"KeySet"),0),":","""",valueMaker!K228,"""")</f>
        <v>kaninSyubetu:"高級"</v>
      </c>
      <c r="L228" t="str" cm="1">
        <f t="array" aca="1" ref="L228" ca="1">CONCATENATE(INDIRECT(ADDRESS(1,12,1,0,"KeySet"),0),":","""",valueMaker!L228,"""")</f>
        <v>kaninKengenWB:"有り"</v>
      </c>
      <c r="M228" t="str" cm="1">
        <f t="array" aca="1" ref="M228" ca="1">CONCATENATE(INDIRECT(ADDRESS(1,13,1,0,"KeySet"),0),":","""",valueMaker!M228,"""")</f>
        <v>wakibiri:"10%"</v>
      </c>
      <c r="N228" t="str" cm="1">
        <f t="array" aca="1" ref="N228" ca="1">CONCATENATE(INDIRECT(ADDRESS(1,14,1,0,"KeySet"),0),":","""",valueMaker!N228,"""")</f>
        <v>kaninKengenPoint:"有り"</v>
      </c>
      <c r="O228" t="str" cm="1">
        <f t="array" aca="1" ref="O228" ca="1">CONCATENATE(INDIRECT(ADDRESS(1,15,1,0,"KeySet"),0),":","""",valueMaker!O228,"""")</f>
        <v>point:"54"</v>
      </c>
      <c r="P228" t="str" cm="1">
        <f t="array" aca="1" ref="P228" ca="1">CONCATENATE(INDIRECT(ADDRESS(1,16,1,0,"KeySet"),0),":","""",valueMaker!P228,"""")</f>
        <v>bikou:""</v>
      </c>
    </row>
    <row r="229" spans="1:16">
      <c r="A229" t="str" cm="1">
        <f t="array" aca="1" ref="A229" ca="1">CONCATENATE(INDIRECT(ADDRESS(1,1,1,0,"KeySet"),0),":","""",valueMaker!A229,"""")</f>
        <v>kainBangou:"TD10228"</v>
      </c>
      <c r="B229" t="str" cm="1">
        <f t="array" aca="1" ref="B229" ca="1">CONCATENATE(INDIRECT(ADDRESS(1,2,1,0,"KeySet"),0),":","""",valueMaker!B229,"""")</f>
        <v>kainMeiKanji:"羅忠謙"</v>
      </c>
      <c r="C229" t="str" cm="1">
        <f t="array" aca="1" ref="C229" ca="1">CONCATENATE(INDIRECT(ADDRESS(1,3,1,0,"KeySet"),0),":","""",valueMaker!C229,"""")</f>
        <v>kainMeiKana:"ﾙｵ ｼﾞｮｰﾝ ﾁｴﾝ"</v>
      </c>
      <c r="D229" t="str" cm="1">
        <f t="array" aca="1" ref="D229" ca="1">CONCATENATE(INDIRECT(ADDRESS(1,4,1,0,"KeySet"),0),":","""",valueMaker!D229,"""")</f>
        <v>kainMeiEn:"Luo Zhong Qian"</v>
      </c>
      <c r="E229" t="str" cm="1">
        <f t="array" aca="1" ref="E229" ca="1">CONCATENATE(INDIRECT(ADDRESS(1,5,1,0,"KeySet"),0),":","""",valueMaker!E229,"""")</f>
        <v>kainGender:"男性"</v>
      </c>
      <c r="F229" t="str" cm="1">
        <f t="array" aca="1" ref="F229" ca="1">CONCATENATE(INDIRECT(ADDRESS(1,6,1,0,"KeySet"),0),":","""",TEXT(valueMaker!F229,"yyyy/m/d"),"""")</f>
        <v>tanjyoubi:"1970/11/24"</v>
      </c>
      <c r="G229" t="str" cm="1">
        <f t="array" aca="1" ref="G229" ca="1">CONCATENATE(INDIRECT(ADDRESS(1,6,1,0,"KeySet"),0),":","""",TEXT(valueMaker!G229,"yyyy/m/d"),"""")</f>
        <v>tanjyoubi:"2006/3/5"</v>
      </c>
      <c r="H229" t="str" cm="1">
        <f t="array" aca="1" ref="H229" ca="1">CONCATENATE(INDIRECT(ADDRESS(1,6,1,0,"KeySet"),0),":","""",TEXT(valueMaker!H229,"yyyy/m/d"),"""")</f>
        <v>tanjyoubi:"2008/3/4"</v>
      </c>
      <c r="I229" t="str" cm="1">
        <f t="array" aca="1" ref="I229" ca="1">CONCATENATE(INDIRECT(ADDRESS(1,9,1,0,"KeySet"),0),":","""",valueMaker!I229,"""")</f>
        <v>denwaBangou:"080-0254-5401"</v>
      </c>
      <c r="J229" t="str" cm="1">
        <f t="array" aca="1" ref="J229" ca="1">CONCATENATE(INDIRECT(ADDRESS(1,10,1,0,"KeySet"),0),":","""",valueMaker!J229,"""")</f>
        <v>mailAddress:"Luo_Zhong_Qian_38781@outlook.jp.co"</v>
      </c>
      <c r="K229" t="str" cm="1">
        <f t="array" aca="1" ref="K229" ca="1">CONCATENATE(INDIRECT(ADDRESS(1,11,1,0,"KeySet"),0),":","""",valueMaker!K229,"""")</f>
        <v>kaninSyubetu:"高級"</v>
      </c>
      <c r="L229" t="str" cm="1">
        <f t="array" aca="1" ref="L229" ca="1">CONCATENATE(INDIRECT(ADDRESS(1,12,1,0,"KeySet"),0),":","""",valueMaker!L229,"""")</f>
        <v>kaninKengenWB:"-"</v>
      </c>
      <c r="M229" t="str" cm="1">
        <f t="array" aca="1" ref="M229" ca="1">CONCATENATE(INDIRECT(ADDRESS(1,13,1,0,"KeySet"),0),":","""",valueMaker!M229,"""")</f>
        <v>wakibiri:"-"</v>
      </c>
      <c r="N229" t="str" cm="1">
        <f t="array" aca="1" ref="N229" ca="1">CONCATENATE(INDIRECT(ADDRESS(1,14,1,0,"KeySet"),0),":","""",valueMaker!N229,"""")</f>
        <v>kaninKengenPoint:"有り"</v>
      </c>
      <c r="O229" t="str" cm="1">
        <f t="array" aca="1" ref="O229" ca="1">CONCATENATE(INDIRECT(ADDRESS(1,15,1,0,"KeySet"),0),":","""",valueMaker!O229,"""")</f>
        <v>point:"978"</v>
      </c>
      <c r="P229" t="str" cm="1">
        <f t="array" aca="1" ref="P229" ca="1">CONCATENATE(INDIRECT(ADDRESS(1,16,1,0,"KeySet"),0),":","""",valueMaker!P229,"""")</f>
        <v>bikou:""</v>
      </c>
    </row>
    <row r="230" spans="1:16">
      <c r="A230" t="str" cm="1">
        <f t="array" aca="1" ref="A230" ca="1">CONCATENATE(INDIRECT(ADDRESS(1,1,1,0,"KeySet"),0),":","""",valueMaker!A230,"""")</f>
        <v>kainBangou:"TD10229"</v>
      </c>
      <c r="B230" t="str" cm="1">
        <f t="array" aca="1" ref="B230" ca="1">CONCATENATE(INDIRECT(ADDRESS(1,2,1,0,"KeySet"),0),":","""",valueMaker!B230,"""")</f>
        <v>kainMeiKanji:"劉用卓"</v>
      </c>
      <c r="C230" t="str" cm="1">
        <f t="array" aca="1" ref="C230" ca="1">CONCATENATE(INDIRECT(ADDRESS(1,3,1,0,"KeySet"),0),":","""",valueMaker!C230,"""")</f>
        <v>kainMeiKana:"ﾘｳ ﾖｰﾝ ｼﾞｭｵ"</v>
      </c>
      <c r="D230" t="str" cm="1">
        <f t="array" aca="1" ref="D230" ca="1">CONCATENATE(INDIRECT(ADDRESS(1,4,1,0,"KeySet"),0),":","""",valueMaker!D230,"""")</f>
        <v>kainMeiEn:"Liu Yong Zhuo"</v>
      </c>
      <c r="E230" t="str" cm="1">
        <f t="array" aca="1" ref="E230" ca="1">CONCATENATE(INDIRECT(ADDRESS(1,5,1,0,"KeySet"),0),":","""",valueMaker!E230,"""")</f>
        <v>kainGender:"女性"</v>
      </c>
      <c r="F230" t="str" cm="1">
        <f t="array" aca="1" ref="F230" ca="1">CONCATENATE(INDIRECT(ADDRESS(1,6,1,0,"KeySet"),0),":","""",TEXT(valueMaker!F230,"yyyy/m/d"),"""")</f>
        <v>tanjyoubi:"1967/6/4"</v>
      </c>
      <c r="G230" t="str" cm="1">
        <f t="array" aca="1" ref="G230" ca="1">CONCATENATE(INDIRECT(ADDRESS(1,6,1,0,"KeySet"),0),":","""",TEXT(valueMaker!G230,"yyyy/m/d"),"""")</f>
        <v>tanjyoubi:"1995/4/3"</v>
      </c>
      <c r="H230" t="str" cm="1">
        <f t="array" aca="1" ref="H230" ca="1">CONCATENATE(INDIRECT(ADDRESS(1,6,1,0,"KeySet"),0),":","""",TEXT(valueMaker!H230,"yyyy/m/d"),"""")</f>
        <v>tanjyoubi:"1997/4/2"</v>
      </c>
      <c r="I230" t="str" cm="1">
        <f t="array" aca="1" ref="I230" ca="1">CONCATENATE(INDIRECT(ADDRESS(1,9,1,0,"KeySet"),0),":","""",valueMaker!I230,"""")</f>
        <v>denwaBangou:"090-2216-5604"</v>
      </c>
      <c r="J230" t="str" cm="1">
        <f t="array" aca="1" ref="J230" ca="1">CONCATENATE(INDIRECT(ADDRESS(1,10,1,0,"KeySet"),0),":","""",valueMaker!J230,"""")</f>
        <v>mailAddress:"Liu_Yong_Zhuo_34792@outlook.jp.co"</v>
      </c>
      <c r="K230" t="str" cm="1">
        <f t="array" aca="1" ref="K230" ca="1">CONCATENATE(INDIRECT(ADDRESS(1,11,1,0,"KeySet"),0),":","""",valueMaker!K230,"""")</f>
        <v>kaninSyubetu:"普通"</v>
      </c>
      <c r="L230" t="str" cm="1">
        <f t="array" aca="1" ref="L230" ca="1">CONCATENATE(INDIRECT(ADDRESS(1,12,1,0,"KeySet"),0),":","""",valueMaker!L230,"""")</f>
        <v>kaninKengenWB:"有り"</v>
      </c>
      <c r="M230" t="str" cm="1">
        <f t="array" aca="1" ref="M230" ca="1">CONCATENATE(INDIRECT(ADDRESS(1,13,1,0,"KeySet"),0),":","""",valueMaker!M230,"""")</f>
        <v>wakibiri:"5%"</v>
      </c>
      <c r="N230" t="str" cm="1">
        <f t="array" aca="1" ref="N230" ca="1">CONCATENATE(INDIRECT(ADDRESS(1,14,1,0,"KeySet"),0),":","""",valueMaker!N230,"""")</f>
        <v>kaninKengenPoint:"有り"</v>
      </c>
      <c r="O230" t="str" cm="1">
        <f t="array" aca="1" ref="O230" ca="1">CONCATENATE(INDIRECT(ADDRESS(1,15,1,0,"KeySet"),0),":","""",valueMaker!O230,"""")</f>
        <v>point:"974"</v>
      </c>
      <c r="P230" t="str" cm="1">
        <f t="array" aca="1" ref="P230" ca="1">CONCATENATE(INDIRECT(ADDRESS(1,16,1,0,"KeySet"),0),":","""",valueMaker!P230,"""")</f>
        <v>bikou:""</v>
      </c>
    </row>
    <row r="231" spans="1:16">
      <c r="A231" t="str" cm="1">
        <f t="array" aca="1" ref="A231" ca="1">CONCATENATE(INDIRECT(ADDRESS(1,1,1,0,"KeySet"),0),":","""",valueMaker!A231,"""")</f>
        <v>kainBangou:"TD10230"</v>
      </c>
      <c r="B231" t="str" cm="1">
        <f t="array" aca="1" ref="B231" ca="1">CONCATENATE(INDIRECT(ADDRESS(1,2,1,0,"KeySet"),0),":","""",valueMaker!B231,"""")</f>
        <v>kainMeiKanji:"王略連"</v>
      </c>
      <c r="C231" t="str" cm="1">
        <f t="array" aca="1" ref="C231" ca="1">CONCATENATE(INDIRECT(ADDRESS(1,3,1,0,"KeySet"),0),":","""",valueMaker!C231,"""")</f>
        <v>kainMeiKana:"ﾜｰﾝ lüe ﾘｴﾝ"</v>
      </c>
      <c r="D231" t="str" cm="1">
        <f t="array" aca="1" ref="D231" ca="1">CONCATENATE(INDIRECT(ADDRESS(1,4,1,0,"KeySet"),0),":","""",valueMaker!D231,"""")</f>
        <v>kainMeiEn:"Wang Lüe Lian"</v>
      </c>
      <c r="E231" t="str" cm="1">
        <f t="array" aca="1" ref="E231" ca="1">CONCATENATE(INDIRECT(ADDRESS(1,5,1,0,"KeySet"),0),":","""",valueMaker!E231,"""")</f>
        <v>kainGender:"女性"</v>
      </c>
      <c r="F231" t="str" cm="1">
        <f t="array" aca="1" ref="F231" ca="1">CONCATENATE(INDIRECT(ADDRESS(1,6,1,0,"KeySet"),0),":","""",TEXT(valueMaker!F231,"yyyy/m/d"),"""")</f>
        <v>tanjyoubi:"1960/5/19"</v>
      </c>
      <c r="G231" t="str" cm="1">
        <f t="array" aca="1" ref="G231" ca="1">CONCATENATE(INDIRECT(ADDRESS(1,6,1,0,"KeySet"),0),":","""",TEXT(valueMaker!G231,"yyyy/m/d"),"""")</f>
        <v>tanjyoubi:"2010/4/22"</v>
      </c>
      <c r="H231" t="str" cm="1">
        <f t="array" aca="1" ref="H231" ca="1">CONCATENATE(INDIRECT(ADDRESS(1,6,1,0,"KeySet"),0),":","""",TEXT(valueMaker!H231,"yyyy/m/d"),"""")</f>
        <v>tanjyoubi:"2011/4/22"</v>
      </c>
      <c r="I231" t="str" cm="1">
        <f t="array" aca="1" ref="I231" ca="1">CONCATENATE(INDIRECT(ADDRESS(1,9,1,0,"KeySet"),0),":","""",valueMaker!I231,"""")</f>
        <v>denwaBangou:"090-4058-0082"</v>
      </c>
      <c r="J231" t="str" cm="1">
        <f t="array" aca="1" ref="J231" ca="1">CONCATENATE(INDIRECT(ADDRESS(1,10,1,0,"KeySet"),0),":","""",valueMaker!J231,"""")</f>
        <v>mailAddress:"Wang_Lüe_Lian_40290@outlook.jp.co"</v>
      </c>
      <c r="K231" t="str" cm="1">
        <f t="array" aca="1" ref="K231" ca="1">CONCATENATE(INDIRECT(ADDRESS(1,11,1,0,"KeySet"),0),":","""",valueMaker!K231,"""")</f>
        <v>kaninSyubetu:"高級"</v>
      </c>
      <c r="L231" t="str" cm="1">
        <f t="array" aca="1" ref="L231" ca="1">CONCATENATE(INDIRECT(ADDRESS(1,12,1,0,"KeySet"),0),":","""",valueMaker!L231,"""")</f>
        <v>kaninKengenWB:"有り"</v>
      </c>
      <c r="M231" t="str" cm="1">
        <f t="array" aca="1" ref="M231" ca="1">CONCATENATE(INDIRECT(ADDRESS(1,13,1,0,"KeySet"),0),":","""",valueMaker!M231,"""")</f>
        <v>wakibiri:"10%"</v>
      </c>
      <c r="N231" t="str" cm="1">
        <f t="array" aca="1" ref="N231" ca="1">CONCATENATE(INDIRECT(ADDRESS(1,14,1,0,"KeySet"),0),":","""",valueMaker!N231,"""")</f>
        <v>kaninKengenPoint:"-"</v>
      </c>
      <c r="O231" t="str" cm="1">
        <f t="array" aca="1" ref="O231" ca="1">CONCATENATE(INDIRECT(ADDRESS(1,15,1,0,"KeySet"),0),":","""",valueMaker!O231,"""")</f>
        <v>point:"-"</v>
      </c>
      <c r="P231" t="str" cm="1">
        <f t="array" aca="1" ref="P231" ca="1">CONCATENATE(INDIRECT(ADDRESS(1,16,1,0,"KeySet"),0),":","""",valueMaker!P231,"""")</f>
        <v>bikou:""</v>
      </c>
    </row>
    <row r="232" spans="1:16">
      <c r="A232" t="str" cm="1">
        <f t="array" aca="1" ref="A232" ca="1">CONCATENATE(INDIRECT(ADDRESS(1,1,1,0,"KeySet"),0),":","""",valueMaker!A232,"""")</f>
        <v>kainBangou:"TD10231"</v>
      </c>
      <c r="B232" t="str" cm="1">
        <f t="array" aca="1" ref="B232" ca="1">CONCATENATE(INDIRECT(ADDRESS(1,2,1,0,"KeySet"),0),":","""",valueMaker!B232,"""")</f>
        <v>kainMeiKanji:"郭道頻"</v>
      </c>
      <c r="C232" t="str" cm="1">
        <f t="array" aca="1" ref="C232" ca="1">CONCATENATE(INDIRECT(ADDRESS(1,3,1,0,"KeySet"),0),":","""",valueMaker!C232,"""")</f>
        <v>kainMeiKana:"ｸﾞｵ ﾀﾞｵ ﾋﾟﾝ"</v>
      </c>
      <c r="D232" t="str" cm="1">
        <f t="array" aca="1" ref="D232" ca="1">CONCATENATE(INDIRECT(ADDRESS(1,4,1,0,"KeySet"),0),":","""",valueMaker!D232,"""")</f>
        <v>kainMeiEn:"Guo Dao Pin"</v>
      </c>
      <c r="E232" t="str" cm="1">
        <f t="array" aca="1" ref="E232" ca="1">CONCATENATE(INDIRECT(ADDRESS(1,5,1,0,"KeySet"),0),":","""",valueMaker!E232,"""")</f>
        <v>kainGender:"女性"</v>
      </c>
      <c r="F232" t="str" cm="1">
        <f t="array" aca="1" ref="F232" ca="1">CONCATENATE(INDIRECT(ADDRESS(1,6,1,0,"KeySet"),0),":","""",TEXT(valueMaker!F232,"yyyy/m/d"),"""")</f>
        <v>tanjyoubi:"1973/12/27"</v>
      </c>
      <c r="G232" t="str" cm="1">
        <f t="array" aca="1" ref="G232" ca="1">CONCATENATE(INDIRECT(ADDRESS(1,6,1,0,"KeySet"),0),":","""",TEXT(valueMaker!G232,"yyyy/m/d"),"""")</f>
        <v>tanjyoubi:"2005/6/15"</v>
      </c>
      <c r="H232" t="str" cm="1">
        <f t="array" aca="1" ref="H232" ca="1">CONCATENATE(INDIRECT(ADDRESS(1,6,1,0,"KeySet"),0),":","""",TEXT(valueMaker!H232,"yyyy/m/d"),"""")</f>
        <v>tanjyoubi:"2008/6/14"</v>
      </c>
      <c r="I232" t="str" cm="1">
        <f t="array" aca="1" ref="I232" ca="1">CONCATENATE(INDIRECT(ADDRESS(1,9,1,0,"KeySet"),0),":","""",valueMaker!I232,"""")</f>
        <v>denwaBangou:"090-5970-6816"</v>
      </c>
      <c r="J232" t="str" cm="1">
        <f t="array" aca="1" ref="J232" ca="1">CONCATENATE(INDIRECT(ADDRESS(1,10,1,0,"KeySet"),0),":","""",valueMaker!J232,"""")</f>
        <v>mailAddress:"Guo_Dao_Pin_38518@outlook.jp.co"</v>
      </c>
      <c r="K232" t="str" cm="1">
        <f t="array" aca="1" ref="K232" ca="1">CONCATENATE(INDIRECT(ADDRESS(1,11,1,0,"KeySet"),0),":","""",valueMaker!K232,"""")</f>
        <v>kaninSyubetu:"高級"</v>
      </c>
      <c r="L232" t="str" cm="1">
        <f t="array" aca="1" ref="L232" ca="1">CONCATENATE(INDIRECT(ADDRESS(1,12,1,0,"KeySet"),0),":","""",valueMaker!L232,"""")</f>
        <v>kaninKengenWB:"-"</v>
      </c>
      <c r="M232" t="str" cm="1">
        <f t="array" aca="1" ref="M232" ca="1">CONCATENATE(INDIRECT(ADDRESS(1,13,1,0,"KeySet"),0),":","""",valueMaker!M232,"""")</f>
        <v>wakibiri:"-"</v>
      </c>
      <c r="N232" t="str" cm="1">
        <f t="array" aca="1" ref="N232" ca="1">CONCATENATE(INDIRECT(ADDRESS(1,14,1,0,"KeySet"),0),":","""",valueMaker!N232,"""")</f>
        <v>kaninKengenPoint:"-"</v>
      </c>
      <c r="O232" t="str" cm="1">
        <f t="array" aca="1" ref="O232" ca="1">CONCATENATE(INDIRECT(ADDRESS(1,15,1,0,"KeySet"),0),":","""",valueMaker!O232,"""")</f>
        <v>point:"-"</v>
      </c>
      <c r="P232" t="str" cm="1">
        <f t="array" aca="1" ref="P232" ca="1">CONCATENATE(INDIRECT(ADDRESS(1,16,1,0,"KeySet"),0),":","""",valueMaker!P232,"""")</f>
        <v>bikou:""</v>
      </c>
    </row>
    <row r="233" spans="1:16">
      <c r="A233" t="str" cm="1">
        <f t="array" aca="1" ref="A233" ca="1">CONCATENATE(INDIRECT(ADDRESS(1,1,1,0,"KeySet"),0),":","""",valueMaker!A233,"""")</f>
        <v>kainBangou:"TD10232"</v>
      </c>
      <c r="B233" t="str" cm="1">
        <f t="array" aca="1" ref="B233" ca="1">CONCATENATE(INDIRECT(ADDRESS(1,2,1,0,"KeySet"),0),":","""",valueMaker!B233,"""")</f>
        <v>kainMeiKanji:"孫領俊"</v>
      </c>
      <c r="C233" t="str" cm="1">
        <f t="array" aca="1" ref="C233" ca="1">CONCATENATE(INDIRECT(ADDRESS(1,3,1,0,"KeySet"),0),":","""",valueMaker!C233,"""")</f>
        <v>kainMeiKana:"ｽｩﾝ ﾘｰﾝ ｼﾞｭｲﾝ"</v>
      </c>
      <c r="D233" t="str" cm="1">
        <f t="array" aca="1" ref="D233" ca="1">CONCATENATE(INDIRECT(ADDRESS(1,4,1,0,"KeySet"),0),":","""",valueMaker!D233,"""")</f>
        <v>kainMeiEn:"Sun Ling Jun"</v>
      </c>
      <c r="E233" t="str" cm="1">
        <f t="array" aca="1" ref="E233" ca="1">CONCATENATE(INDIRECT(ADDRESS(1,5,1,0,"KeySet"),0),":","""",valueMaker!E233,"""")</f>
        <v>kainGender:"女性"</v>
      </c>
      <c r="F233" t="str" cm="1">
        <f t="array" aca="1" ref="F233" ca="1">CONCATENATE(INDIRECT(ADDRESS(1,6,1,0,"KeySet"),0),":","""",TEXT(valueMaker!F233,"yyyy/m/d"),"""")</f>
        <v>tanjyoubi:"1977/3/10"</v>
      </c>
      <c r="G233" t="str" cm="1">
        <f t="array" aca="1" ref="G233" ca="1">CONCATENATE(INDIRECT(ADDRESS(1,6,1,0,"KeySet"),0),":","""",TEXT(valueMaker!G233,"yyyy/m/d"),"""")</f>
        <v>tanjyoubi:"2012/3/28"</v>
      </c>
      <c r="H233" t="str" cm="1">
        <f t="array" aca="1" ref="H233" ca="1">CONCATENATE(INDIRECT(ADDRESS(1,6,1,0,"KeySet"),0),":","""",TEXT(valueMaker!H233,"yyyy/m/d"),"""")</f>
        <v>tanjyoubi:"2013/3/28"</v>
      </c>
      <c r="I233" t="str" cm="1">
        <f t="array" aca="1" ref="I233" ca="1">CONCATENATE(INDIRECT(ADDRESS(1,9,1,0,"KeySet"),0),":","""",valueMaker!I233,"""")</f>
        <v>denwaBangou:"080-4831-0547"</v>
      </c>
      <c r="J233" t="str" cm="1">
        <f t="array" aca="1" ref="J233" ca="1">CONCATENATE(INDIRECT(ADDRESS(1,10,1,0,"KeySet"),0),":","""",valueMaker!J233,"""")</f>
        <v>mailAddress:"Sun_Ling_Jun_40996@outlook.jp.co"</v>
      </c>
      <c r="K233" t="str" cm="1">
        <f t="array" aca="1" ref="K233" ca="1">CONCATENATE(INDIRECT(ADDRESS(1,11,1,0,"KeySet"),0),":","""",valueMaker!K233,"""")</f>
        <v>kaninSyubetu:"普通"</v>
      </c>
      <c r="L233" t="str" cm="1">
        <f t="array" aca="1" ref="L233" ca="1">CONCATENATE(INDIRECT(ADDRESS(1,12,1,0,"KeySet"),0),":","""",valueMaker!L233,"""")</f>
        <v>kaninKengenWB:"-"</v>
      </c>
      <c r="M233" t="str" cm="1">
        <f t="array" aca="1" ref="M233" ca="1">CONCATENATE(INDIRECT(ADDRESS(1,13,1,0,"KeySet"),0),":","""",valueMaker!M233,"""")</f>
        <v>wakibiri:"-"</v>
      </c>
      <c r="N233" t="str" cm="1">
        <f t="array" aca="1" ref="N233" ca="1">CONCATENATE(INDIRECT(ADDRESS(1,14,1,0,"KeySet"),0),":","""",valueMaker!N233,"""")</f>
        <v>kaninKengenPoint:"有り"</v>
      </c>
      <c r="O233" t="str" cm="1">
        <f t="array" aca="1" ref="O233" ca="1">CONCATENATE(INDIRECT(ADDRESS(1,15,1,0,"KeySet"),0),":","""",valueMaker!O233,"""")</f>
        <v>point:"226"</v>
      </c>
      <c r="P233" t="str" cm="1">
        <f t="array" aca="1" ref="P233" ca="1">CONCATENATE(INDIRECT(ADDRESS(1,16,1,0,"KeySet"),0),":","""",valueMaker!P233,"""")</f>
        <v>bikou:""</v>
      </c>
    </row>
    <row r="234" spans="1:16">
      <c r="A234" t="str" cm="1">
        <f t="array" aca="1" ref="A234" ca="1">CONCATENATE(INDIRECT(ADDRESS(1,1,1,0,"KeySet"),0),":","""",valueMaker!A234,"""")</f>
        <v>kainBangou:"TD10233"</v>
      </c>
      <c r="B234" t="str" cm="1">
        <f t="array" aca="1" ref="B234" ca="1">CONCATENATE(INDIRECT(ADDRESS(1,2,1,0,"KeySet"),0),":","""",valueMaker!B234,"""")</f>
        <v>kainMeiKanji:"林貴友"</v>
      </c>
      <c r="C234" t="str" cm="1">
        <f t="array" aca="1" ref="C234" ca="1">CONCATENATE(INDIRECT(ADDRESS(1,3,1,0,"KeySet"),0),":","""",valueMaker!C234,"""")</f>
        <v>kainMeiKana:"ﾘﾝ ｸﾞｲ ﾖｳ"</v>
      </c>
      <c r="D234" t="str" cm="1">
        <f t="array" aca="1" ref="D234" ca="1">CONCATENATE(INDIRECT(ADDRESS(1,4,1,0,"KeySet"),0),":","""",valueMaker!D234,"""")</f>
        <v>kainMeiEn:"Lin Gui You"</v>
      </c>
      <c r="E234" t="str" cm="1">
        <f t="array" aca="1" ref="E234" ca="1">CONCATENATE(INDIRECT(ADDRESS(1,5,1,0,"KeySet"),0),":","""",valueMaker!E234,"""")</f>
        <v>kainGender:"男性"</v>
      </c>
      <c r="F234" t="str" cm="1">
        <f t="array" aca="1" ref="F234" ca="1">CONCATENATE(INDIRECT(ADDRESS(1,6,1,0,"KeySet"),0),":","""",TEXT(valueMaker!F234,"yyyy/m/d"),"""")</f>
        <v>tanjyoubi:"1991/10/7"</v>
      </c>
      <c r="G234" t="str" cm="1">
        <f t="array" aca="1" ref="G234" ca="1">CONCATENATE(INDIRECT(ADDRESS(1,6,1,0,"KeySet"),0),":","""",TEXT(valueMaker!G234,"yyyy/m/d"),"""")</f>
        <v>tanjyoubi:"2012/5/1"</v>
      </c>
      <c r="H234" t="str" cm="1">
        <f t="array" aca="1" ref="H234" ca="1">CONCATENATE(INDIRECT(ADDRESS(1,6,1,0,"KeySet"),0),":","""",TEXT(valueMaker!H234,"yyyy/m/d"),"""")</f>
        <v>tanjyoubi:"2013/5/1"</v>
      </c>
      <c r="I234" t="str" cm="1">
        <f t="array" aca="1" ref="I234" ca="1">CONCATENATE(INDIRECT(ADDRESS(1,9,1,0,"KeySet"),0),":","""",valueMaker!I234,"""")</f>
        <v>denwaBangou:"080-3946-6925"</v>
      </c>
      <c r="J234" t="str" cm="1">
        <f t="array" aca="1" ref="J234" ca="1">CONCATENATE(INDIRECT(ADDRESS(1,10,1,0,"KeySet"),0),":","""",valueMaker!J234,"""")</f>
        <v>mailAddress:"Lin_Gui_You_41030@outlook.jp.co"</v>
      </c>
      <c r="K234" t="str" cm="1">
        <f t="array" aca="1" ref="K234" ca="1">CONCATENATE(INDIRECT(ADDRESS(1,11,1,0,"KeySet"),0),":","""",valueMaker!K234,"""")</f>
        <v>kaninSyubetu:"普通"</v>
      </c>
      <c r="L234" t="str" cm="1">
        <f t="array" aca="1" ref="L234" ca="1">CONCATENATE(INDIRECT(ADDRESS(1,12,1,0,"KeySet"),0),":","""",valueMaker!L234,"""")</f>
        <v>kaninKengenWB:"有り"</v>
      </c>
      <c r="M234" t="str" cm="1">
        <f t="array" aca="1" ref="M234" ca="1">CONCATENATE(INDIRECT(ADDRESS(1,13,1,0,"KeySet"),0),":","""",valueMaker!M234,"""")</f>
        <v>wakibiri:"5%"</v>
      </c>
      <c r="N234" t="str" cm="1">
        <f t="array" aca="1" ref="N234" ca="1">CONCATENATE(INDIRECT(ADDRESS(1,14,1,0,"KeySet"),0),":","""",valueMaker!N234,"""")</f>
        <v>kaninKengenPoint:"-"</v>
      </c>
      <c r="O234" t="str" cm="1">
        <f t="array" aca="1" ref="O234" ca="1">CONCATENATE(INDIRECT(ADDRESS(1,15,1,0,"KeySet"),0),":","""",valueMaker!O234,"""")</f>
        <v>point:"-"</v>
      </c>
      <c r="P234" t="str" cm="1">
        <f t="array" aca="1" ref="P234" ca="1">CONCATENATE(INDIRECT(ADDRESS(1,16,1,0,"KeySet"),0),":","""",valueMaker!P234,"""")</f>
        <v>bikou:""</v>
      </c>
    </row>
    <row r="235" spans="1:16">
      <c r="A235" t="str" cm="1">
        <f t="array" aca="1" ref="A235" ca="1">CONCATENATE(INDIRECT(ADDRESS(1,1,1,0,"KeySet"),0),":","""",valueMaker!A235,"""")</f>
        <v>kainBangou:"TD10234"</v>
      </c>
      <c r="B235" t="str" cm="1">
        <f t="array" aca="1" ref="B235" ca="1">CONCATENATE(INDIRECT(ADDRESS(1,2,1,0,"KeySet"),0),":","""",valueMaker!B235,"""")</f>
        <v>kainMeiKanji:"唐沃誼"</v>
      </c>
      <c r="C235" t="str" cm="1">
        <f t="array" aca="1" ref="C235" ca="1">CONCATENATE(INDIRECT(ADDRESS(1,3,1,0,"KeySet"),0),":","""",valueMaker!C235,"""")</f>
        <v>kainMeiKana:"ﾀｰﾝ ｳｫ ｲｰ"</v>
      </c>
      <c r="D235" t="str" cm="1">
        <f t="array" aca="1" ref="D235" ca="1">CONCATENATE(INDIRECT(ADDRESS(1,4,1,0,"KeySet"),0),":","""",valueMaker!D235,"""")</f>
        <v>kainMeiEn:"Tang Wo Yi"</v>
      </c>
      <c r="E235" t="str" cm="1">
        <f t="array" aca="1" ref="E235" ca="1">CONCATENATE(INDIRECT(ADDRESS(1,5,1,0,"KeySet"),0),":","""",valueMaker!E235,"""")</f>
        <v>kainGender:"男性"</v>
      </c>
      <c r="F235" t="str" cm="1">
        <f t="array" aca="1" ref="F235" ca="1">CONCATENATE(INDIRECT(ADDRESS(1,6,1,0,"KeySet"),0),":","""",TEXT(valueMaker!F235,"yyyy/m/d"),"""")</f>
        <v>tanjyoubi:"1986/8/18"</v>
      </c>
      <c r="G235" t="str" cm="1">
        <f t="array" aca="1" ref="G235" ca="1">CONCATENATE(INDIRECT(ADDRESS(1,6,1,0,"KeySet"),0),":","""",TEXT(valueMaker!G235,"yyyy/m/d"),"""")</f>
        <v>tanjyoubi:"2024/5/25"</v>
      </c>
      <c r="H235" t="str" cm="1">
        <f t="array" aca="1" ref="H235" ca="1">CONCATENATE(INDIRECT(ADDRESS(1,6,1,0,"KeySet"),0),":","""",TEXT(valueMaker!H235,"yyyy/m/d"),"""")</f>
        <v>tanjyoubi:"2025/5/25"</v>
      </c>
      <c r="I235" t="str" cm="1">
        <f t="array" aca="1" ref="I235" ca="1">CONCATENATE(INDIRECT(ADDRESS(1,9,1,0,"KeySet"),0),":","""",valueMaker!I235,"""")</f>
        <v>denwaBangou:"080-5268-1116"</v>
      </c>
      <c r="J235" t="str" cm="1">
        <f t="array" aca="1" ref="J235" ca="1">CONCATENATE(INDIRECT(ADDRESS(1,10,1,0,"KeySet"),0),":","""",valueMaker!J235,"""")</f>
        <v>mailAddress:"Tang_Wo_Yi_45437@outlook.jp.co"</v>
      </c>
      <c r="K235" t="str" cm="1">
        <f t="array" aca="1" ref="K235" ca="1">CONCATENATE(INDIRECT(ADDRESS(1,11,1,0,"KeySet"),0),":","""",valueMaker!K235,"""")</f>
        <v>kaninSyubetu:"普通"</v>
      </c>
      <c r="L235" t="str" cm="1">
        <f t="array" aca="1" ref="L235" ca="1">CONCATENATE(INDIRECT(ADDRESS(1,12,1,0,"KeySet"),0),":","""",valueMaker!L235,"""")</f>
        <v>kaninKengenWB:"有り"</v>
      </c>
      <c r="M235" t="str" cm="1">
        <f t="array" aca="1" ref="M235" ca="1">CONCATENATE(INDIRECT(ADDRESS(1,13,1,0,"KeySet"),0),":","""",valueMaker!M235,"""")</f>
        <v>wakibiri:"5%"</v>
      </c>
      <c r="N235" t="str" cm="1">
        <f t="array" aca="1" ref="N235" ca="1">CONCATENATE(INDIRECT(ADDRESS(1,14,1,0,"KeySet"),0),":","""",valueMaker!N235,"""")</f>
        <v>kaninKengenPoint:"有り"</v>
      </c>
      <c r="O235" t="str" cm="1">
        <f t="array" aca="1" ref="O235" ca="1">CONCATENATE(INDIRECT(ADDRESS(1,15,1,0,"KeySet"),0),":","""",valueMaker!O235,"""")</f>
        <v>point:"458"</v>
      </c>
      <c r="P235" t="str" cm="1">
        <f t="array" aca="1" ref="P235" ca="1">CONCATENATE(INDIRECT(ADDRESS(1,16,1,0,"KeySet"),0),":","""",valueMaker!P235,"""")</f>
        <v>bikou:""</v>
      </c>
    </row>
    <row r="236" spans="1:16">
      <c r="A236" t="str" cm="1">
        <f t="array" aca="1" ref="A236" ca="1">CONCATENATE(INDIRECT(ADDRESS(1,1,1,0,"KeySet"),0),":","""",valueMaker!A236,"""")</f>
        <v>kainBangou:"TD10235"</v>
      </c>
      <c r="B236" t="str" cm="1">
        <f t="array" aca="1" ref="B236" ca="1">CONCATENATE(INDIRECT(ADDRESS(1,2,1,0,"KeySet"),0),":","""",valueMaker!B236,"""")</f>
        <v>kainMeiKanji:"朱聖枝"</v>
      </c>
      <c r="C236" t="str" cm="1">
        <f t="array" aca="1" ref="C236" ca="1">CONCATENATE(INDIRECT(ADDRESS(1,3,1,0,"KeySet"),0),":","""",valueMaker!C236,"""")</f>
        <v>kainMeiKana:"ｼﾞｭｳ ｼｭﾖﾝ ｼﾞｰ"</v>
      </c>
      <c r="D236" t="str" cm="1">
        <f t="array" aca="1" ref="D236" ca="1">CONCATENATE(INDIRECT(ADDRESS(1,4,1,0,"KeySet"),0),":","""",valueMaker!D236,"""")</f>
        <v>kainMeiEn:"Zhu Sheng Zhi"</v>
      </c>
      <c r="E236" t="str" cm="1">
        <f t="array" aca="1" ref="E236" ca="1">CONCATENATE(INDIRECT(ADDRESS(1,5,1,0,"KeySet"),0),":","""",valueMaker!E236,"""")</f>
        <v>kainGender:"女性"</v>
      </c>
      <c r="F236" t="str" cm="1">
        <f t="array" aca="1" ref="F236" ca="1">CONCATENATE(INDIRECT(ADDRESS(1,6,1,0,"KeySet"),0),":","""",TEXT(valueMaker!F236,"yyyy/m/d"),"""")</f>
        <v>tanjyoubi:"1965/3/8"</v>
      </c>
      <c r="G236" t="str" cm="1">
        <f t="array" aca="1" ref="G236" ca="1">CONCATENATE(INDIRECT(ADDRESS(1,6,1,0,"KeySet"),0),":","""",TEXT(valueMaker!G236,"yyyy/m/d"),"""")</f>
        <v>tanjyoubi:"2010/2/17"</v>
      </c>
      <c r="H236" t="str" cm="1">
        <f t="array" aca="1" ref="H236" ca="1">CONCATENATE(INDIRECT(ADDRESS(1,6,1,0,"KeySet"),0),":","""",TEXT(valueMaker!H236,"yyyy/m/d"),"""")</f>
        <v>tanjyoubi:"2012/2/17"</v>
      </c>
      <c r="I236" t="str" cm="1">
        <f t="array" aca="1" ref="I236" ca="1">CONCATENATE(INDIRECT(ADDRESS(1,9,1,0,"KeySet"),0),":","""",valueMaker!I236,"""")</f>
        <v>denwaBangou:"080-4781-0436"</v>
      </c>
      <c r="J236" t="str" cm="1">
        <f t="array" aca="1" ref="J236" ca="1">CONCATENATE(INDIRECT(ADDRESS(1,10,1,0,"KeySet"),0),":","""",valueMaker!J236,"""")</f>
        <v>mailAddress:"Zhu_Sheng_Zhi_40226@outlook.jp.co"</v>
      </c>
      <c r="K236" t="str" cm="1">
        <f t="array" aca="1" ref="K236" ca="1">CONCATENATE(INDIRECT(ADDRESS(1,11,1,0,"KeySet"),0),":","""",valueMaker!K236,"""")</f>
        <v>kaninSyubetu:"高級"</v>
      </c>
      <c r="L236" t="str" cm="1">
        <f t="array" aca="1" ref="L236" ca="1">CONCATENATE(INDIRECT(ADDRESS(1,12,1,0,"KeySet"),0),":","""",valueMaker!L236,"""")</f>
        <v>kaninKengenWB:"有り"</v>
      </c>
      <c r="M236" t="str" cm="1">
        <f t="array" aca="1" ref="M236" ca="1">CONCATENATE(INDIRECT(ADDRESS(1,13,1,0,"KeySet"),0),":","""",valueMaker!M236,"""")</f>
        <v>wakibiri:"10%"</v>
      </c>
      <c r="N236" t="str" cm="1">
        <f t="array" aca="1" ref="N236" ca="1">CONCATENATE(INDIRECT(ADDRESS(1,14,1,0,"KeySet"),0),":","""",valueMaker!N236,"""")</f>
        <v>kaninKengenPoint:"有り"</v>
      </c>
      <c r="O236" t="str" cm="1">
        <f t="array" aca="1" ref="O236" ca="1">CONCATENATE(INDIRECT(ADDRESS(1,15,1,0,"KeySet"),0),":","""",valueMaker!O236,"""")</f>
        <v>point:"990"</v>
      </c>
      <c r="P236" t="str" cm="1">
        <f t="array" aca="1" ref="P236" ca="1">CONCATENATE(INDIRECT(ADDRESS(1,16,1,0,"KeySet"),0),":","""",valueMaker!P236,"""")</f>
        <v>bikou:""</v>
      </c>
    </row>
    <row r="237" spans="1:16">
      <c r="A237" t="str" cm="1">
        <f t="array" aca="1" ref="A237" ca="1">CONCATENATE(INDIRECT(ADDRESS(1,1,1,0,"KeySet"),0),":","""",valueMaker!A237,"""")</f>
        <v>kainBangou:"TD10236"</v>
      </c>
      <c r="B237" t="str" cm="1">
        <f t="array" aca="1" ref="B237" ca="1">CONCATENATE(INDIRECT(ADDRESS(1,2,1,0,"KeySet"),0),":","""",valueMaker!B237,"""")</f>
        <v>kainMeiKanji:"周巍竹"</v>
      </c>
      <c r="C237" t="str" cm="1">
        <f t="array" aca="1" ref="C237" ca="1">CONCATENATE(INDIRECT(ADDRESS(1,3,1,0,"KeySet"),0),":","""",valueMaker!C237,"""")</f>
        <v>kainMeiKana:"ｼﾞｮｳ ｳｴｲ ｼﾞｭｳ"</v>
      </c>
      <c r="D237" t="str" cm="1">
        <f t="array" aca="1" ref="D237" ca="1">CONCATENATE(INDIRECT(ADDRESS(1,4,1,0,"KeySet"),0),":","""",valueMaker!D237,"""")</f>
        <v>kainMeiEn:"Zhou Wei Zhu"</v>
      </c>
      <c r="E237" t="str" cm="1">
        <f t="array" aca="1" ref="E237" ca="1">CONCATENATE(INDIRECT(ADDRESS(1,5,1,0,"KeySet"),0),":","""",valueMaker!E237,"""")</f>
        <v>kainGender:"女性"</v>
      </c>
      <c r="F237" t="str" cm="1">
        <f t="array" aca="1" ref="F237" ca="1">CONCATENATE(INDIRECT(ADDRESS(1,6,1,0,"KeySet"),0),":","""",TEXT(valueMaker!F237,"yyyy/m/d"),"""")</f>
        <v>tanjyoubi:"1997/11/22"</v>
      </c>
      <c r="G237" t="str" cm="1">
        <f t="array" aca="1" ref="G237" ca="1">CONCATENATE(INDIRECT(ADDRESS(1,6,1,0,"KeySet"),0),":","""",TEXT(valueMaker!G237,"yyyy/m/d"),"""")</f>
        <v>tanjyoubi:"2021/2/22"</v>
      </c>
      <c r="H237" t="str" cm="1">
        <f t="array" aca="1" ref="H237" ca="1">CONCATENATE(INDIRECT(ADDRESS(1,6,1,0,"KeySet"),0),":","""",TEXT(valueMaker!H237,"yyyy/m/d"),"""")</f>
        <v>tanjyoubi:"2023/2/22"</v>
      </c>
      <c r="I237" t="str" cm="1">
        <f t="array" aca="1" ref="I237" ca="1">CONCATENATE(INDIRECT(ADDRESS(1,9,1,0,"KeySet"),0),":","""",valueMaker!I237,"""")</f>
        <v>denwaBangou:"090-3481-3192"</v>
      </c>
      <c r="J237" t="str" cm="1">
        <f t="array" aca="1" ref="J237" ca="1">CONCATENATE(INDIRECT(ADDRESS(1,10,1,0,"KeySet"),0),":","""",valueMaker!J237,"""")</f>
        <v>mailAddress:"Zhou_Wei_Zhu_44249@outlook.jp.co"</v>
      </c>
      <c r="K237" t="str" cm="1">
        <f t="array" aca="1" ref="K237" ca="1">CONCATENATE(INDIRECT(ADDRESS(1,11,1,0,"KeySet"),0),":","""",valueMaker!K237,"""")</f>
        <v>kaninSyubetu:"普通"</v>
      </c>
      <c r="L237" t="str" cm="1">
        <f t="array" aca="1" ref="L237" ca="1">CONCATENATE(INDIRECT(ADDRESS(1,12,1,0,"KeySet"),0),":","""",valueMaker!L237,"""")</f>
        <v>kaninKengenWB:"有り"</v>
      </c>
      <c r="M237" t="str" cm="1">
        <f t="array" aca="1" ref="M237" ca="1">CONCATENATE(INDIRECT(ADDRESS(1,13,1,0,"KeySet"),0),":","""",valueMaker!M237,"""")</f>
        <v>wakibiri:"5%"</v>
      </c>
      <c r="N237" t="str" cm="1">
        <f t="array" aca="1" ref="N237" ca="1">CONCATENATE(INDIRECT(ADDRESS(1,14,1,0,"KeySet"),0),":","""",valueMaker!N237,"""")</f>
        <v>kaninKengenPoint:"有り"</v>
      </c>
      <c r="O237" t="str" cm="1">
        <f t="array" aca="1" ref="O237" ca="1">CONCATENATE(INDIRECT(ADDRESS(1,15,1,0,"KeySet"),0),":","""",valueMaker!O237,"""")</f>
        <v>point:"917"</v>
      </c>
      <c r="P237" t="str" cm="1">
        <f t="array" aca="1" ref="P237" ca="1">CONCATENATE(INDIRECT(ADDRESS(1,16,1,0,"KeySet"),0),":","""",valueMaker!P237,"""")</f>
        <v>bikou:""</v>
      </c>
    </row>
    <row r="238" spans="1:16">
      <c r="A238" t="str" cm="1">
        <f t="array" aca="1" ref="A238" ca="1">CONCATENATE(INDIRECT(ADDRESS(1,1,1,0,"KeySet"),0),":","""",valueMaker!A238,"""")</f>
        <v>kainBangou:"TD10237"</v>
      </c>
      <c r="B238" t="str" cm="1">
        <f t="array" aca="1" ref="B238" ca="1">CONCATENATE(INDIRECT(ADDRESS(1,2,1,0,"KeySet"),0),":","""",valueMaker!B238,"""")</f>
        <v>kainMeiKanji:"于勁綠"</v>
      </c>
      <c r="C238" t="str" cm="1">
        <f t="array" aca="1" ref="C238" ca="1">CONCATENATE(INDIRECT(ADDRESS(1,3,1,0,"KeySet"),0),":","""",valueMaker!C238,"""")</f>
        <v>kainMeiKana:"ﾕｲ ｼﾞﾝ ﾙｩｨ"</v>
      </c>
      <c r="D238" t="str" cm="1">
        <f t="array" aca="1" ref="D238" ca="1">CONCATENATE(INDIRECT(ADDRESS(1,4,1,0,"KeySet"),0),":","""",valueMaker!D238,"""")</f>
        <v>kainMeiEn:"Yu Jin Lü"</v>
      </c>
      <c r="E238" t="str" cm="1">
        <f t="array" aca="1" ref="E238" ca="1">CONCATENATE(INDIRECT(ADDRESS(1,5,1,0,"KeySet"),0),":","""",valueMaker!E238,"""")</f>
        <v>kainGender:"女性"</v>
      </c>
      <c r="F238" t="str" cm="1">
        <f t="array" aca="1" ref="F238" ca="1">CONCATENATE(INDIRECT(ADDRESS(1,6,1,0,"KeySet"),0),":","""",TEXT(valueMaker!F238,"yyyy/m/d"),"""")</f>
        <v>tanjyoubi:"1995/8/21"</v>
      </c>
      <c r="G238" t="str" cm="1">
        <f t="array" aca="1" ref="G238" ca="1">CONCATENATE(INDIRECT(ADDRESS(1,6,1,0,"KeySet"),0),":","""",TEXT(valueMaker!G238,"yyyy/m/d"),"""")</f>
        <v>tanjyoubi:"2024/3/24"</v>
      </c>
      <c r="H238" t="str" cm="1">
        <f t="array" aca="1" ref="H238" ca="1">CONCATENATE(INDIRECT(ADDRESS(1,6,1,0,"KeySet"),0),":","""",TEXT(valueMaker!H238,"yyyy/m/d"),"""")</f>
        <v>tanjyoubi:"2026/3/24"</v>
      </c>
      <c r="I238" t="str" cm="1">
        <f t="array" aca="1" ref="I238" ca="1">CONCATENATE(INDIRECT(ADDRESS(1,9,1,0,"KeySet"),0),":","""",valueMaker!I238,"""")</f>
        <v>denwaBangou:"080-4135-9534"</v>
      </c>
      <c r="J238" t="str" cm="1">
        <f t="array" aca="1" ref="J238" ca="1">CONCATENATE(INDIRECT(ADDRESS(1,10,1,0,"KeySet"),0),":","""",valueMaker!J238,"""")</f>
        <v>mailAddress:"Yu_Jin Lü_45375@outlook.jp.co"</v>
      </c>
      <c r="K238" t="str" cm="1">
        <f t="array" aca="1" ref="K238" ca="1">CONCATENATE(INDIRECT(ADDRESS(1,11,1,0,"KeySet"),0),":","""",valueMaker!K238,"""")</f>
        <v>kaninSyubetu:"普通"</v>
      </c>
      <c r="L238" t="str" cm="1">
        <f t="array" aca="1" ref="L238" ca="1">CONCATENATE(INDIRECT(ADDRESS(1,12,1,0,"KeySet"),0),":","""",valueMaker!L238,"""")</f>
        <v>kaninKengenWB:"-"</v>
      </c>
      <c r="M238" t="str" cm="1">
        <f t="array" aca="1" ref="M238" ca="1">CONCATENATE(INDIRECT(ADDRESS(1,13,1,0,"KeySet"),0),":","""",valueMaker!M238,"""")</f>
        <v>wakibiri:"-"</v>
      </c>
      <c r="N238" t="str" cm="1">
        <f t="array" aca="1" ref="N238" ca="1">CONCATENATE(INDIRECT(ADDRESS(1,14,1,0,"KeySet"),0),":","""",valueMaker!N238,"""")</f>
        <v>kaninKengenPoint:"-"</v>
      </c>
      <c r="O238" t="str" cm="1">
        <f t="array" aca="1" ref="O238" ca="1">CONCATENATE(INDIRECT(ADDRESS(1,15,1,0,"KeySet"),0),":","""",valueMaker!O238,"""")</f>
        <v>point:"-"</v>
      </c>
      <c r="P238" t="str" cm="1">
        <f t="array" aca="1" ref="P238" ca="1">CONCATENATE(INDIRECT(ADDRESS(1,16,1,0,"KeySet"),0),":","""",valueMaker!P238,"""")</f>
        <v>bikou:""</v>
      </c>
    </row>
    <row r="239" spans="1:16">
      <c r="A239" t="str" cm="1">
        <f t="array" aca="1" ref="A239" ca="1">CONCATENATE(INDIRECT(ADDRESS(1,1,1,0,"KeySet"),0),":","""",valueMaker!A239,"""")</f>
        <v>kainBangou:"TD10238"</v>
      </c>
      <c r="B239" t="str" cm="1">
        <f t="array" aca="1" ref="B239" ca="1">CONCATENATE(INDIRECT(ADDRESS(1,2,1,0,"KeySet"),0),":","""",valueMaker!B239,"""")</f>
        <v>kainMeiKanji:"羅眾碼"</v>
      </c>
      <c r="C239" t="str" cm="1">
        <f t="array" aca="1" ref="C239" ca="1">CONCATENATE(INDIRECT(ADDRESS(1,3,1,0,"KeySet"),0),":","""",valueMaker!C239,"""")</f>
        <v>kainMeiKana:"ﾙｵ ｼﾞｮｰﾝ ﾏｰ"</v>
      </c>
      <c r="D239" t="str" cm="1">
        <f t="array" aca="1" ref="D239" ca="1">CONCATENATE(INDIRECT(ADDRESS(1,4,1,0,"KeySet"),0),":","""",valueMaker!D239,"""")</f>
        <v>kainMeiEn:"Luo Zhong Ma"</v>
      </c>
      <c r="E239" t="str" cm="1">
        <f t="array" aca="1" ref="E239" ca="1">CONCATENATE(INDIRECT(ADDRESS(1,5,1,0,"KeySet"),0),":","""",valueMaker!E239,"""")</f>
        <v>kainGender:"男性"</v>
      </c>
      <c r="F239" t="str" cm="1">
        <f t="array" aca="1" ref="F239" ca="1">CONCATENATE(INDIRECT(ADDRESS(1,6,1,0,"KeySet"),0),":","""",TEXT(valueMaker!F239,"yyyy/m/d"),"""")</f>
        <v>tanjyoubi:"1966/10/6"</v>
      </c>
      <c r="G239" t="str" cm="1">
        <f t="array" aca="1" ref="G239" ca="1">CONCATENATE(INDIRECT(ADDRESS(1,6,1,0,"KeySet"),0),":","""",TEXT(valueMaker!G239,"yyyy/m/d"),"""")</f>
        <v>tanjyoubi:"1988/9/27"</v>
      </c>
      <c r="H239" t="str" cm="1">
        <f t="array" aca="1" ref="H239" ca="1">CONCATENATE(INDIRECT(ADDRESS(1,6,1,0,"KeySet"),0),":","""",TEXT(valueMaker!H239,"yyyy/m/d"),"""")</f>
        <v>tanjyoubi:"1991/9/27"</v>
      </c>
      <c r="I239" t="str" cm="1">
        <f t="array" aca="1" ref="I239" ca="1">CONCATENATE(INDIRECT(ADDRESS(1,9,1,0,"KeySet"),0),":","""",valueMaker!I239,"""")</f>
        <v>denwaBangou:"090-0689-3066"</v>
      </c>
      <c r="J239" t="str" cm="1">
        <f t="array" aca="1" ref="J239" ca="1">CONCATENATE(INDIRECT(ADDRESS(1,10,1,0,"KeySet"),0),":","""",valueMaker!J239,"""")</f>
        <v>mailAddress:"Luo_Zhong_Ma_32413@outlook.jp.co"</v>
      </c>
      <c r="K239" t="str" cm="1">
        <f t="array" aca="1" ref="K239" ca="1">CONCATENATE(INDIRECT(ADDRESS(1,11,1,0,"KeySet"),0),":","""",valueMaker!K239,"""")</f>
        <v>kaninSyubetu:"普通"</v>
      </c>
      <c r="L239" t="str" cm="1">
        <f t="array" aca="1" ref="L239" ca="1">CONCATENATE(INDIRECT(ADDRESS(1,12,1,0,"KeySet"),0),":","""",valueMaker!L239,"""")</f>
        <v>kaninKengenWB:"有り"</v>
      </c>
      <c r="M239" t="str" cm="1">
        <f t="array" aca="1" ref="M239" ca="1">CONCATENATE(INDIRECT(ADDRESS(1,13,1,0,"KeySet"),0),":","""",valueMaker!M239,"""")</f>
        <v>wakibiri:"5%"</v>
      </c>
      <c r="N239" t="str" cm="1">
        <f t="array" aca="1" ref="N239" ca="1">CONCATENATE(INDIRECT(ADDRESS(1,14,1,0,"KeySet"),0),":","""",valueMaker!N239,"""")</f>
        <v>kaninKengenPoint:"有り"</v>
      </c>
      <c r="O239" t="str" cm="1">
        <f t="array" aca="1" ref="O239" ca="1">CONCATENATE(INDIRECT(ADDRESS(1,15,1,0,"KeySet"),0),":","""",valueMaker!O239,"""")</f>
        <v>point:"177"</v>
      </c>
      <c r="P239" t="str" cm="1">
        <f t="array" aca="1" ref="P239" ca="1">CONCATENATE(INDIRECT(ADDRESS(1,16,1,0,"KeySet"),0),":","""",valueMaker!P239,"""")</f>
        <v>bikou:""</v>
      </c>
    </row>
    <row r="240" spans="1:16">
      <c r="A240" t="str" cm="1">
        <f t="array" aca="1" ref="A240" ca="1">CONCATENATE(INDIRECT(ADDRESS(1,1,1,0,"KeySet"),0),":","""",valueMaker!A240,"""")</f>
        <v>kainBangou:"TD10239"</v>
      </c>
      <c r="B240" t="str" cm="1">
        <f t="array" aca="1" ref="B240" ca="1">CONCATENATE(INDIRECT(ADDRESS(1,2,1,0,"KeySet"),0),":","""",valueMaker!B240,"""")</f>
        <v>kainMeiKanji:"朱林會"</v>
      </c>
      <c r="C240" t="str" cm="1">
        <f t="array" aca="1" ref="C240" ca="1">CONCATENATE(INDIRECT(ADDRESS(1,3,1,0,"KeySet"),0),":","""",valueMaker!C240,"""")</f>
        <v>kainMeiKana:"ｼﾞｭｳ ﾘﾝ ﾎｩｲ"</v>
      </c>
      <c r="D240" t="str" cm="1">
        <f t="array" aca="1" ref="D240" ca="1">CONCATENATE(INDIRECT(ADDRESS(1,4,1,0,"KeySet"),0),":","""",valueMaker!D240,"""")</f>
        <v>kainMeiEn:"Zhu Lin Hui"</v>
      </c>
      <c r="E240" t="str" cm="1">
        <f t="array" aca="1" ref="E240" ca="1">CONCATENATE(INDIRECT(ADDRESS(1,5,1,0,"KeySet"),0),":","""",valueMaker!E240,"""")</f>
        <v>kainGender:"女性"</v>
      </c>
      <c r="F240" t="str" cm="1">
        <f t="array" aca="1" ref="F240" ca="1">CONCATENATE(INDIRECT(ADDRESS(1,6,1,0,"KeySet"),0),":","""",TEXT(valueMaker!F240,"yyyy/m/d"),"""")</f>
        <v>tanjyoubi:"1970/5/27"</v>
      </c>
      <c r="G240" t="str" cm="1">
        <f t="array" aca="1" ref="G240" ca="1">CONCATENATE(INDIRECT(ADDRESS(1,6,1,0,"KeySet"),0),":","""",TEXT(valueMaker!G240,"yyyy/m/d"),"""")</f>
        <v>tanjyoubi:"1993/1/27"</v>
      </c>
      <c r="H240" t="str" cm="1">
        <f t="array" aca="1" ref="H240" ca="1">CONCATENATE(INDIRECT(ADDRESS(1,6,1,0,"KeySet"),0),":","""",TEXT(valueMaker!H240,"yyyy/m/d"),"""")</f>
        <v>tanjyoubi:"1996/1/27"</v>
      </c>
      <c r="I240" t="str" cm="1">
        <f t="array" aca="1" ref="I240" ca="1">CONCATENATE(INDIRECT(ADDRESS(1,9,1,0,"KeySet"),0),":","""",valueMaker!I240,"""")</f>
        <v>denwaBangou:"090-8670-3847"</v>
      </c>
      <c r="J240" t="str" cm="1">
        <f t="array" aca="1" ref="J240" ca="1">CONCATENATE(INDIRECT(ADDRESS(1,10,1,0,"KeySet"),0),":","""",valueMaker!J240,"""")</f>
        <v>mailAddress:"Zhu_Lin Hui_33996@outlook.jp.co"</v>
      </c>
      <c r="K240" t="str" cm="1">
        <f t="array" aca="1" ref="K240" ca="1">CONCATENATE(INDIRECT(ADDRESS(1,11,1,0,"KeySet"),0),":","""",valueMaker!K240,"""")</f>
        <v>kaninSyubetu:"高級"</v>
      </c>
      <c r="L240" t="str" cm="1">
        <f t="array" aca="1" ref="L240" ca="1">CONCATENATE(INDIRECT(ADDRESS(1,12,1,0,"KeySet"),0),":","""",valueMaker!L240,"""")</f>
        <v>kaninKengenWB:"有り"</v>
      </c>
      <c r="M240" t="str" cm="1">
        <f t="array" aca="1" ref="M240" ca="1">CONCATENATE(INDIRECT(ADDRESS(1,13,1,0,"KeySet"),0),":","""",valueMaker!M240,"""")</f>
        <v>wakibiri:"10%"</v>
      </c>
      <c r="N240" t="str" cm="1">
        <f t="array" aca="1" ref="N240" ca="1">CONCATENATE(INDIRECT(ADDRESS(1,14,1,0,"KeySet"),0),":","""",valueMaker!N240,"""")</f>
        <v>kaninKengenPoint:"有り"</v>
      </c>
      <c r="O240" t="str" cm="1">
        <f t="array" aca="1" ref="O240" ca="1">CONCATENATE(INDIRECT(ADDRESS(1,15,1,0,"KeySet"),0),":","""",valueMaker!O240,"""")</f>
        <v>point:"282"</v>
      </c>
      <c r="P240" t="str" cm="1">
        <f t="array" aca="1" ref="P240" ca="1">CONCATENATE(INDIRECT(ADDRESS(1,16,1,0,"KeySet"),0),":","""",valueMaker!P240,"""")</f>
        <v>bikou:""</v>
      </c>
    </row>
    <row r="241" spans="1:16">
      <c r="A241" t="str" cm="1">
        <f t="array" aca="1" ref="A241" ca="1">CONCATENATE(INDIRECT(ADDRESS(1,1,1,0,"KeySet"),0),":","""",valueMaker!A241,"""")</f>
        <v>kainBangou:"TD10240"</v>
      </c>
      <c r="B241" t="str" cm="1">
        <f t="array" aca="1" ref="B241" ca="1">CONCATENATE(INDIRECT(ADDRESS(1,2,1,0,"KeySet"),0),":","""",valueMaker!B241,"""")</f>
        <v>kainMeiKanji:"胡庭建"</v>
      </c>
      <c r="C241" t="str" cm="1">
        <f t="array" aca="1" ref="C241" ca="1">CONCATENATE(INDIRECT(ADDRESS(1,3,1,0,"KeySet"),0),":","""",valueMaker!C241,"""")</f>
        <v>kainMeiKana:"ﾎｩ ﾃｨｰﾝ ｼﾞｴﾝ"</v>
      </c>
      <c r="D241" t="str" cm="1">
        <f t="array" aca="1" ref="D241" ca="1">CONCATENATE(INDIRECT(ADDRESS(1,4,1,0,"KeySet"),0),":","""",valueMaker!D241,"""")</f>
        <v>kainMeiEn:"Hu Ting Jian"</v>
      </c>
      <c r="E241" t="str" cm="1">
        <f t="array" aca="1" ref="E241" ca="1">CONCATENATE(INDIRECT(ADDRESS(1,5,1,0,"KeySet"),0),":","""",valueMaker!E241,"""")</f>
        <v>kainGender:"女性"</v>
      </c>
      <c r="F241" t="str" cm="1">
        <f t="array" aca="1" ref="F241" ca="1">CONCATENATE(INDIRECT(ADDRESS(1,6,1,0,"KeySet"),0),":","""",TEXT(valueMaker!F241,"yyyy/m/d"),"""")</f>
        <v>tanjyoubi:"1999/8/31"</v>
      </c>
      <c r="G241" t="str" cm="1">
        <f t="array" aca="1" ref="G241" ca="1">CONCATENATE(INDIRECT(ADDRESS(1,6,1,0,"KeySet"),0),":","""",TEXT(valueMaker!G241,"yyyy/m/d"),"""")</f>
        <v>tanjyoubi:"2020/10/6"</v>
      </c>
      <c r="H241" t="str" cm="1">
        <f t="array" aca="1" ref="H241" ca="1">CONCATENATE(INDIRECT(ADDRESS(1,6,1,0,"KeySet"),0),":","""",TEXT(valueMaker!H241,"yyyy/m/d"),"""")</f>
        <v>tanjyoubi:"2021/10/6"</v>
      </c>
      <c r="I241" t="str" cm="1">
        <f t="array" aca="1" ref="I241" ca="1">CONCATENATE(INDIRECT(ADDRESS(1,9,1,0,"KeySet"),0),":","""",valueMaker!I241,"""")</f>
        <v>denwaBangou:"090-7085-9943"</v>
      </c>
      <c r="J241" t="str" cm="1">
        <f t="array" aca="1" ref="J241" ca="1">CONCATENATE(INDIRECT(ADDRESS(1,10,1,0,"KeySet"),0),":","""",valueMaker!J241,"""")</f>
        <v>mailAddress:"Hu_Ting_Jian_44110@outlook.jp.co"</v>
      </c>
      <c r="K241" t="str" cm="1">
        <f t="array" aca="1" ref="K241" ca="1">CONCATENATE(INDIRECT(ADDRESS(1,11,1,0,"KeySet"),0),":","""",valueMaker!K241,"""")</f>
        <v>kaninSyubetu:"普通"</v>
      </c>
      <c r="L241" t="str" cm="1">
        <f t="array" aca="1" ref="L241" ca="1">CONCATENATE(INDIRECT(ADDRESS(1,12,1,0,"KeySet"),0),":","""",valueMaker!L241,"""")</f>
        <v>kaninKengenWB:"有り"</v>
      </c>
      <c r="M241" t="str" cm="1">
        <f t="array" aca="1" ref="M241" ca="1">CONCATENATE(INDIRECT(ADDRESS(1,13,1,0,"KeySet"),0),":","""",valueMaker!M241,"""")</f>
        <v>wakibiri:"5%"</v>
      </c>
      <c r="N241" t="str" cm="1">
        <f t="array" aca="1" ref="N241" ca="1">CONCATENATE(INDIRECT(ADDRESS(1,14,1,0,"KeySet"),0),":","""",valueMaker!N241,"""")</f>
        <v>kaninKengenPoint:"有り"</v>
      </c>
      <c r="O241" t="str" cm="1">
        <f t="array" aca="1" ref="O241" ca="1">CONCATENATE(INDIRECT(ADDRESS(1,15,1,0,"KeySet"),0),":","""",valueMaker!O241,"""")</f>
        <v>point:"351"</v>
      </c>
      <c r="P241" t="str" cm="1">
        <f t="array" aca="1" ref="P241" ca="1">CONCATENATE(INDIRECT(ADDRESS(1,16,1,0,"KeySet"),0),":","""",valueMaker!P241,"""")</f>
        <v>bikou:""</v>
      </c>
    </row>
    <row r="242" spans="1:16">
      <c r="A242" t="str" cm="1">
        <f t="array" aca="1" ref="A242" ca="1">CONCATENATE(INDIRECT(ADDRESS(1,1,1,0,"KeySet"),0),":","""",valueMaker!A242,"""")</f>
        <v>kainBangou:"TD10241"</v>
      </c>
      <c r="B242" t="str" cm="1">
        <f t="array" aca="1" ref="B242" ca="1">CONCATENATE(INDIRECT(ADDRESS(1,2,1,0,"KeySet"),0),":","""",valueMaker!B242,"""")</f>
        <v>kainMeiKanji:"黃彤存"</v>
      </c>
      <c r="C242" t="str" cm="1">
        <f t="array" aca="1" ref="C242" ca="1">CONCATENATE(INDIRECT(ADDRESS(1,3,1,0,"KeySet"),0),":","""",valueMaker!C242,"""")</f>
        <v>kainMeiKana:"ﾎﾜｰﾝ ﾄｰﾝ ﾂｩﾝ"</v>
      </c>
      <c r="D242" t="str" cm="1">
        <f t="array" aca="1" ref="D242" ca="1">CONCATENATE(INDIRECT(ADDRESS(1,4,1,0,"KeySet"),0),":","""",valueMaker!D242,"""")</f>
        <v>kainMeiEn:"Huang Tong Cun"</v>
      </c>
      <c r="E242" t="str" cm="1">
        <f t="array" aca="1" ref="E242" ca="1">CONCATENATE(INDIRECT(ADDRESS(1,5,1,0,"KeySet"),0),":","""",valueMaker!E242,"""")</f>
        <v>kainGender:"女性"</v>
      </c>
      <c r="F242" t="str" cm="1">
        <f t="array" aca="1" ref="F242" ca="1">CONCATENATE(INDIRECT(ADDRESS(1,6,1,0,"KeySet"),0),":","""",TEXT(valueMaker!F242,"yyyy/m/d"),"""")</f>
        <v>tanjyoubi:"1969/2/3"</v>
      </c>
      <c r="G242" t="str" cm="1">
        <f t="array" aca="1" ref="G242" ca="1">CONCATENATE(INDIRECT(ADDRESS(1,6,1,0,"KeySet"),0),":","""",TEXT(valueMaker!G242,"yyyy/m/d"),"""")</f>
        <v>tanjyoubi:"2017/9/23"</v>
      </c>
      <c r="H242" t="str" cm="1">
        <f t="array" aca="1" ref="H242" ca="1">CONCATENATE(INDIRECT(ADDRESS(1,6,1,0,"KeySet"),0),":","""",TEXT(valueMaker!H242,"yyyy/m/d"),"""")</f>
        <v>tanjyoubi:"2020/9/22"</v>
      </c>
      <c r="I242" t="str" cm="1">
        <f t="array" aca="1" ref="I242" ca="1">CONCATENATE(INDIRECT(ADDRESS(1,9,1,0,"KeySet"),0),":","""",valueMaker!I242,"""")</f>
        <v>denwaBangou:"090-1855-4167"</v>
      </c>
      <c r="J242" t="str" cm="1">
        <f t="array" aca="1" ref="J242" ca="1">CONCATENATE(INDIRECT(ADDRESS(1,10,1,0,"KeySet"),0),":","""",valueMaker!J242,"""")</f>
        <v>mailAddress:"Huang_Tong_Cun_43001@outlook.jp.co"</v>
      </c>
      <c r="K242" t="str" cm="1">
        <f t="array" aca="1" ref="K242" ca="1">CONCATENATE(INDIRECT(ADDRESS(1,11,1,0,"KeySet"),0),":","""",valueMaker!K242,"""")</f>
        <v>kaninSyubetu:"高級"</v>
      </c>
      <c r="L242" t="str" cm="1">
        <f t="array" aca="1" ref="L242" ca="1">CONCATENATE(INDIRECT(ADDRESS(1,12,1,0,"KeySet"),0),":","""",valueMaker!L242,"""")</f>
        <v>kaninKengenWB:"有り"</v>
      </c>
      <c r="M242" t="str" cm="1">
        <f t="array" aca="1" ref="M242" ca="1">CONCATENATE(INDIRECT(ADDRESS(1,13,1,0,"KeySet"),0),":","""",valueMaker!M242,"""")</f>
        <v>wakibiri:"10%"</v>
      </c>
      <c r="N242" t="str" cm="1">
        <f t="array" aca="1" ref="N242" ca="1">CONCATENATE(INDIRECT(ADDRESS(1,14,1,0,"KeySet"),0),":","""",valueMaker!N242,"""")</f>
        <v>kaninKengenPoint:"有り"</v>
      </c>
      <c r="O242" t="str" cm="1">
        <f t="array" aca="1" ref="O242" ca="1">CONCATENATE(INDIRECT(ADDRESS(1,15,1,0,"KeySet"),0),":","""",valueMaker!O242,"""")</f>
        <v>point:"165"</v>
      </c>
      <c r="P242" t="str" cm="1">
        <f t="array" aca="1" ref="P242" ca="1">CONCATENATE(INDIRECT(ADDRESS(1,16,1,0,"KeySet"),0),":","""",valueMaker!P242,"""")</f>
        <v>bikou:""</v>
      </c>
    </row>
    <row r="243" spans="1:16">
      <c r="A243" t="str" cm="1">
        <f t="array" aca="1" ref="A243" ca="1">CONCATENATE(INDIRECT(ADDRESS(1,1,1,0,"KeySet"),0),":","""",valueMaker!A243,"""")</f>
        <v>kainBangou:"TD10242"</v>
      </c>
      <c r="B243" t="str" cm="1">
        <f t="array" aca="1" ref="B243" ca="1">CONCATENATE(INDIRECT(ADDRESS(1,2,1,0,"KeySet"),0),":","""",valueMaker!B243,"""")</f>
        <v>kainMeiKanji:"朱虎傑"</v>
      </c>
      <c r="C243" t="str" cm="1">
        <f t="array" aca="1" ref="C243" ca="1">CONCATENATE(INDIRECT(ADDRESS(1,3,1,0,"KeySet"),0),":","""",valueMaker!C243,"""")</f>
        <v>kainMeiKana:"ｼﾞｭｳ ﾎｩ ｼﾞｴ"</v>
      </c>
      <c r="D243" t="str" cm="1">
        <f t="array" aca="1" ref="D243" ca="1">CONCATENATE(INDIRECT(ADDRESS(1,4,1,0,"KeySet"),0),":","""",valueMaker!D243,"""")</f>
        <v>kainMeiEn:"Zhu Hu Jie"</v>
      </c>
      <c r="E243" t="str" cm="1">
        <f t="array" aca="1" ref="E243" ca="1">CONCATENATE(INDIRECT(ADDRESS(1,5,1,0,"KeySet"),0),":","""",valueMaker!E243,"""")</f>
        <v>kainGender:"女性"</v>
      </c>
      <c r="F243" t="str" cm="1">
        <f t="array" aca="1" ref="F243" ca="1">CONCATENATE(INDIRECT(ADDRESS(1,6,1,0,"KeySet"),0),":","""",TEXT(valueMaker!F243,"yyyy/m/d"),"""")</f>
        <v>tanjyoubi:"1963/2/16"</v>
      </c>
      <c r="G243" t="str" cm="1">
        <f t="array" aca="1" ref="G243" ca="1">CONCATENATE(INDIRECT(ADDRESS(1,6,1,0,"KeySet"),0),":","""",TEXT(valueMaker!G243,"yyyy/m/d"),"""")</f>
        <v>tanjyoubi:"1990/1/8"</v>
      </c>
      <c r="H243" t="str" cm="1">
        <f t="array" aca="1" ref="H243" ca="1">CONCATENATE(INDIRECT(ADDRESS(1,6,1,0,"KeySet"),0),":","""",TEXT(valueMaker!H243,"yyyy/m/d"),"""")</f>
        <v>tanjyoubi:"1993/1/7"</v>
      </c>
      <c r="I243" t="str" cm="1">
        <f t="array" aca="1" ref="I243" ca="1">CONCATENATE(INDIRECT(ADDRESS(1,9,1,0,"KeySet"),0),":","""",valueMaker!I243,"""")</f>
        <v>denwaBangou:"090-8923-6132"</v>
      </c>
      <c r="J243" t="str" cm="1">
        <f t="array" aca="1" ref="J243" ca="1">CONCATENATE(INDIRECT(ADDRESS(1,10,1,0,"KeySet"),0),":","""",valueMaker!J243,"""")</f>
        <v>mailAddress:"Zhu_Hu_Jie_32881@outlook.jp.co"</v>
      </c>
      <c r="K243" t="str" cm="1">
        <f t="array" aca="1" ref="K243" ca="1">CONCATENATE(INDIRECT(ADDRESS(1,11,1,0,"KeySet"),0),":","""",valueMaker!K243,"""")</f>
        <v>kaninSyubetu:"高級"</v>
      </c>
      <c r="L243" t="str" cm="1">
        <f t="array" aca="1" ref="L243" ca="1">CONCATENATE(INDIRECT(ADDRESS(1,12,1,0,"KeySet"),0),":","""",valueMaker!L243,"""")</f>
        <v>kaninKengenWB:"有り"</v>
      </c>
      <c r="M243" t="str" cm="1">
        <f t="array" aca="1" ref="M243" ca="1">CONCATENATE(INDIRECT(ADDRESS(1,13,1,0,"KeySet"),0),":","""",valueMaker!M243,"""")</f>
        <v>wakibiri:"10%"</v>
      </c>
      <c r="N243" t="str" cm="1">
        <f t="array" aca="1" ref="N243" ca="1">CONCATENATE(INDIRECT(ADDRESS(1,14,1,0,"KeySet"),0),":","""",valueMaker!N243,"""")</f>
        <v>kaninKengenPoint:"-"</v>
      </c>
      <c r="O243" t="str" cm="1">
        <f t="array" aca="1" ref="O243" ca="1">CONCATENATE(INDIRECT(ADDRESS(1,15,1,0,"KeySet"),0),":","""",valueMaker!O243,"""")</f>
        <v>point:"-"</v>
      </c>
      <c r="P243" t="str" cm="1">
        <f t="array" aca="1" ref="P243" ca="1">CONCATENATE(INDIRECT(ADDRESS(1,16,1,0,"KeySet"),0),":","""",valueMaker!P243,"""")</f>
        <v>bikou:""</v>
      </c>
    </row>
    <row r="244" spans="1:16">
      <c r="A244" t="str" cm="1">
        <f t="array" aca="1" ref="A244" ca="1">CONCATENATE(INDIRECT(ADDRESS(1,1,1,0,"KeySet"),0),":","""",valueMaker!A244,"""")</f>
        <v>kainBangou:"TD10243"</v>
      </c>
      <c r="B244" t="str" cm="1">
        <f t="array" aca="1" ref="B244" ca="1">CONCATENATE(INDIRECT(ADDRESS(1,2,1,0,"KeySet"),0),":","""",valueMaker!B244,"""")</f>
        <v>kainMeiKanji:"鄭至凡"</v>
      </c>
      <c r="C244" t="str" cm="1">
        <f t="array" aca="1" ref="C244" ca="1">CONCATENATE(INDIRECT(ADDRESS(1,3,1,0,"KeySet"),0),":","""",valueMaker!C244,"""")</f>
        <v>kainMeiKana:"ｼﾞｭﾖﾝ ｼﾞｰ ﾌｧﾝ"</v>
      </c>
      <c r="D244" t="str" cm="1">
        <f t="array" aca="1" ref="D244" ca="1">CONCATENATE(INDIRECT(ADDRESS(1,4,1,0,"KeySet"),0),":","""",valueMaker!D244,"""")</f>
        <v>kainMeiEn:"Zheng Zhi Fan"</v>
      </c>
      <c r="E244" t="str" cm="1">
        <f t="array" aca="1" ref="E244" ca="1">CONCATENATE(INDIRECT(ADDRESS(1,5,1,0,"KeySet"),0),":","""",valueMaker!E244,"""")</f>
        <v>kainGender:"-"</v>
      </c>
      <c r="F244" t="str" cm="1">
        <f t="array" aca="1" ref="F244" ca="1">CONCATENATE(INDIRECT(ADDRESS(1,6,1,0,"KeySet"),0),":","""",TEXT(valueMaker!F244,"yyyy/m/d"),"""")</f>
        <v>tanjyoubi:"1985/5/9"</v>
      </c>
      <c r="G244" t="str" cm="1">
        <f t="array" aca="1" ref="G244" ca="1">CONCATENATE(INDIRECT(ADDRESS(1,6,1,0,"KeySet"),0),":","""",TEXT(valueMaker!G244,"yyyy/m/d"),"""")</f>
        <v>tanjyoubi:"2003/9/19"</v>
      </c>
      <c r="H244" t="str" cm="1">
        <f t="array" aca="1" ref="H244" ca="1">CONCATENATE(INDIRECT(ADDRESS(1,6,1,0,"KeySet"),0),":","""",TEXT(valueMaker!H244,"yyyy/m/d"),"""")</f>
        <v>tanjyoubi:"2005/9/18"</v>
      </c>
      <c r="I244" t="str" cm="1">
        <f t="array" aca="1" ref="I244" ca="1">CONCATENATE(INDIRECT(ADDRESS(1,9,1,0,"KeySet"),0),":","""",valueMaker!I244,"""")</f>
        <v>denwaBangou:"080-1048-8278"</v>
      </c>
      <c r="J244" t="str" cm="1">
        <f t="array" aca="1" ref="J244" ca="1">CONCATENATE(INDIRECT(ADDRESS(1,10,1,0,"KeySet"),0),":","""",valueMaker!J244,"""")</f>
        <v>mailAddress:"Zheng_Zhi_Fan_37883@outlook.jp.co"</v>
      </c>
      <c r="K244" t="str" cm="1">
        <f t="array" aca="1" ref="K244" ca="1">CONCATENATE(INDIRECT(ADDRESS(1,11,1,0,"KeySet"),0),":","""",valueMaker!K244,"""")</f>
        <v>kaninSyubetu:"普通"</v>
      </c>
      <c r="L244" t="str" cm="1">
        <f t="array" aca="1" ref="L244" ca="1">CONCATENATE(INDIRECT(ADDRESS(1,12,1,0,"KeySet"),0),":","""",valueMaker!L244,"""")</f>
        <v>kaninKengenWB:"有り"</v>
      </c>
      <c r="M244" t="str" cm="1">
        <f t="array" aca="1" ref="M244" ca="1">CONCATENATE(INDIRECT(ADDRESS(1,13,1,0,"KeySet"),0),":","""",valueMaker!M244,"""")</f>
        <v>wakibiri:"5%"</v>
      </c>
      <c r="N244" t="str" cm="1">
        <f t="array" aca="1" ref="N244" ca="1">CONCATENATE(INDIRECT(ADDRESS(1,14,1,0,"KeySet"),0),":","""",valueMaker!N244,"""")</f>
        <v>kaninKengenPoint:"有り"</v>
      </c>
      <c r="O244" t="str" cm="1">
        <f t="array" aca="1" ref="O244" ca="1">CONCATENATE(INDIRECT(ADDRESS(1,15,1,0,"KeySet"),0),":","""",valueMaker!O244,"""")</f>
        <v>point:"550"</v>
      </c>
      <c r="P244" t="str" cm="1">
        <f t="array" aca="1" ref="P244" ca="1">CONCATENATE(INDIRECT(ADDRESS(1,16,1,0,"KeySet"),0),":","""",valueMaker!P244,"""")</f>
        <v>bikou:""</v>
      </c>
    </row>
    <row r="245" spans="1:16">
      <c r="A245" t="str" cm="1">
        <f t="array" aca="1" ref="A245" ca="1">CONCATENATE(INDIRECT(ADDRESS(1,1,1,0,"KeySet"),0),":","""",valueMaker!A245,"""")</f>
        <v>kainBangou:"TD10244"</v>
      </c>
      <c r="B245" t="str" cm="1">
        <f t="array" aca="1" ref="B245" ca="1">CONCATENATE(INDIRECT(ADDRESS(1,2,1,0,"KeySet"),0),":","""",valueMaker!B245,"""")</f>
        <v>kainMeiKanji:"馬貴孝"</v>
      </c>
      <c r="C245" t="str" cm="1">
        <f t="array" aca="1" ref="C245" ca="1">CONCATENATE(INDIRECT(ADDRESS(1,3,1,0,"KeySet"),0),":","""",valueMaker!C245,"""")</f>
        <v>kainMeiKana:"ﾏｰ ｸﾞｲ ｼﾔｵ"</v>
      </c>
      <c r="D245" t="str" cm="1">
        <f t="array" aca="1" ref="D245" ca="1">CONCATENATE(INDIRECT(ADDRESS(1,4,1,0,"KeySet"),0),":","""",valueMaker!D245,"""")</f>
        <v>kainMeiEn:"Ma Gui Xiao"</v>
      </c>
      <c r="E245" t="str" cm="1">
        <f t="array" aca="1" ref="E245" ca="1">CONCATENATE(INDIRECT(ADDRESS(1,5,1,0,"KeySet"),0),":","""",valueMaker!E245,"""")</f>
        <v>kainGender:"女性"</v>
      </c>
      <c r="F245" t="str" cm="1">
        <f t="array" aca="1" ref="F245" ca="1">CONCATENATE(INDIRECT(ADDRESS(1,6,1,0,"KeySet"),0),":","""",TEXT(valueMaker!F245,"yyyy/m/d"),"""")</f>
        <v>tanjyoubi:"1960/5/12"</v>
      </c>
      <c r="G245" t="str" cm="1">
        <f t="array" aca="1" ref="G245" ca="1">CONCATENATE(INDIRECT(ADDRESS(1,6,1,0,"KeySet"),0),":","""",TEXT(valueMaker!G245,"yyyy/m/d"),"""")</f>
        <v>tanjyoubi:"1997/10/7"</v>
      </c>
      <c r="H245" t="str" cm="1">
        <f t="array" aca="1" ref="H245" ca="1">CONCATENATE(INDIRECT(ADDRESS(1,6,1,0,"KeySet"),0),":","""",TEXT(valueMaker!H245,"yyyy/m/d"),"""")</f>
        <v>tanjyoubi:"2000/10/6"</v>
      </c>
      <c r="I245" t="str" cm="1">
        <f t="array" aca="1" ref="I245" ca="1">CONCATENATE(INDIRECT(ADDRESS(1,9,1,0,"KeySet"),0),":","""",valueMaker!I245,"""")</f>
        <v>denwaBangou:"090-3123-8972"</v>
      </c>
      <c r="J245" t="str" cm="1">
        <f t="array" aca="1" ref="J245" ca="1">CONCATENATE(INDIRECT(ADDRESS(1,10,1,0,"KeySet"),0),":","""",valueMaker!J245,"""")</f>
        <v>mailAddress:"Ma_Gui_Xiao_35710@outlook.jp.co"</v>
      </c>
      <c r="K245" t="str" cm="1">
        <f t="array" aca="1" ref="K245" ca="1">CONCATENATE(INDIRECT(ADDRESS(1,11,1,0,"KeySet"),0),":","""",valueMaker!K245,"""")</f>
        <v>kaninSyubetu:"高級"</v>
      </c>
      <c r="L245" t="str" cm="1">
        <f t="array" aca="1" ref="L245" ca="1">CONCATENATE(INDIRECT(ADDRESS(1,12,1,0,"KeySet"),0),":","""",valueMaker!L245,"""")</f>
        <v>kaninKengenWB:"有り"</v>
      </c>
      <c r="M245" t="str" cm="1">
        <f t="array" aca="1" ref="M245" ca="1">CONCATENATE(INDIRECT(ADDRESS(1,13,1,0,"KeySet"),0),":","""",valueMaker!M245,"""")</f>
        <v>wakibiri:"10%"</v>
      </c>
      <c r="N245" t="str" cm="1">
        <f t="array" aca="1" ref="N245" ca="1">CONCATENATE(INDIRECT(ADDRESS(1,14,1,0,"KeySet"),0),":","""",valueMaker!N245,"""")</f>
        <v>kaninKengenPoint:"有り"</v>
      </c>
      <c r="O245" t="str" cm="1">
        <f t="array" aca="1" ref="O245" ca="1">CONCATENATE(INDIRECT(ADDRESS(1,15,1,0,"KeySet"),0),":","""",valueMaker!O245,"""")</f>
        <v>point:"78"</v>
      </c>
      <c r="P245" t="str" cm="1">
        <f t="array" aca="1" ref="P245" ca="1">CONCATENATE(INDIRECT(ADDRESS(1,16,1,0,"KeySet"),0),":","""",valueMaker!P245,"""")</f>
        <v>bikou:""</v>
      </c>
    </row>
    <row r="246" spans="1:16">
      <c r="A246" t="str" cm="1">
        <f t="array" aca="1" ref="A246" ca="1">CONCATENATE(INDIRECT(ADDRESS(1,1,1,0,"KeySet"),0),":","""",valueMaker!A246,"""")</f>
        <v>kainBangou:"TD10245"</v>
      </c>
      <c r="B246" t="str" cm="1">
        <f t="array" aca="1" ref="B246" ca="1">CONCATENATE(INDIRECT(ADDRESS(1,2,1,0,"KeySet"),0),":","""",valueMaker!B246,"""")</f>
        <v>kainMeiKanji:"楊武巧"</v>
      </c>
      <c r="C246" t="str" cm="1">
        <f t="array" aca="1" ref="C246" ca="1">CONCATENATE(INDIRECT(ADDRESS(1,3,1,0,"KeySet"),0),":","""",valueMaker!C246,"""")</f>
        <v>kainMeiKana:"ﾔｰﾝ ｳｰ ﾁﾔｵ"</v>
      </c>
      <c r="D246" t="str" cm="1">
        <f t="array" aca="1" ref="D246" ca="1">CONCATENATE(INDIRECT(ADDRESS(1,4,1,0,"KeySet"),0),":","""",valueMaker!D246,"""")</f>
        <v>kainMeiEn:"Yang Wu Qiao"</v>
      </c>
      <c r="E246" t="str" cm="1">
        <f t="array" aca="1" ref="E246" ca="1">CONCATENATE(INDIRECT(ADDRESS(1,5,1,0,"KeySet"),0),":","""",valueMaker!E246,"""")</f>
        <v>kainGender:"女性"</v>
      </c>
      <c r="F246" t="str" cm="1">
        <f t="array" aca="1" ref="F246" ca="1">CONCATENATE(INDIRECT(ADDRESS(1,6,1,0,"KeySet"),0),":","""",TEXT(valueMaker!F246,"yyyy/m/d"),"""")</f>
        <v>tanjyoubi:"1996/8/21"</v>
      </c>
      <c r="G246" t="str" cm="1">
        <f t="array" aca="1" ref="G246" ca="1">CONCATENATE(INDIRECT(ADDRESS(1,6,1,0,"KeySet"),0),":","""",TEXT(valueMaker!G246,"yyyy/m/d"),"""")</f>
        <v>tanjyoubi:"2022/10/19"</v>
      </c>
      <c r="H246" t="str" cm="1">
        <f t="array" aca="1" ref="H246" ca="1">CONCATENATE(INDIRECT(ADDRESS(1,6,1,0,"KeySet"),0),":","""",TEXT(valueMaker!H246,"yyyy/m/d"),"""")</f>
        <v>tanjyoubi:"2024/10/18"</v>
      </c>
      <c r="I246" t="str" cm="1">
        <f t="array" aca="1" ref="I246" ca="1">CONCATENATE(INDIRECT(ADDRESS(1,9,1,0,"KeySet"),0),":","""",valueMaker!I246,"""")</f>
        <v>denwaBangou:"090-3370-0570"</v>
      </c>
      <c r="J246" t="str" cm="1">
        <f t="array" aca="1" ref="J246" ca="1">CONCATENATE(INDIRECT(ADDRESS(1,10,1,0,"KeySet"),0),":","""",valueMaker!J246,"""")</f>
        <v>mailAddress:"Yang_Wu_Qiao_44853@outlook.jp.co"</v>
      </c>
      <c r="K246" t="str" cm="1">
        <f t="array" aca="1" ref="K246" ca="1">CONCATENATE(INDIRECT(ADDRESS(1,11,1,0,"KeySet"),0),":","""",valueMaker!K246,"""")</f>
        <v>kaninSyubetu:"普通"</v>
      </c>
      <c r="L246" t="str" cm="1">
        <f t="array" aca="1" ref="L246" ca="1">CONCATENATE(INDIRECT(ADDRESS(1,12,1,0,"KeySet"),0),":","""",valueMaker!L246,"""")</f>
        <v>kaninKengenWB:"-"</v>
      </c>
      <c r="M246" t="str" cm="1">
        <f t="array" aca="1" ref="M246" ca="1">CONCATENATE(INDIRECT(ADDRESS(1,13,1,0,"KeySet"),0),":","""",valueMaker!M246,"""")</f>
        <v>wakibiri:"-"</v>
      </c>
      <c r="N246" t="str" cm="1">
        <f t="array" aca="1" ref="N246" ca="1">CONCATENATE(INDIRECT(ADDRESS(1,14,1,0,"KeySet"),0),":","""",valueMaker!N246,"""")</f>
        <v>kaninKengenPoint:"-"</v>
      </c>
      <c r="O246" t="str" cm="1">
        <f t="array" aca="1" ref="O246" ca="1">CONCATENATE(INDIRECT(ADDRESS(1,15,1,0,"KeySet"),0),":","""",valueMaker!O246,"""")</f>
        <v>point:"-"</v>
      </c>
      <c r="P246" t="str" cm="1">
        <f t="array" aca="1" ref="P246" ca="1">CONCATENATE(INDIRECT(ADDRESS(1,16,1,0,"KeySet"),0),":","""",valueMaker!P246,"""")</f>
        <v>bikou:""</v>
      </c>
    </row>
    <row r="247" spans="1:16">
      <c r="A247" t="str" cm="1">
        <f t="array" aca="1" ref="A247" ca="1">CONCATENATE(INDIRECT(ADDRESS(1,1,1,0,"KeySet"),0),":","""",valueMaker!A247,"""")</f>
        <v>kainBangou:"TD10246"</v>
      </c>
      <c r="B247" t="str" cm="1">
        <f t="array" aca="1" ref="B247" ca="1">CONCATENATE(INDIRECT(ADDRESS(1,2,1,0,"KeySet"),0),":","""",valueMaker!B247,"""")</f>
        <v>kainMeiKanji:"徐彤媛"</v>
      </c>
      <c r="C247" t="str" cm="1">
        <f t="array" aca="1" ref="C247" ca="1">CONCATENATE(INDIRECT(ADDRESS(1,3,1,0,"KeySet"),0),":","""",valueMaker!C247,"""")</f>
        <v>kainMeiKana:"ｼｭｲ ﾄｰﾝ ﾕｴﾝ"</v>
      </c>
      <c r="D247" t="str" cm="1">
        <f t="array" aca="1" ref="D247" ca="1">CONCATENATE(INDIRECT(ADDRESS(1,4,1,0,"KeySet"),0),":","""",valueMaker!D247,"""")</f>
        <v>kainMeiEn:"Xu Tong Yuan"</v>
      </c>
      <c r="E247" t="str" cm="1">
        <f t="array" aca="1" ref="E247" ca="1">CONCATENATE(INDIRECT(ADDRESS(1,5,1,0,"KeySet"),0),":","""",valueMaker!E247,"""")</f>
        <v>kainGender:"男性"</v>
      </c>
      <c r="F247" t="str" cm="1">
        <f t="array" aca="1" ref="F247" ca="1">CONCATENATE(INDIRECT(ADDRESS(1,6,1,0,"KeySet"),0),":","""",TEXT(valueMaker!F247,"yyyy/m/d"),"""")</f>
        <v>tanjyoubi:"1962/11/29"</v>
      </c>
      <c r="G247" t="str" cm="1">
        <f t="array" aca="1" ref="G247" ca="1">CONCATENATE(INDIRECT(ADDRESS(1,6,1,0,"KeySet"),0),":","""",TEXT(valueMaker!G247,"yyyy/m/d"),"""")</f>
        <v>tanjyoubi:"1982/9/16"</v>
      </c>
      <c r="H247" t="str" cm="1">
        <f t="array" aca="1" ref="H247" ca="1">CONCATENATE(INDIRECT(ADDRESS(1,6,1,0,"KeySet"),0),":","""",TEXT(valueMaker!H247,"yyyy/m/d"),"""")</f>
        <v>tanjyoubi:"1985/9/15"</v>
      </c>
      <c r="I247" t="str" cm="1">
        <f t="array" aca="1" ref="I247" ca="1">CONCATENATE(INDIRECT(ADDRESS(1,9,1,0,"KeySet"),0),":","""",valueMaker!I247,"""")</f>
        <v>denwaBangou:"090-0979-1835"</v>
      </c>
      <c r="J247" t="str" cm="1">
        <f t="array" aca="1" ref="J247" ca="1">CONCATENATE(INDIRECT(ADDRESS(1,10,1,0,"KeySet"),0),":","""",valueMaker!J247,"""")</f>
        <v>mailAddress:"Xu_Tong_Yuan_30210@outlook.jp.co"</v>
      </c>
      <c r="K247" t="str" cm="1">
        <f t="array" aca="1" ref="K247" ca="1">CONCATENATE(INDIRECT(ADDRESS(1,11,1,0,"KeySet"),0),":","""",valueMaker!K247,"""")</f>
        <v>kaninSyubetu:"高級"</v>
      </c>
      <c r="L247" t="str" cm="1">
        <f t="array" aca="1" ref="L247" ca="1">CONCATENATE(INDIRECT(ADDRESS(1,12,1,0,"KeySet"),0),":","""",valueMaker!L247,"""")</f>
        <v>kaninKengenWB:"-"</v>
      </c>
      <c r="M247" t="str" cm="1">
        <f t="array" aca="1" ref="M247" ca="1">CONCATENATE(INDIRECT(ADDRESS(1,13,1,0,"KeySet"),0),":","""",valueMaker!M247,"""")</f>
        <v>wakibiri:"-"</v>
      </c>
      <c r="N247" t="str" cm="1">
        <f t="array" aca="1" ref="N247" ca="1">CONCATENATE(INDIRECT(ADDRESS(1,14,1,0,"KeySet"),0),":","""",valueMaker!N247,"""")</f>
        <v>kaninKengenPoint:"-"</v>
      </c>
      <c r="O247" t="str" cm="1">
        <f t="array" aca="1" ref="O247" ca="1">CONCATENATE(INDIRECT(ADDRESS(1,15,1,0,"KeySet"),0),":","""",valueMaker!O247,"""")</f>
        <v>point:"-"</v>
      </c>
      <c r="P247" t="str" cm="1">
        <f t="array" aca="1" ref="P247" ca="1">CONCATENATE(INDIRECT(ADDRESS(1,16,1,0,"KeySet"),0),":","""",valueMaker!P247,"""")</f>
        <v>bikou:""</v>
      </c>
    </row>
    <row r="248" spans="1:16">
      <c r="A248" t="str" cm="1">
        <f t="array" aca="1" ref="A248" ca="1">CONCATENATE(INDIRECT(ADDRESS(1,1,1,0,"KeySet"),0),":","""",valueMaker!A248,"""")</f>
        <v>kainBangou:"TD10247"</v>
      </c>
      <c r="B248" t="str" cm="1">
        <f t="array" aca="1" ref="B248" ca="1">CONCATENATE(INDIRECT(ADDRESS(1,2,1,0,"KeySet"),0),":","""",valueMaker!B248,"""")</f>
        <v>kainMeiKanji:"張博松"</v>
      </c>
      <c r="C248" t="str" cm="1">
        <f t="array" aca="1" ref="C248" ca="1">CONCATENATE(INDIRECT(ADDRESS(1,3,1,0,"KeySet"),0),":","""",valueMaker!C248,"""")</f>
        <v>kainMeiKana:"ｼﾞｬｰﾝ ﾎﾞｰ ｿｰﾝ"</v>
      </c>
      <c r="D248" t="str" cm="1">
        <f t="array" aca="1" ref="D248" ca="1">CONCATENATE(INDIRECT(ADDRESS(1,4,1,0,"KeySet"),0),":","""",valueMaker!D248,"""")</f>
        <v>kainMeiEn:"Zhang Bo Song"</v>
      </c>
      <c r="E248" t="str" cm="1">
        <f t="array" aca="1" ref="E248" ca="1">CONCATENATE(INDIRECT(ADDRESS(1,5,1,0,"KeySet"),0),":","""",valueMaker!E248,"""")</f>
        <v>kainGender:"男性"</v>
      </c>
      <c r="F248" t="str" cm="1">
        <f t="array" aca="1" ref="F248" ca="1">CONCATENATE(INDIRECT(ADDRESS(1,6,1,0,"KeySet"),0),":","""",TEXT(valueMaker!F248,"yyyy/m/d"),"""")</f>
        <v>tanjyoubi:"1980/6/11"</v>
      </c>
      <c r="G248" t="str" cm="1">
        <f t="array" aca="1" ref="G248" ca="1">CONCATENATE(INDIRECT(ADDRESS(1,6,1,0,"KeySet"),0),":","""",TEXT(valueMaker!G248,"yyyy/m/d"),"""")</f>
        <v>tanjyoubi:"2012/5/19"</v>
      </c>
      <c r="H248" t="str" cm="1">
        <f t="array" aca="1" ref="H248" ca="1">CONCATENATE(INDIRECT(ADDRESS(1,6,1,0,"KeySet"),0),":","""",TEXT(valueMaker!H248,"yyyy/m/d"),"""")</f>
        <v>tanjyoubi:"2013/5/19"</v>
      </c>
      <c r="I248" t="str" cm="1">
        <f t="array" aca="1" ref="I248" ca="1">CONCATENATE(INDIRECT(ADDRESS(1,9,1,0,"KeySet"),0),":","""",valueMaker!I248,"""")</f>
        <v>denwaBangou:"080-9239-6950"</v>
      </c>
      <c r="J248" t="str" cm="1">
        <f t="array" aca="1" ref="J248" ca="1">CONCATENATE(INDIRECT(ADDRESS(1,10,1,0,"KeySet"),0),":","""",valueMaker!J248,"""")</f>
        <v>mailAddress:"Zhang_Bo_Song_41048@outlook.jp.co"</v>
      </c>
      <c r="K248" t="str" cm="1">
        <f t="array" aca="1" ref="K248" ca="1">CONCATENATE(INDIRECT(ADDRESS(1,11,1,0,"KeySet"),0),":","""",valueMaker!K248,"""")</f>
        <v>kaninSyubetu:"高級"</v>
      </c>
      <c r="L248" t="str" cm="1">
        <f t="array" aca="1" ref="L248" ca="1">CONCATENATE(INDIRECT(ADDRESS(1,12,1,0,"KeySet"),0),":","""",valueMaker!L248,"""")</f>
        <v>kaninKengenWB:"有り"</v>
      </c>
      <c r="M248" t="str" cm="1">
        <f t="array" aca="1" ref="M248" ca="1">CONCATENATE(INDIRECT(ADDRESS(1,13,1,0,"KeySet"),0),":","""",valueMaker!M248,"""")</f>
        <v>wakibiri:"10%"</v>
      </c>
      <c r="N248" t="str" cm="1">
        <f t="array" aca="1" ref="N248" ca="1">CONCATENATE(INDIRECT(ADDRESS(1,14,1,0,"KeySet"),0),":","""",valueMaker!N248,"""")</f>
        <v>kaninKengenPoint:"有り"</v>
      </c>
      <c r="O248" t="str" cm="1">
        <f t="array" aca="1" ref="O248" ca="1">CONCATENATE(INDIRECT(ADDRESS(1,15,1,0,"KeySet"),0),":","""",valueMaker!O248,"""")</f>
        <v>point:"866"</v>
      </c>
      <c r="P248" t="str" cm="1">
        <f t="array" aca="1" ref="P248" ca="1">CONCATENATE(INDIRECT(ADDRESS(1,16,1,0,"KeySet"),0),":","""",valueMaker!P248,"""")</f>
        <v>bikou:""</v>
      </c>
    </row>
    <row r="249" spans="1:16">
      <c r="A249" t="str" cm="1">
        <f t="array" aca="1" ref="A249" ca="1">CONCATENATE(INDIRECT(ADDRESS(1,1,1,0,"KeySet"),0),":","""",valueMaker!A249,"""")</f>
        <v>kainBangou:"TD10248"</v>
      </c>
      <c r="B249" t="str" cm="1">
        <f t="array" aca="1" ref="B249" ca="1">CONCATENATE(INDIRECT(ADDRESS(1,2,1,0,"KeySet"),0),":","""",valueMaker!B249,"""")</f>
        <v>kainMeiKanji:"唐迎臣"</v>
      </c>
      <c r="C249" t="str" cm="1">
        <f t="array" aca="1" ref="C249" ca="1">CONCATENATE(INDIRECT(ADDRESS(1,3,1,0,"KeySet"),0),":","""",valueMaker!C249,"""")</f>
        <v>kainMeiKana:"ﾀｰﾝ ｲｰﾝ ﾁｪﾝ"</v>
      </c>
      <c r="D249" t="str" cm="1">
        <f t="array" aca="1" ref="D249" ca="1">CONCATENATE(INDIRECT(ADDRESS(1,4,1,0,"KeySet"),0),":","""",valueMaker!D249,"""")</f>
        <v>kainMeiEn:"Tang Ying Chen"</v>
      </c>
      <c r="E249" t="str" cm="1">
        <f t="array" aca="1" ref="E249" ca="1">CONCATENATE(INDIRECT(ADDRESS(1,5,1,0,"KeySet"),0),":","""",valueMaker!E249,"""")</f>
        <v>kainGender:"女性"</v>
      </c>
      <c r="F249" t="str" cm="1">
        <f t="array" aca="1" ref="F249" ca="1">CONCATENATE(INDIRECT(ADDRESS(1,6,1,0,"KeySet"),0),":","""",TEXT(valueMaker!F249,"yyyy/m/d"),"""")</f>
        <v>tanjyoubi:"1975/5/15"</v>
      </c>
      <c r="G249" t="str" cm="1">
        <f t="array" aca="1" ref="G249" ca="1">CONCATENATE(INDIRECT(ADDRESS(1,6,1,0,"KeySet"),0),":","""",TEXT(valueMaker!G249,"yyyy/m/d"),"""")</f>
        <v>tanjyoubi:"2019/4/3"</v>
      </c>
      <c r="H249" t="str" cm="1">
        <f t="array" aca="1" ref="H249" ca="1">CONCATENATE(INDIRECT(ADDRESS(1,6,1,0,"KeySet"),0),":","""",TEXT(valueMaker!H249,"yyyy/m/d"),"""")</f>
        <v>tanjyoubi:"2022/4/2"</v>
      </c>
      <c r="I249" t="str" cm="1">
        <f t="array" aca="1" ref="I249" ca="1">CONCATENATE(INDIRECT(ADDRESS(1,9,1,0,"KeySet"),0),":","""",valueMaker!I249,"""")</f>
        <v>denwaBangou:"080-4205-0518"</v>
      </c>
      <c r="J249" t="str" cm="1">
        <f t="array" aca="1" ref="J249" ca="1">CONCATENATE(INDIRECT(ADDRESS(1,10,1,0,"KeySet"),0),":","""",valueMaker!J249,"""")</f>
        <v>mailAddress:"Tang_Ying_Chen_43558@outlook.jp.co"</v>
      </c>
      <c r="K249" t="str" cm="1">
        <f t="array" aca="1" ref="K249" ca="1">CONCATENATE(INDIRECT(ADDRESS(1,11,1,0,"KeySet"),0),":","""",valueMaker!K249,"""")</f>
        <v>kaninSyubetu:"普通"</v>
      </c>
      <c r="L249" t="str" cm="1">
        <f t="array" aca="1" ref="L249" ca="1">CONCATENATE(INDIRECT(ADDRESS(1,12,1,0,"KeySet"),0),":","""",valueMaker!L249,"""")</f>
        <v>kaninKengenWB:"有り"</v>
      </c>
      <c r="M249" t="str" cm="1">
        <f t="array" aca="1" ref="M249" ca="1">CONCATENATE(INDIRECT(ADDRESS(1,13,1,0,"KeySet"),0),":","""",valueMaker!M249,"""")</f>
        <v>wakibiri:"5%"</v>
      </c>
      <c r="N249" t="str" cm="1">
        <f t="array" aca="1" ref="N249" ca="1">CONCATENATE(INDIRECT(ADDRESS(1,14,1,0,"KeySet"),0),":","""",valueMaker!N249,"""")</f>
        <v>kaninKengenPoint:"有り"</v>
      </c>
      <c r="O249" t="str" cm="1">
        <f t="array" aca="1" ref="O249" ca="1">CONCATENATE(INDIRECT(ADDRESS(1,15,1,0,"KeySet"),0),":","""",valueMaker!O249,"""")</f>
        <v>point:"265"</v>
      </c>
      <c r="P249" t="str" cm="1">
        <f t="array" aca="1" ref="P249" ca="1">CONCATENATE(INDIRECT(ADDRESS(1,16,1,0,"KeySet"),0),":","""",valueMaker!P249,"""")</f>
        <v>bikou:""</v>
      </c>
    </row>
    <row r="250" spans="1:16">
      <c r="A250" t="str" cm="1">
        <f t="array" aca="1" ref="A250" ca="1">CONCATENATE(INDIRECT(ADDRESS(1,1,1,0,"KeySet"),0),":","""",valueMaker!A250,"""")</f>
        <v>kainBangou:"TD10249"</v>
      </c>
      <c r="B250" t="str" cm="1">
        <f t="array" aca="1" ref="B250" ca="1">CONCATENATE(INDIRECT(ADDRESS(1,2,1,0,"KeySet"),0),":","""",valueMaker!B250,"""")</f>
        <v>kainMeiKanji:"張冠聆"</v>
      </c>
      <c r="C250" t="str" cm="1">
        <f t="array" aca="1" ref="C250" ca="1">CONCATENATE(INDIRECT(ADDRESS(1,3,1,0,"KeySet"),0),":","""",valueMaker!C250,"""")</f>
        <v>kainMeiKana:"ｼﾞｬｰﾝ ｸﾞﾜﾝ ﾘｰﾝ"</v>
      </c>
      <c r="D250" t="str" cm="1">
        <f t="array" aca="1" ref="D250" ca="1">CONCATENATE(INDIRECT(ADDRESS(1,4,1,0,"KeySet"),0),":","""",valueMaker!D250,"""")</f>
        <v>kainMeiEn:"Zhang Guan Ling"</v>
      </c>
      <c r="E250" t="str" cm="1">
        <f t="array" aca="1" ref="E250" ca="1">CONCATENATE(INDIRECT(ADDRESS(1,5,1,0,"KeySet"),0),":","""",valueMaker!E250,"""")</f>
        <v>kainGender:"男性"</v>
      </c>
      <c r="F250" t="str" cm="1">
        <f t="array" aca="1" ref="F250" ca="1">CONCATENATE(INDIRECT(ADDRESS(1,6,1,0,"KeySet"),0),":","""",TEXT(valueMaker!F250,"yyyy/m/d"),"""")</f>
        <v>tanjyoubi:"1989/5/31"</v>
      </c>
      <c r="G250" t="str" cm="1">
        <f t="array" aca="1" ref="G250" ca="1">CONCATENATE(INDIRECT(ADDRESS(1,6,1,0,"KeySet"),0),":","""",TEXT(valueMaker!G250,"yyyy/m/d"),"""")</f>
        <v>tanjyoubi:"2018/3/14"</v>
      </c>
      <c r="H250" t="str" cm="1">
        <f t="array" aca="1" ref="H250" ca="1">CONCATENATE(INDIRECT(ADDRESS(1,6,1,0,"KeySet"),0),":","""",TEXT(valueMaker!H250,"yyyy/m/d"),"""")</f>
        <v>tanjyoubi:"2019/3/14"</v>
      </c>
      <c r="I250" t="str" cm="1">
        <f t="array" aca="1" ref="I250" ca="1">CONCATENATE(INDIRECT(ADDRESS(1,9,1,0,"KeySet"),0),":","""",valueMaker!I250,"""")</f>
        <v>denwaBangou:"090-6571-9783"</v>
      </c>
      <c r="J250" t="str" cm="1">
        <f t="array" aca="1" ref="J250" ca="1">CONCATENATE(INDIRECT(ADDRESS(1,10,1,0,"KeySet"),0),":","""",valueMaker!J250,"""")</f>
        <v>mailAddress:"Zhang_Guan_Ling_43173@outlook.jp.co"</v>
      </c>
      <c r="K250" t="str" cm="1">
        <f t="array" aca="1" ref="K250" ca="1">CONCATENATE(INDIRECT(ADDRESS(1,11,1,0,"KeySet"),0),":","""",valueMaker!K250,"""")</f>
        <v>kaninSyubetu:"高級"</v>
      </c>
      <c r="L250" t="str" cm="1">
        <f t="array" aca="1" ref="L250" ca="1">CONCATENATE(INDIRECT(ADDRESS(1,12,1,0,"KeySet"),0),":","""",valueMaker!L250,"""")</f>
        <v>kaninKengenWB:"有り"</v>
      </c>
      <c r="M250" t="str" cm="1">
        <f t="array" aca="1" ref="M250" ca="1">CONCATENATE(INDIRECT(ADDRESS(1,13,1,0,"KeySet"),0),":","""",valueMaker!M250,"""")</f>
        <v>wakibiri:"10%"</v>
      </c>
      <c r="N250" t="str" cm="1">
        <f t="array" aca="1" ref="N250" ca="1">CONCATENATE(INDIRECT(ADDRESS(1,14,1,0,"KeySet"),0),":","""",valueMaker!N250,"""")</f>
        <v>kaninKengenPoint:"有り"</v>
      </c>
      <c r="O250" t="str" cm="1">
        <f t="array" aca="1" ref="O250" ca="1">CONCATENATE(INDIRECT(ADDRESS(1,15,1,0,"KeySet"),0),":","""",valueMaker!O250,"""")</f>
        <v>point:"117"</v>
      </c>
      <c r="P250" t="str" cm="1">
        <f t="array" aca="1" ref="P250" ca="1">CONCATENATE(INDIRECT(ADDRESS(1,16,1,0,"KeySet"),0),":","""",valueMaker!P250,"""")</f>
        <v>bikou:""</v>
      </c>
    </row>
    <row r="251" spans="1:16">
      <c r="A251" t="str" cm="1">
        <f t="array" aca="1" ref="A251" ca="1">CONCATENATE(INDIRECT(ADDRESS(1,1,1,0,"KeySet"),0),":","""",valueMaker!A251,"""")</f>
        <v>kainBangou:"TD10250"</v>
      </c>
      <c r="B251" t="str" cm="1">
        <f t="array" aca="1" ref="B251" ca="1">CONCATENATE(INDIRECT(ADDRESS(1,2,1,0,"KeySet"),0),":","""",valueMaker!B251,"""")</f>
        <v>kainMeiKanji:"馬輝琛"</v>
      </c>
      <c r="C251" t="str" cm="1">
        <f t="array" aca="1" ref="C251" ca="1">CONCATENATE(INDIRECT(ADDRESS(1,3,1,0,"KeySet"),0),":","""",valueMaker!C251,"""")</f>
        <v>kainMeiKana:"ﾏｰ ﾎｩｲ ﾁｪﾝ"</v>
      </c>
      <c r="D251" t="str" cm="1">
        <f t="array" aca="1" ref="D251" ca="1">CONCATENATE(INDIRECT(ADDRESS(1,4,1,0,"KeySet"),0),":","""",valueMaker!D251,"""")</f>
        <v>kainMeiEn:"Ma Hui Chen"</v>
      </c>
      <c r="E251" t="str" cm="1">
        <f t="array" aca="1" ref="E251" ca="1">CONCATENATE(INDIRECT(ADDRESS(1,5,1,0,"KeySet"),0),":","""",valueMaker!E251,"""")</f>
        <v>kainGender:"男性"</v>
      </c>
      <c r="F251" t="str" cm="1">
        <f t="array" aca="1" ref="F251" ca="1">CONCATENATE(INDIRECT(ADDRESS(1,6,1,0,"KeySet"),0),":","""",TEXT(valueMaker!F251,"yyyy/m/d"),"""")</f>
        <v>tanjyoubi:"1988/6/26"</v>
      </c>
      <c r="G251" t="str" cm="1">
        <f t="array" aca="1" ref="G251" ca="1">CONCATENATE(INDIRECT(ADDRESS(1,6,1,0,"KeySet"),0),":","""",TEXT(valueMaker!G251,"yyyy/m/d"),"""")</f>
        <v>tanjyoubi:"2018/8/13"</v>
      </c>
      <c r="H251" t="str" cm="1">
        <f t="array" aca="1" ref="H251" ca="1">CONCATENATE(INDIRECT(ADDRESS(1,6,1,0,"KeySet"),0),":","""",TEXT(valueMaker!H251,"yyyy/m/d"),"""")</f>
        <v>tanjyoubi:"2020/8/12"</v>
      </c>
      <c r="I251" t="str" cm="1">
        <f t="array" aca="1" ref="I251" ca="1">CONCATENATE(INDIRECT(ADDRESS(1,9,1,0,"KeySet"),0),":","""",valueMaker!I251,"""")</f>
        <v>denwaBangou:"090-5125-9683"</v>
      </c>
      <c r="J251" t="str" cm="1">
        <f t="array" aca="1" ref="J251" ca="1">CONCATENATE(INDIRECT(ADDRESS(1,10,1,0,"KeySet"),0),":","""",valueMaker!J251,"""")</f>
        <v>mailAddress:"Ma_Hui_Chen_43325@outlook.jp.co"</v>
      </c>
      <c r="K251" t="str" cm="1">
        <f t="array" aca="1" ref="K251" ca="1">CONCATENATE(INDIRECT(ADDRESS(1,11,1,0,"KeySet"),0),":","""",valueMaker!K251,"""")</f>
        <v>kaninSyubetu:"普通"</v>
      </c>
      <c r="L251" t="str" cm="1">
        <f t="array" aca="1" ref="L251" ca="1">CONCATENATE(INDIRECT(ADDRESS(1,12,1,0,"KeySet"),0),":","""",valueMaker!L251,"""")</f>
        <v>kaninKengenWB:"有り"</v>
      </c>
      <c r="M251" t="str" cm="1">
        <f t="array" aca="1" ref="M251" ca="1">CONCATENATE(INDIRECT(ADDRESS(1,13,1,0,"KeySet"),0),":","""",valueMaker!M251,"""")</f>
        <v>wakibiri:"5%"</v>
      </c>
      <c r="N251" t="str" cm="1">
        <f t="array" aca="1" ref="N251" ca="1">CONCATENATE(INDIRECT(ADDRESS(1,14,1,0,"KeySet"),0),":","""",valueMaker!N251,"""")</f>
        <v>kaninKengenPoint:"-"</v>
      </c>
      <c r="O251" t="str" cm="1">
        <f t="array" aca="1" ref="O251" ca="1">CONCATENATE(INDIRECT(ADDRESS(1,15,1,0,"KeySet"),0),":","""",valueMaker!O251,"""")</f>
        <v>point:"-"</v>
      </c>
      <c r="P251" t="str" cm="1">
        <f t="array" aca="1" ref="P251" ca="1">CONCATENATE(INDIRECT(ADDRESS(1,16,1,0,"KeySet"),0),":","""",valueMaker!P251,"""")</f>
        <v>bikou:""</v>
      </c>
    </row>
    <row r="252" spans="1:16">
      <c r="A252" t="str" cm="1">
        <f t="array" aca="1" ref="A252" ca="1">CONCATENATE(INDIRECT(ADDRESS(1,1,1,0,"KeySet"),0),":","""",valueMaker!A252,"""")</f>
        <v>kainBangou:"TD10251"</v>
      </c>
      <c r="B252" t="str" cm="1">
        <f t="array" aca="1" ref="B252" ca="1">CONCATENATE(INDIRECT(ADDRESS(1,2,1,0,"KeySet"),0),":","""",valueMaker!B252,"""")</f>
        <v>kainMeiKanji:"馮都耿"</v>
      </c>
      <c r="C252" t="str" cm="1">
        <f t="array" aca="1" ref="C252" ca="1">CONCATENATE(INDIRECT(ADDRESS(1,3,1,0,"KeySet"),0),":","""",valueMaker!C252,"""")</f>
        <v>kainMeiKana:"ﾌｵﾝ ﾄﾞｳ ｸﾞｵﾝ"</v>
      </c>
      <c r="D252" t="str" cm="1">
        <f t="array" aca="1" ref="D252" ca="1">CONCATENATE(INDIRECT(ADDRESS(1,4,1,0,"KeySet"),0),":","""",valueMaker!D252,"""")</f>
        <v>kainMeiEn:"Feng Dou Geng"</v>
      </c>
      <c r="E252" t="str" cm="1">
        <f t="array" aca="1" ref="E252" ca="1">CONCATENATE(INDIRECT(ADDRESS(1,5,1,0,"KeySet"),0),":","""",valueMaker!E252,"""")</f>
        <v>kainGender:"男性"</v>
      </c>
      <c r="F252" t="str" cm="1">
        <f t="array" aca="1" ref="F252" ca="1">CONCATENATE(INDIRECT(ADDRESS(1,6,1,0,"KeySet"),0),":","""",TEXT(valueMaker!F252,"yyyy/m/d"),"""")</f>
        <v>tanjyoubi:"1979/2/4"</v>
      </c>
      <c r="G252" t="str" cm="1">
        <f t="array" aca="1" ref="G252" ca="1">CONCATENATE(INDIRECT(ADDRESS(1,6,1,0,"KeySet"),0),":","""",TEXT(valueMaker!G252,"yyyy/m/d"),"""")</f>
        <v>tanjyoubi:"2003/7/14"</v>
      </c>
      <c r="H252" t="str" cm="1">
        <f t="array" aca="1" ref="H252" ca="1">CONCATENATE(INDIRECT(ADDRESS(1,6,1,0,"KeySet"),0),":","""",TEXT(valueMaker!H252,"yyyy/m/d"),"""")</f>
        <v>tanjyoubi:"2004/7/13"</v>
      </c>
      <c r="I252" t="str" cm="1">
        <f t="array" aca="1" ref="I252" ca="1">CONCATENATE(INDIRECT(ADDRESS(1,9,1,0,"KeySet"),0),":","""",valueMaker!I252,"""")</f>
        <v>denwaBangou:"080-7001-7315"</v>
      </c>
      <c r="J252" t="str" cm="1">
        <f t="array" aca="1" ref="J252" ca="1">CONCATENATE(INDIRECT(ADDRESS(1,10,1,0,"KeySet"),0),":","""",valueMaker!J252,"""")</f>
        <v>mailAddress:"Feng_Dou Geng_37816@outlook.jp.co"</v>
      </c>
      <c r="K252" t="str" cm="1">
        <f t="array" aca="1" ref="K252" ca="1">CONCATENATE(INDIRECT(ADDRESS(1,11,1,0,"KeySet"),0),":","""",valueMaker!K252,"""")</f>
        <v>kaninSyubetu:"普通"</v>
      </c>
      <c r="L252" t="str" cm="1">
        <f t="array" aca="1" ref="L252" ca="1">CONCATENATE(INDIRECT(ADDRESS(1,12,1,0,"KeySet"),0),":","""",valueMaker!L252,"""")</f>
        <v>kaninKengenWB:"有り"</v>
      </c>
      <c r="M252" t="str" cm="1">
        <f t="array" aca="1" ref="M252" ca="1">CONCATENATE(INDIRECT(ADDRESS(1,13,1,0,"KeySet"),0),":","""",valueMaker!M252,"""")</f>
        <v>wakibiri:"5%"</v>
      </c>
      <c r="N252" t="str" cm="1">
        <f t="array" aca="1" ref="N252" ca="1">CONCATENATE(INDIRECT(ADDRESS(1,14,1,0,"KeySet"),0),":","""",valueMaker!N252,"""")</f>
        <v>kaninKengenPoint:"有り"</v>
      </c>
      <c r="O252" t="str" cm="1">
        <f t="array" aca="1" ref="O252" ca="1">CONCATENATE(INDIRECT(ADDRESS(1,15,1,0,"KeySet"),0),":","""",valueMaker!O252,"""")</f>
        <v>point:"121"</v>
      </c>
      <c r="P252" t="str" cm="1">
        <f t="array" aca="1" ref="P252" ca="1">CONCATENATE(INDIRECT(ADDRESS(1,16,1,0,"KeySet"),0),":","""",valueMaker!P252,"""")</f>
        <v>bikou:""</v>
      </c>
    </row>
    <row r="253" spans="1:16">
      <c r="A253" t="str" cm="1">
        <f t="array" aca="1" ref="A253" ca="1">CONCATENATE(INDIRECT(ADDRESS(1,1,1,0,"KeySet"),0),":","""",valueMaker!A253,"""")</f>
        <v>kainBangou:"TD10252"</v>
      </c>
      <c r="B253" t="str" cm="1">
        <f t="array" aca="1" ref="B253" ca="1">CONCATENATE(INDIRECT(ADDRESS(1,2,1,0,"KeySet"),0),":","""",valueMaker!B253,"""")</f>
        <v>kainMeiKanji:"黃冠俊"</v>
      </c>
      <c r="C253" t="str" cm="1">
        <f t="array" aca="1" ref="C253" ca="1">CONCATENATE(INDIRECT(ADDRESS(1,3,1,0,"KeySet"),0),":","""",valueMaker!C253,"""")</f>
        <v>kainMeiKana:"ﾎﾜｰﾝ ｸﾞﾜﾝ ｼﾞｭｲﾝ"</v>
      </c>
      <c r="D253" t="str" cm="1">
        <f t="array" aca="1" ref="D253" ca="1">CONCATENATE(INDIRECT(ADDRESS(1,4,1,0,"KeySet"),0),":","""",valueMaker!D253,"""")</f>
        <v>kainMeiEn:"Huang Guan Jun"</v>
      </c>
      <c r="E253" t="str" cm="1">
        <f t="array" aca="1" ref="E253" ca="1">CONCATENATE(INDIRECT(ADDRESS(1,5,1,0,"KeySet"),0),":","""",valueMaker!E253,"""")</f>
        <v>kainGender:"女性"</v>
      </c>
      <c r="F253" t="str" cm="1">
        <f t="array" aca="1" ref="F253" ca="1">CONCATENATE(INDIRECT(ADDRESS(1,6,1,0,"KeySet"),0),":","""",TEXT(valueMaker!F253,"yyyy/m/d"),"""")</f>
        <v>tanjyoubi:"1987/12/21"</v>
      </c>
      <c r="G253" t="str" cm="1">
        <f t="array" aca="1" ref="G253" ca="1">CONCATENATE(INDIRECT(ADDRESS(1,6,1,0,"KeySet"),0),":","""",TEXT(valueMaker!G253,"yyyy/m/d"),"""")</f>
        <v>tanjyoubi:"2020/9/28"</v>
      </c>
      <c r="H253" t="str" cm="1">
        <f t="array" aca="1" ref="H253" ca="1">CONCATENATE(INDIRECT(ADDRESS(1,6,1,0,"KeySet"),0),":","""",TEXT(valueMaker!H253,"yyyy/m/d"),"""")</f>
        <v>tanjyoubi:"2021/9/28"</v>
      </c>
      <c r="I253" t="str" cm="1">
        <f t="array" aca="1" ref="I253" ca="1">CONCATENATE(INDIRECT(ADDRESS(1,9,1,0,"KeySet"),0),":","""",valueMaker!I253,"""")</f>
        <v>denwaBangou:"090-1836-4805"</v>
      </c>
      <c r="J253" t="str" cm="1">
        <f t="array" aca="1" ref="J253" ca="1">CONCATENATE(INDIRECT(ADDRESS(1,10,1,0,"KeySet"),0),":","""",valueMaker!J253,"""")</f>
        <v>mailAddress:"Huang_Guan_Jun_44102@outlook.jp.co"</v>
      </c>
      <c r="K253" t="str" cm="1">
        <f t="array" aca="1" ref="K253" ca="1">CONCATENATE(INDIRECT(ADDRESS(1,11,1,0,"KeySet"),0),":","""",valueMaker!K253,"""")</f>
        <v>kaninSyubetu:"高級"</v>
      </c>
      <c r="L253" t="str" cm="1">
        <f t="array" aca="1" ref="L253" ca="1">CONCATENATE(INDIRECT(ADDRESS(1,12,1,0,"KeySet"),0),":","""",valueMaker!L253,"""")</f>
        <v>kaninKengenWB:"有り"</v>
      </c>
      <c r="M253" t="str" cm="1">
        <f t="array" aca="1" ref="M253" ca="1">CONCATENATE(INDIRECT(ADDRESS(1,13,1,0,"KeySet"),0),":","""",valueMaker!M253,"""")</f>
        <v>wakibiri:"10%"</v>
      </c>
      <c r="N253" t="str" cm="1">
        <f t="array" aca="1" ref="N253" ca="1">CONCATENATE(INDIRECT(ADDRESS(1,14,1,0,"KeySet"),0),":","""",valueMaker!N253,"""")</f>
        <v>kaninKengenPoint:"-"</v>
      </c>
      <c r="O253" t="str" cm="1">
        <f t="array" aca="1" ref="O253" ca="1">CONCATENATE(INDIRECT(ADDRESS(1,15,1,0,"KeySet"),0),":","""",valueMaker!O253,"""")</f>
        <v>point:"-"</v>
      </c>
      <c r="P253" t="str" cm="1">
        <f t="array" aca="1" ref="P253" ca="1">CONCATENATE(INDIRECT(ADDRESS(1,16,1,0,"KeySet"),0),":","""",valueMaker!P253,"""")</f>
        <v>bikou:""</v>
      </c>
    </row>
    <row r="254" spans="1:16">
      <c r="A254" t="str" cm="1">
        <f t="array" aca="1" ref="A254" ca="1">CONCATENATE(INDIRECT(ADDRESS(1,1,1,0,"KeySet"),0),":","""",valueMaker!A254,"""")</f>
        <v>kainBangou:"TD10253"</v>
      </c>
      <c r="B254" t="str" cm="1">
        <f t="array" aca="1" ref="B254" ca="1">CONCATENATE(INDIRECT(ADDRESS(1,2,1,0,"KeySet"),0),":","""",valueMaker!B254,"""")</f>
        <v>kainMeiKanji:"于真物"</v>
      </c>
      <c r="C254" t="str" cm="1">
        <f t="array" aca="1" ref="C254" ca="1">CONCATENATE(INDIRECT(ADDRESS(1,3,1,0,"KeySet"),0),":","""",valueMaker!C254,"""")</f>
        <v>kainMeiKana:"ﾕｲ ｼﾞｪﾝ ｳｰ"</v>
      </c>
      <c r="D254" t="str" cm="1">
        <f t="array" aca="1" ref="D254" ca="1">CONCATENATE(INDIRECT(ADDRESS(1,4,1,0,"KeySet"),0),":","""",valueMaker!D254,"""")</f>
        <v>kainMeiEn:"Yu Zhen Wu"</v>
      </c>
      <c r="E254" t="str" cm="1">
        <f t="array" aca="1" ref="E254" ca="1">CONCATENATE(INDIRECT(ADDRESS(1,5,1,0,"KeySet"),0),":","""",valueMaker!E254,"""")</f>
        <v>kainGender:"女性"</v>
      </c>
      <c r="F254" t="str" cm="1">
        <f t="array" aca="1" ref="F254" ca="1">CONCATENATE(INDIRECT(ADDRESS(1,6,1,0,"KeySet"),0),":","""",TEXT(valueMaker!F254,"yyyy/m/d"),"""")</f>
        <v>tanjyoubi:"1984/5/14"</v>
      </c>
      <c r="G254" t="str" cm="1">
        <f t="array" aca="1" ref="G254" ca="1">CONCATENATE(INDIRECT(ADDRESS(1,6,1,0,"KeySet"),0),":","""",TEXT(valueMaker!G254,"yyyy/m/d"),"""")</f>
        <v>tanjyoubi:"2004/5/29"</v>
      </c>
      <c r="H254" t="str" cm="1">
        <f t="array" aca="1" ref="H254" ca="1">CONCATENATE(INDIRECT(ADDRESS(1,6,1,0,"KeySet"),0),":","""",TEXT(valueMaker!H254,"yyyy/m/d"),"""")</f>
        <v>tanjyoubi:"2006/5/29"</v>
      </c>
      <c r="I254" t="str" cm="1">
        <f t="array" aca="1" ref="I254" ca="1">CONCATENATE(INDIRECT(ADDRESS(1,9,1,0,"KeySet"),0),":","""",valueMaker!I254,"""")</f>
        <v>denwaBangou:"090-1216-9042"</v>
      </c>
      <c r="J254" t="str" cm="1">
        <f t="array" aca="1" ref="J254" ca="1">CONCATENATE(INDIRECT(ADDRESS(1,10,1,0,"KeySet"),0),":","""",valueMaker!J254,"""")</f>
        <v>mailAddress:"Yu_Zhen_Wu_38136@outlook.jp.co"</v>
      </c>
      <c r="K254" t="str" cm="1">
        <f t="array" aca="1" ref="K254" ca="1">CONCATENATE(INDIRECT(ADDRESS(1,11,1,0,"KeySet"),0),":","""",valueMaker!K254,"""")</f>
        <v>kaninSyubetu:"普通"</v>
      </c>
      <c r="L254" t="str" cm="1">
        <f t="array" aca="1" ref="L254" ca="1">CONCATENATE(INDIRECT(ADDRESS(1,12,1,0,"KeySet"),0),":","""",valueMaker!L254,"""")</f>
        <v>kaninKengenWB:"有り"</v>
      </c>
      <c r="M254" t="str" cm="1">
        <f t="array" aca="1" ref="M254" ca="1">CONCATENATE(INDIRECT(ADDRESS(1,13,1,0,"KeySet"),0),":","""",valueMaker!M254,"""")</f>
        <v>wakibiri:"5%"</v>
      </c>
      <c r="N254" t="str" cm="1">
        <f t="array" aca="1" ref="N254" ca="1">CONCATENATE(INDIRECT(ADDRESS(1,14,1,0,"KeySet"),0),":","""",valueMaker!N254,"""")</f>
        <v>kaninKengenPoint:"有り"</v>
      </c>
      <c r="O254" t="str" cm="1">
        <f t="array" aca="1" ref="O254" ca="1">CONCATENATE(INDIRECT(ADDRESS(1,15,1,0,"KeySet"),0),":","""",valueMaker!O254,"""")</f>
        <v>point:"243"</v>
      </c>
      <c r="P254" t="str" cm="1">
        <f t="array" aca="1" ref="P254" ca="1">CONCATENATE(INDIRECT(ADDRESS(1,16,1,0,"KeySet"),0),":","""",valueMaker!P254,"""")</f>
        <v>bikou:""</v>
      </c>
    </row>
    <row r="255" spans="1:16">
      <c r="A255" t="str" cm="1">
        <f t="array" aca="1" ref="A255" ca="1">CONCATENATE(INDIRECT(ADDRESS(1,1,1,0,"KeySet"),0),":","""",valueMaker!A255,"""")</f>
        <v>kainBangou:"TD10254"</v>
      </c>
      <c r="B255" t="str" cm="1">
        <f t="array" aca="1" ref="B255" ca="1">CONCATENATE(INDIRECT(ADDRESS(1,2,1,0,"KeySet"),0),":","""",valueMaker!B255,"""")</f>
        <v>kainMeiKanji:"馮茗奧"</v>
      </c>
      <c r="C255" t="str" cm="1">
        <f t="array" aca="1" ref="C255" ca="1">CONCATENATE(INDIRECT(ADDRESS(1,3,1,0,"KeySet"),0),":","""",valueMaker!C255,"""")</f>
        <v>kainMeiKana:"ﾌｵﾝ ﾐｰﾝ ｱｵ"</v>
      </c>
      <c r="D255" t="str" cm="1">
        <f t="array" aca="1" ref="D255" ca="1">CONCATENATE(INDIRECT(ADDRESS(1,4,1,0,"KeySet"),0),":","""",valueMaker!D255,"""")</f>
        <v>kainMeiEn:"Feng Ming Ao"</v>
      </c>
      <c r="E255" t="str" cm="1">
        <f t="array" aca="1" ref="E255" ca="1">CONCATENATE(INDIRECT(ADDRESS(1,5,1,0,"KeySet"),0),":","""",valueMaker!E255,"""")</f>
        <v>kainGender:"男性"</v>
      </c>
      <c r="F255" t="str" cm="1">
        <f t="array" aca="1" ref="F255" ca="1">CONCATENATE(INDIRECT(ADDRESS(1,6,1,0,"KeySet"),0),":","""",TEXT(valueMaker!F255,"yyyy/m/d"),"""")</f>
        <v>tanjyoubi:"1979/12/27"</v>
      </c>
      <c r="G255" t="str" cm="1">
        <f t="array" aca="1" ref="G255" ca="1">CONCATENATE(INDIRECT(ADDRESS(1,6,1,0,"KeySet"),0),":","""",TEXT(valueMaker!G255,"yyyy/m/d"),"""")</f>
        <v>tanjyoubi:"2000/11/7"</v>
      </c>
      <c r="H255" t="str" cm="1">
        <f t="array" aca="1" ref="H255" ca="1">CONCATENATE(INDIRECT(ADDRESS(1,6,1,0,"KeySet"),0),":","""",TEXT(valueMaker!H255,"yyyy/m/d"),"""")</f>
        <v>tanjyoubi:"2003/11/7"</v>
      </c>
      <c r="I255" t="str" cm="1">
        <f t="array" aca="1" ref="I255" ca="1">CONCATENATE(INDIRECT(ADDRESS(1,9,1,0,"KeySet"),0),":","""",valueMaker!I255,"""")</f>
        <v>denwaBangou:"090-9949-7313"</v>
      </c>
      <c r="J255" t="str" cm="1">
        <f t="array" aca="1" ref="J255" ca="1">CONCATENATE(INDIRECT(ADDRESS(1,10,1,0,"KeySet"),0),":","""",valueMaker!J255,"""")</f>
        <v>mailAddress:"Feng_Ming_Ao_36837@outlook.jp.co"</v>
      </c>
      <c r="K255" t="str" cm="1">
        <f t="array" aca="1" ref="K255" ca="1">CONCATENATE(INDIRECT(ADDRESS(1,11,1,0,"KeySet"),0),":","""",valueMaker!K255,"""")</f>
        <v>kaninSyubetu:"高級"</v>
      </c>
      <c r="L255" t="str" cm="1">
        <f t="array" aca="1" ref="L255" ca="1">CONCATENATE(INDIRECT(ADDRESS(1,12,1,0,"KeySet"),0),":","""",valueMaker!L255,"""")</f>
        <v>kaninKengenWB:"有り"</v>
      </c>
      <c r="M255" t="str" cm="1">
        <f t="array" aca="1" ref="M255" ca="1">CONCATENATE(INDIRECT(ADDRESS(1,13,1,0,"KeySet"),0),":","""",valueMaker!M255,"""")</f>
        <v>wakibiri:"10%"</v>
      </c>
      <c r="N255" t="str" cm="1">
        <f t="array" aca="1" ref="N255" ca="1">CONCATENATE(INDIRECT(ADDRESS(1,14,1,0,"KeySet"),0),":","""",valueMaker!N255,"""")</f>
        <v>kaninKengenPoint:"有り"</v>
      </c>
      <c r="O255" t="str" cm="1">
        <f t="array" aca="1" ref="O255" ca="1">CONCATENATE(INDIRECT(ADDRESS(1,15,1,0,"KeySet"),0),":","""",valueMaker!O255,"""")</f>
        <v>point:"866"</v>
      </c>
      <c r="P255" t="str" cm="1">
        <f t="array" aca="1" ref="P255" ca="1">CONCATENATE(INDIRECT(ADDRESS(1,16,1,0,"KeySet"),0),":","""",valueMaker!P255,"""")</f>
        <v>bikou:""</v>
      </c>
    </row>
    <row r="256" spans="1:16">
      <c r="A256" t="str" cm="1">
        <f t="array" aca="1" ref="A256" ca="1">CONCATENATE(INDIRECT(ADDRESS(1,1,1,0,"KeySet"),0),":","""",valueMaker!A256,"""")</f>
        <v>kainBangou:"TD10255"</v>
      </c>
      <c r="B256" t="str" cm="1">
        <f t="array" aca="1" ref="B256" ca="1">CONCATENATE(INDIRECT(ADDRESS(1,2,1,0,"KeySet"),0),":","""",valueMaker!B256,"""")</f>
        <v>kainMeiKanji:"孫歐國"</v>
      </c>
      <c r="C256" t="str" cm="1">
        <f t="array" aca="1" ref="C256" ca="1">CONCATENATE(INDIRECT(ADDRESS(1,3,1,0,"KeySet"),0),":","""",valueMaker!C256,"""")</f>
        <v>kainMeiKana:"ｽｩﾝ ｵｳ ｸﾞｵ"</v>
      </c>
      <c r="D256" t="str" cm="1">
        <f t="array" aca="1" ref="D256" ca="1">CONCATENATE(INDIRECT(ADDRESS(1,4,1,0,"KeySet"),0),":","""",valueMaker!D256,"""")</f>
        <v>kainMeiEn:"Sun Ou Guo"</v>
      </c>
      <c r="E256" t="str" cm="1">
        <f t="array" aca="1" ref="E256" ca="1">CONCATENATE(INDIRECT(ADDRESS(1,5,1,0,"KeySet"),0),":","""",valueMaker!E256,"""")</f>
        <v>kainGender:"女性"</v>
      </c>
      <c r="F256" t="str" cm="1">
        <f t="array" aca="1" ref="F256" ca="1">CONCATENATE(INDIRECT(ADDRESS(1,6,1,0,"KeySet"),0),":","""",TEXT(valueMaker!F256,"yyyy/m/d"),"""")</f>
        <v>tanjyoubi:"1978/5/6"</v>
      </c>
      <c r="G256" t="str" cm="1">
        <f t="array" aca="1" ref="G256" ca="1">CONCATENATE(INDIRECT(ADDRESS(1,6,1,0,"KeySet"),0),":","""",TEXT(valueMaker!G256,"yyyy/m/d"),"""")</f>
        <v>tanjyoubi:"2019/9/26"</v>
      </c>
      <c r="H256" t="str" cm="1">
        <f t="array" aca="1" ref="H256" ca="1">CONCATENATE(INDIRECT(ADDRESS(1,6,1,0,"KeySet"),0),":","""",TEXT(valueMaker!H256,"yyyy/m/d"),"""")</f>
        <v>tanjyoubi:"2021/9/25"</v>
      </c>
      <c r="I256" t="str" cm="1">
        <f t="array" aca="1" ref="I256" ca="1">CONCATENATE(INDIRECT(ADDRESS(1,9,1,0,"KeySet"),0),":","""",valueMaker!I256,"""")</f>
        <v>denwaBangou:"090-5646-0343"</v>
      </c>
      <c r="J256" t="str" cm="1">
        <f t="array" aca="1" ref="J256" ca="1">CONCATENATE(INDIRECT(ADDRESS(1,10,1,0,"KeySet"),0),":","""",valueMaker!J256,"""")</f>
        <v>mailAddress:"Sun_Ou_Guo_43734@outlook.jp.co"</v>
      </c>
      <c r="K256" t="str" cm="1">
        <f t="array" aca="1" ref="K256" ca="1">CONCATENATE(INDIRECT(ADDRESS(1,11,1,0,"KeySet"),0),":","""",valueMaker!K256,"""")</f>
        <v>kaninSyubetu:"高級"</v>
      </c>
      <c r="L256" t="str" cm="1">
        <f t="array" aca="1" ref="L256" ca="1">CONCATENATE(INDIRECT(ADDRESS(1,12,1,0,"KeySet"),0),":","""",valueMaker!L256,"""")</f>
        <v>kaninKengenWB:"-"</v>
      </c>
      <c r="M256" t="str" cm="1">
        <f t="array" aca="1" ref="M256" ca="1">CONCATENATE(INDIRECT(ADDRESS(1,13,1,0,"KeySet"),0),":","""",valueMaker!M256,"""")</f>
        <v>wakibiri:"-"</v>
      </c>
      <c r="N256" t="str" cm="1">
        <f t="array" aca="1" ref="N256" ca="1">CONCATENATE(INDIRECT(ADDRESS(1,14,1,0,"KeySet"),0),":","""",valueMaker!N256,"""")</f>
        <v>kaninKengenPoint:"有り"</v>
      </c>
      <c r="O256" t="str" cm="1">
        <f t="array" aca="1" ref="O256" ca="1">CONCATENATE(INDIRECT(ADDRESS(1,15,1,0,"KeySet"),0),":","""",valueMaker!O256,"""")</f>
        <v>point:"841"</v>
      </c>
      <c r="P256" t="str" cm="1">
        <f t="array" aca="1" ref="P256" ca="1">CONCATENATE(INDIRECT(ADDRESS(1,16,1,0,"KeySet"),0),":","""",valueMaker!P256,"""")</f>
        <v>bikou:""</v>
      </c>
    </row>
    <row r="257" spans="1:16">
      <c r="A257" t="str" cm="1">
        <f t="array" aca="1" ref="A257" ca="1">CONCATENATE(INDIRECT(ADDRESS(1,1,1,0,"KeySet"),0),":","""",valueMaker!A257,"""")</f>
        <v>kainBangou:"TD10256"</v>
      </c>
      <c r="B257" t="str" cm="1">
        <f t="array" aca="1" ref="B257" ca="1">CONCATENATE(INDIRECT(ADDRESS(1,2,1,0,"KeySet"),0),":","""",valueMaker!B257,"""")</f>
        <v>kainMeiKanji:"楊伊劍"</v>
      </c>
      <c r="C257" t="str" cm="1">
        <f t="array" aca="1" ref="C257" ca="1">CONCATENATE(INDIRECT(ADDRESS(1,3,1,0,"KeySet"),0),":","""",valueMaker!C257,"""")</f>
        <v>kainMeiKana:"ﾔｰﾝ ｲｰ ｼﾞｴﾝ"</v>
      </c>
      <c r="D257" t="str" cm="1">
        <f t="array" aca="1" ref="D257" ca="1">CONCATENATE(INDIRECT(ADDRESS(1,4,1,0,"KeySet"),0),":","""",valueMaker!D257,"""")</f>
        <v>kainMeiEn:"Yang Yi Jian"</v>
      </c>
      <c r="E257" t="str" cm="1">
        <f t="array" aca="1" ref="E257" ca="1">CONCATENATE(INDIRECT(ADDRESS(1,5,1,0,"KeySet"),0),":","""",valueMaker!E257,"""")</f>
        <v>kainGender:"男性"</v>
      </c>
      <c r="F257" t="str" cm="1">
        <f t="array" aca="1" ref="F257" ca="1">CONCATENATE(INDIRECT(ADDRESS(1,6,1,0,"KeySet"),0),":","""",TEXT(valueMaker!F257,"yyyy/m/d"),"""")</f>
        <v>tanjyoubi:"1960/5/16"</v>
      </c>
      <c r="G257" t="str" cm="1">
        <f t="array" aca="1" ref="G257" ca="1">CONCATENATE(INDIRECT(ADDRESS(1,6,1,0,"KeySet"),0),":","""",TEXT(valueMaker!G257,"yyyy/m/d"),"""")</f>
        <v>tanjyoubi:"1990/3/20"</v>
      </c>
      <c r="H257" t="str" cm="1">
        <f t="array" aca="1" ref="H257" ca="1">CONCATENATE(INDIRECT(ADDRESS(1,6,1,0,"KeySet"),0),":","""",TEXT(valueMaker!H257,"yyyy/m/d"),"""")</f>
        <v>tanjyoubi:"1992/3/19"</v>
      </c>
      <c r="I257" t="str" cm="1">
        <f t="array" aca="1" ref="I257" ca="1">CONCATENATE(INDIRECT(ADDRESS(1,9,1,0,"KeySet"),0),":","""",valueMaker!I257,"""")</f>
        <v>denwaBangou:"090-0861-3377"</v>
      </c>
      <c r="J257" t="str" cm="1">
        <f t="array" aca="1" ref="J257" ca="1">CONCATENATE(INDIRECT(ADDRESS(1,10,1,0,"KeySet"),0),":","""",valueMaker!J257,"""")</f>
        <v>mailAddress:"Yang_Yi_Jian_32952@outlook.jp.co"</v>
      </c>
      <c r="K257" t="str" cm="1">
        <f t="array" aca="1" ref="K257" ca="1">CONCATENATE(INDIRECT(ADDRESS(1,11,1,0,"KeySet"),0),":","""",valueMaker!K257,"""")</f>
        <v>kaninSyubetu:"普通"</v>
      </c>
      <c r="L257" t="str" cm="1">
        <f t="array" aca="1" ref="L257" ca="1">CONCATENATE(INDIRECT(ADDRESS(1,12,1,0,"KeySet"),0),":","""",valueMaker!L257,"""")</f>
        <v>kaninKengenWB:"有り"</v>
      </c>
      <c r="M257" t="str" cm="1">
        <f t="array" aca="1" ref="M257" ca="1">CONCATENATE(INDIRECT(ADDRESS(1,13,1,0,"KeySet"),0),":","""",valueMaker!M257,"""")</f>
        <v>wakibiri:"5%"</v>
      </c>
      <c r="N257" t="str" cm="1">
        <f t="array" aca="1" ref="N257" ca="1">CONCATENATE(INDIRECT(ADDRESS(1,14,1,0,"KeySet"),0),":","""",valueMaker!N257,"""")</f>
        <v>kaninKengenPoint:"有り"</v>
      </c>
      <c r="O257" t="str" cm="1">
        <f t="array" aca="1" ref="O257" ca="1">CONCATENATE(INDIRECT(ADDRESS(1,15,1,0,"KeySet"),0),":","""",valueMaker!O257,"""")</f>
        <v>point:"221"</v>
      </c>
      <c r="P257" t="str" cm="1">
        <f t="array" aca="1" ref="P257" ca="1">CONCATENATE(INDIRECT(ADDRESS(1,16,1,0,"KeySet"),0),":","""",valueMaker!P257,"""")</f>
        <v>bikou:""</v>
      </c>
    </row>
    <row r="258" spans="1:16">
      <c r="A258" t="str" cm="1">
        <f t="array" aca="1" ref="A258" ca="1">CONCATENATE(INDIRECT(ADDRESS(1,1,1,0,"KeySet"),0),":","""",valueMaker!A258,"""")</f>
        <v>kainBangou:"TD10257"</v>
      </c>
      <c r="B258" t="str" cm="1">
        <f t="array" aca="1" ref="B258" ca="1">CONCATENATE(INDIRECT(ADDRESS(1,2,1,0,"KeySet"),0),":","""",valueMaker!B258,"""")</f>
        <v>kainMeiKanji:"劉惠冰"</v>
      </c>
      <c r="C258" t="str" cm="1">
        <f t="array" aca="1" ref="C258" ca="1">CONCATENATE(INDIRECT(ADDRESS(1,3,1,0,"KeySet"),0),":","""",valueMaker!C258,"""")</f>
        <v>kainMeiKana:"ﾘｳ ﾎｩｲ ﾋﾞｰﾝ"</v>
      </c>
      <c r="D258" t="str" cm="1">
        <f t="array" aca="1" ref="D258" ca="1">CONCATENATE(INDIRECT(ADDRESS(1,4,1,0,"KeySet"),0),":","""",valueMaker!D258,"""")</f>
        <v>kainMeiEn:"Liu Hui Bing"</v>
      </c>
      <c r="E258" t="str" cm="1">
        <f t="array" aca="1" ref="E258" ca="1">CONCATENATE(INDIRECT(ADDRESS(1,5,1,0,"KeySet"),0),":","""",valueMaker!E258,"""")</f>
        <v>kainGender:"女性"</v>
      </c>
      <c r="F258" t="str" cm="1">
        <f t="array" aca="1" ref="F258" ca="1">CONCATENATE(INDIRECT(ADDRESS(1,6,1,0,"KeySet"),0),":","""",TEXT(valueMaker!F258,"yyyy/m/d"),"""")</f>
        <v>tanjyoubi:"2002/8/27"</v>
      </c>
      <c r="G258" t="str" cm="1">
        <f t="array" aca="1" ref="G258" ca="1">CONCATENATE(INDIRECT(ADDRESS(1,6,1,0,"KeySet"),0),":","""",TEXT(valueMaker!G258,"yyyy/m/d"),"""")</f>
        <v>tanjyoubi:"2021/8/27"</v>
      </c>
      <c r="H258" t="str" cm="1">
        <f t="array" aca="1" ref="H258" ca="1">CONCATENATE(INDIRECT(ADDRESS(1,6,1,0,"KeySet"),0),":","""",TEXT(valueMaker!H258,"yyyy/m/d"),"""")</f>
        <v>tanjyoubi:"2024/8/26"</v>
      </c>
      <c r="I258" t="str" cm="1">
        <f t="array" aca="1" ref="I258" ca="1">CONCATENATE(INDIRECT(ADDRESS(1,9,1,0,"KeySet"),0),":","""",valueMaker!I258,"""")</f>
        <v>denwaBangou:"080-8481-6645"</v>
      </c>
      <c r="J258" t="str" cm="1">
        <f t="array" aca="1" ref="J258" ca="1">CONCATENATE(INDIRECT(ADDRESS(1,10,1,0,"KeySet"),0),":","""",valueMaker!J258,"""")</f>
        <v>mailAddress:"Liu_Hui_Bing_44435@outlook.jp.co"</v>
      </c>
      <c r="K258" t="str" cm="1">
        <f t="array" aca="1" ref="K258" ca="1">CONCATENATE(INDIRECT(ADDRESS(1,11,1,0,"KeySet"),0),":","""",valueMaker!K258,"""")</f>
        <v>kaninSyubetu:"高級"</v>
      </c>
      <c r="L258" t="str" cm="1">
        <f t="array" aca="1" ref="L258" ca="1">CONCATENATE(INDIRECT(ADDRESS(1,12,1,0,"KeySet"),0),":","""",valueMaker!L258,"""")</f>
        <v>kaninKengenWB:"-"</v>
      </c>
      <c r="M258" t="str" cm="1">
        <f t="array" aca="1" ref="M258" ca="1">CONCATENATE(INDIRECT(ADDRESS(1,13,1,0,"KeySet"),0),":","""",valueMaker!M258,"""")</f>
        <v>wakibiri:"-"</v>
      </c>
      <c r="N258" t="str" cm="1">
        <f t="array" aca="1" ref="N258" ca="1">CONCATENATE(INDIRECT(ADDRESS(1,14,1,0,"KeySet"),0),":","""",valueMaker!N258,"""")</f>
        <v>kaninKengenPoint:"有り"</v>
      </c>
      <c r="O258" t="str" cm="1">
        <f t="array" aca="1" ref="O258" ca="1">CONCATENATE(INDIRECT(ADDRESS(1,15,1,0,"KeySet"),0),":","""",valueMaker!O258,"""")</f>
        <v>point:"623"</v>
      </c>
      <c r="P258" t="str" cm="1">
        <f t="array" aca="1" ref="P258" ca="1">CONCATENATE(INDIRECT(ADDRESS(1,16,1,0,"KeySet"),0),":","""",valueMaker!P258,"""")</f>
        <v>bikou:""</v>
      </c>
    </row>
    <row r="259" spans="1:16">
      <c r="A259" t="str" cm="1">
        <f t="array" aca="1" ref="A259" ca="1">CONCATENATE(INDIRECT(ADDRESS(1,1,1,0,"KeySet"),0),":","""",valueMaker!A259,"""")</f>
        <v>kainBangou:"TD10258"</v>
      </c>
      <c r="B259" t="str" cm="1">
        <f t="array" aca="1" ref="B259" ca="1">CONCATENATE(INDIRECT(ADDRESS(1,2,1,0,"KeySet"),0),":","""",valueMaker!B259,"""")</f>
        <v>kainMeiKanji:"林瀚鴻"</v>
      </c>
      <c r="C259" t="str" cm="1">
        <f t="array" aca="1" ref="C259" ca="1">CONCATENATE(INDIRECT(ADDRESS(1,3,1,0,"KeySet"),0),":","""",valueMaker!C259,"""")</f>
        <v>kainMeiKana:"ﾘﾝ ﾊﾝ ﾎｰﾝ"</v>
      </c>
      <c r="D259" t="str" cm="1">
        <f t="array" aca="1" ref="D259" ca="1">CONCATENATE(INDIRECT(ADDRESS(1,4,1,0,"KeySet"),0),":","""",valueMaker!D259,"""")</f>
        <v>kainMeiEn:"Lin Han Hong"</v>
      </c>
      <c r="E259" t="str" cm="1">
        <f t="array" aca="1" ref="E259" ca="1">CONCATENATE(INDIRECT(ADDRESS(1,5,1,0,"KeySet"),0),":","""",valueMaker!E259,"""")</f>
        <v>kainGender:"女性"</v>
      </c>
      <c r="F259" t="str" cm="1">
        <f t="array" aca="1" ref="F259" ca="1">CONCATENATE(INDIRECT(ADDRESS(1,6,1,0,"KeySet"),0),":","""",TEXT(valueMaker!F259,"yyyy/m/d"),"""")</f>
        <v>tanjyoubi:"1984/10/16"</v>
      </c>
      <c r="G259" t="str" cm="1">
        <f t="array" aca="1" ref="G259" ca="1">CONCATENATE(INDIRECT(ADDRESS(1,6,1,0,"KeySet"),0),":","""",TEXT(valueMaker!G259,"yyyy/m/d"),"""")</f>
        <v>tanjyoubi:"2015/12/25"</v>
      </c>
      <c r="H259" t="str" cm="1">
        <f t="array" aca="1" ref="H259" ca="1">CONCATENATE(INDIRECT(ADDRESS(1,6,1,0,"KeySet"),0),":","""",TEXT(valueMaker!H259,"yyyy/m/d"),"""")</f>
        <v>tanjyoubi:"2016/12/24"</v>
      </c>
      <c r="I259" t="str" cm="1">
        <f t="array" aca="1" ref="I259" ca="1">CONCATENATE(INDIRECT(ADDRESS(1,9,1,0,"KeySet"),0),":","""",valueMaker!I259,"""")</f>
        <v>denwaBangou:"080-4264-5453"</v>
      </c>
      <c r="J259" t="str" cm="1">
        <f t="array" aca="1" ref="J259" ca="1">CONCATENATE(INDIRECT(ADDRESS(1,10,1,0,"KeySet"),0),":","""",valueMaker!J259,"""")</f>
        <v>mailAddress:"Lin_Han_Hong_42363@outlook.jp.co"</v>
      </c>
      <c r="K259" t="str" cm="1">
        <f t="array" aca="1" ref="K259" ca="1">CONCATENATE(INDIRECT(ADDRESS(1,11,1,0,"KeySet"),0),":","""",valueMaker!K259,"""")</f>
        <v>kaninSyubetu:"普通"</v>
      </c>
      <c r="L259" t="str" cm="1">
        <f t="array" aca="1" ref="L259" ca="1">CONCATENATE(INDIRECT(ADDRESS(1,12,1,0,"KeySet"),0),":","""",valueMaker!L259,"""")</f>
        <v>kaninKengenWB:"有り"</v>
      </c>
      <c r="M259" t="str" cm="1">
        <f t="array" aca="1" ref="M259" ca="1">CONCATENATE(INDIRECT(ADDRESS(1,13,1,0,"KeySet"),0),":","""",valueMaker!M259,"""")</f>
        <v>wakibiri:"5%"</v>
      </c>
      <c r="N259" t="str" cm="1">
        <f t="array" aca="1" ref="N259" ca="1">CONCATENATE(INDIRECT(ADDRESS(1,14,1,0,"KeySet"),0),":","""",valueMaker!N259,"""")</f>
        <v>kaninKengenPoint:"有り"</v>
      </c>
      <c r="O259" t="str" cm="1">
        <f t="array" aca="1" ref="O259" ca="1">CONCATENATE(INDIRECT(ADDRESS(1,15,1,0,"KeySet"),0),":","""",valueMaker!O259,"""")</f>
        <v>point:"458"</v>
      </c>
      <c r="P259" t="str" cm="1">
        <f t="array" aca="1" ref="P259" ca="1">CONCATENATE(INDIRECT(ADDRESS(1,16,1,0,"KeySet"),0),":","""",valueMaker!P259,"""")</f>
        <v>bikou:""</v>
      </c>
    </row>
    <row r="260" spans="1:16">
      <c r="A260" t="str" cm="1">
        <f t="array" aca="1" ref="A260" ca="1">CONCATENATE(INDIRECT(ADDRESS(1,1,1,0,"KeySet"),0),":","""",valueMaker!A260,"""")</f>
        <v>kainBangou:"TD10259"</v>
      </c>
      <c r="B260" t="str" cm="1">
        <f t="array" aca="1" ref="B260" ca="1">CONCATENATE(INDIRECT(ADDRESS(1,2,1,0,"KeySet"),0),":","""",valueMaker!B260,"""")</f>
        <v>kainMeiKanji:"馮眾碼"</v>
      </c>
      <c r="C260" t="str" cm="1">
        <f t="array" aca="1" ref="C260" ca="1">CONCATENATE(INDIRECT(ADDRESS(1,3,1,0,"KeySet"),0),":","""",valueMaker!C260,"""")</f>
        <v>kainMeiKana:"ﾌｵﾝ ｼﾞｮｰﾝ ﾏｰ"</v>
      </c>
      <c r="D260" t="str" cm="1">
        <f t="array" aca="1" ref="D260" ca="1">CONCATENATE(INDIRECT(ADDRESS(1,4,1,0,"KeySet"),0),":","""",valueMaker!D260,"""")</f>
        <v>kainMeiEn:"Feng Zhong Ma"</v>
      </c>
      <c r="E260" t="str" cm="1">
        <f t="array" aca="1" ref="E260" ca="1">CONCATENATE(INDIRECT(ADDRESS(1,5,1,0,"KeySet"),0),":","""",valueMaker!E260,"""")</f>
        <v>kainGender:"女性"</v>
      </c>
      <c r="F260" t="str" cm="1">
        <f t="array" aca="1" ref="F260" ca="1">CONCATENATE(INDIRECT(ADDRESS(1,6,1,0,"KeySet"),0),":","""",TEXT(valueMaker!F260,"yyyy/m/d"),"""")</f>
        <v>tanjyoubi:"1990/12/29"</v>
      </c>
      <c r="G260" t="str" cm="1">
        <f t="array" aca="1" ref="G260" ca="1">CONCATENATE(INDIRECT(ADDRESS(1,6,1,0,"KeySet"),0),":","""",TEXT(valueMaker!G260,"yyyy/m/d"),"""")</f>
        <v>tanjyoubi:"2019/8/8"</v>
      </c>
      <c r="H260" t="str" cm="1">
        <f t="array" aca="1" ref="H260" ca="1">CONCATENATE(INDIRECT(ADDRESS(1,6,1,0,"KeySet"),0),":","""",TEXT(valueMaker!H260,"yyyy/m/d"),"""")</f>
        <v>tanjyoubi:"2020/8/7"</v>
      </c>
      <c r="I260" t="str" cm="1">
        <f t="array" aca="1" ref="I260" ca="1">CONCATENATE(INDIRECT(ADDRESS(1,9,1,0,"KeySet"),0),":","""",valueMaker!I260,"""")</f>
        <v>denwaBangou:"080-5319-3564"</v>
      </c>
      <c r="J260" t="str" cm="1">
        <f t="array" aca="1" ref="J260" ca="1">CONCATENATE(INDIRECT(ADDRESS(1,10,1,0,"KeySet"),0),":","""",valueMaker!J260,"""")</f>
        <v>mailAddress:"Feng_Zhong_Ma_43685@outlook.jp.co"</v>
      </c>
      <c r="K260" t="str" cm="1">
        <f t="array" aca="1" ref="K260" ca="1">CONCATENATE(INDIRECT(ADDRESS(1,11,1,0,"KeySet"),0),":","""",valueMaker!K260,"""")</f>
        <v>kaninSyubetu:"普通"</v>
      </c>
      <c r="L260" t="str" cm="1">
        <f t="array" aca="1" ref="L260" ca="1">CONCATENATE(INDIRECT(ADDRESS(1,12,1,0,"KeySet"),0),":","""",valueMaker!L260,"""")</f>
        <v>kaninKengenWB:"有り"</v>
      </c>
      <c r="M260" t="str" cm="1">
        <f t="array" aca="1" ref="M260" ca="1">CONCATENATE(INDIRECT(ADDRESS(1,13,1,0,"KeySet"),0),":","""",valueMaker!M260,"""")</f>
        <v>wakibiri:"5%"</v>
      </c>
      <c r="N260" t="str" cm="1">
        <f t="array" aca="1" ref="N260" ca="1">CONCATENATE(INDIRECT(ADDRESS(1,14,1,0,"KeySet"),0),":","""",valueMaker!N260,"""")</f>
        <v>kaninKengenPoint:"-"</v>
      </c>
      <c r="O260" t="str" cm="1">
        <f t="array" aca="1" ref="O260" ca="1">CONCATENATE(INDIRECT(ADDRESS(1,15,1,0,"KeySet"),0),":","""",valueMaker!O260,"""")</f>
        <v>point:"-"</v>
      </c>
      <c r="P260" t="str" cm="1">
        <f t="array" aca="1" ref="P260" ca="1">CONCATENATE(INDIRECT(ADDRESS(1,16,1,0,"KeySet"),0),":","""",valueMaker!P260,"""")</f>
        <v>bikou:""</v>
      </c>
    </row>
    <row r="261" spans="1:16">
      <c r="A261" t="str" cm="1">
        <f t="array" aca="1" ref="A261" ca="1">CONCATENATE(INDIRECT(ADDRESS(1,1,1,0,"KeySet"),0),":","""",valueMaker!A261,"""")</f>
        <v>kainBangou:"TD10260"</v>
      </c>
      <c r="B261" t="str" cm="1">
        <f t="array" aca="1" ref="B261" ca="1">CONCATENATE(INDIRECT(ADDRESS(1,2,1,0,"KeySet"),0),":","""",valueMaker!B261,"""")</f>
        <v>kainMeiKanji:"郭晟憶"</v>
      </c>
      <c r="C261" t="str" cm="1">
        <f t="array" aca="1" ref="C261" ca="1">CONCATENATE(INDIRECT(ADDRESS(1,3,1,0,"KeySet"),0),":","""",valueMaker!C261,"""")</f>
        <v>kainMeiKana:"ｸﾞｵ ｼｭﾖﾝ ｲｰ"</v>
      </c>
      <c r="D261" t="str" cm="1">
        <f t="array" aca="1" ref="D261" ca="1">CONCATENATE(INDIRECT(ADDRESS(1,4,1,0,"KeySet"),0),":","""",valueMaker!D261,"""")</f>
        <v>kainMeiEn:"Guo Sheng Yi"</v>
      </c>
      <c r="E261" t="str" cm="1">
        <f t="array" aca="1" ref="E261" ca="1">CONCATENATE(INDIRECT(ADDRESS(1,5,1,0,"KeySet"),0),":","""",valueMaker!E261,"""")</f>
        <v>kainGender:"女性"</v>
      </c>
      <c r="F261" t="str" cm="1">
        <f t="array" aca="1" ref="F261" ca="1">CONCATENATE(INDIRECT(ADDRESS(1,6,1,0,"KeySet"),0),":","""",TEXT(valueMaker!F261,"yyyy/m/d"),"""")</f>
        <v>tanjyoubi:"1990/9/20"</v>
      </c>
      <c r="G261" t="str" cm="1">
        <f t="array" aca="1" ref="G261" ca="1">CONCATENATE(INDIRECT(ADDRESS(1,6,1,0,"KeySet"),0),":","""",TEXT(valueMaker!G261,"yyyy/m/d"),"""")</f>
        <v>tanjyoubi:"2012/6/24"</v>
      </c>
      <c r="H261" t="str" cm="1">
        <f t="array" aca="1" ref="H261" ca="1">CONCATENATE(INDIRECT(ADDRESS(1,6,1,0,"KeySet"),0),":","""",TEXT(valueMaker!H261,"yyyy/m/d"),"""")</f>
        <v>tanjyoubi:"2015/6/24"</v>
      </c>
      <c r="I261" t="str" cm="1">
        <f t="array" aca="1" ref="I261" ca="1">CONCATENATE(INDIRECT(ADDRESS(1,9,1,0,"KeySet"),0),":","""",valueMaker!I261,"""")</f>
        <v>denwaBangou:"080-3832-9385"</v>
      </c>
      <c r="J261" t="str" cm="1">
        <f t="array" aca="1" ref="J261" ca="1">CONCATENATE(INDIRECT(ADDRESS(1,10,1,0,"KeySet"),0),":","""",valueMaker!J261,"""")</f>
        <v>mailAddress:"Guo_Sheng_Yi_41084@outlook.jp.co"</v>
      </c>
      <c r="K261" t="str" cm="1">
        <f t="array" aca="1" ref="K261" ca="1">CONCATENATE(INDIRECT(ADDRESS(1,11,1,0,"KeySet"),0),":","""",valueMaker!K261,"""")</f>
        <v>kaninSyubetu:"高級"</v>
      </c>
      <c r="L261" t="str" cm="1">
        <f t="array" aca="1" ref="L261" ca="1">CONCATENATE(INDIRECT(ADDRESS(1,12,1,0,"KeySet"),0),":","""",valueMaker!L261,"""")</f>
        <v>kaninKengenWB:"有り"</v>
      </c>
      <c r="M261" t="str" cm="1">
        <f t="array" aca="1" ref="M261" ca="1">CONCATENATE(INDIRECT(ADDRESS(1,13,1,0,"KeySet"),0),":","""",valueMaker!M261,"""")</f>
        <v>wakibiri:"10%"</v>
      </c>
      <c r="N261" t="str" cm="1">
        <f t="array" aca="1" ref="N261" ca="1">CONCATENATE(INDIRECT(ADDRESS(1,14,1,0,"KeySet"),0),":","""",valueMaker!N261,"""")</f>
        <v>kaninKengenPoint:"有り"</v>
      </c>
      <c r="O261" t="str" cm="1">
        <f t="array" aca="1" ref="O261" ca="1">CONCATENATE(INDIRECT(ADDRESS(1,15,1,0,"KeySet"),0),":","""",valueMaker!O261,"""")</f>
        <v>point:"632"</v>
      </c>
      <c r="P261" t="str" cm="1">
        <f t="array" aca="1" ref="P261" ca="1">CONCATENATE(INDIRECT(ADDRESS(1,16,1,0,"KeySet"),0),":","""",valueMaker!P261,"""")</f>
        <v>bikou:""</v>
      </c>
    </row>
    <row r="262" spans="1:16">
      <c r="A262" t="str" cm="1">
        <f t="array" aca="1" ref="A262" ca="1">CONCATENATE(INDIRECT(ADDRESS(1,1,1,0,"KeySet"),0),":","""",valueMaker!A262,"""")</f>
        <v>kainBangou:"TD10261"</v>
      </c>
      <c r="B262" t="str" cm="1">
        <f t="array" aca="1" ref="B262" ca="1">CONCATENATE(INDIRECT(ADDRESS(1,2,1,0,"KeySet"),0),":","""",valueMaker!B262,"""")</f>
        <v>kainMeiKanji:"馮貴孝"</v>
      </c>
      <c r="C262" t="str" cm="1">
        <f t="array" aca="1" ref="C262" ca="1">CONCATENATE(INDIRECT(ADDRESS(1,3,1,0,"KeySet"),0),":","""",valueMaker!C262,"""")</f>
        <v>kainMeiKana:"ﾌｵﾝ ｸﾞｲ ｼﾔｵ"</v>
      </c>
      <c r="D262" t="str" cm="1">
        <f t="array" aca="1" ref="D262" ca="1">CONCATENATE(INDIRECT(ADDRESS(1,4,1,0,"KeySet"),0),":","""",valueMaker!D262,"""")</f>
        <v>kainMeiEn:"Feng Gui Xiao"</v>
      </c>
      <c r="E262" t="str" cm="1">
        <f t="array" aca="1" ref="E262" ca="1">CONCATENATE(INDIRECT(ADDRESS(1,5,1,0,"KeySet"),0),":","""",valueMaker!E262,"""")</f>
        <v>kainGender:"男性"</v>
      </c>
      <c r="F262" t="str" cm="1">
        <f t="array" aca="1" ref="F262" ca="1">CONCATENATE(INDIRECT(ADDRESS(1,6,1,0,"KeySet"),0),":","""",TEXT(valueMaker!F262,"yyyy/m/d"),"""")</f>
        <v>tanjyoubi:"1977/3/16"</v>
      </c>
      <c r="G262" t="str" cm="1">
        <f t="array" aca="1" ref="G262" ca="1">CONCATENATE(INDIRECT(ADDRESS(1,6,1,0,"KeySet"),0),":","""",TEXT(valueMaker!G262,"yyyy/m/d"),"""")</f>
        <v>tanjyoubi:"2006/5/1"</v>
      </c>
      <c r="H262" t="str" cm="1">
        <f t="array" aca="1" ref="H262" ca="1">CONCATENATE(INDIRECT(ADDRESS(1,6,1,0,"KeySet"),0),":","""",TEXT(valueMaker!H262,"yyyy/m/d"),"""")</f>
        <v>tanjyoubi:"2007/5/1"</v>
      </c>
      <c r="I262" t="str" cm="1">
        <f t="array" aca="1" ref="I262" ca="1">CONCATENATE(INDIRECT(ADDRESS(1,9,1,0,"KeySet"),0),":","""",valueMaker!I262,"""")</f>
        <v>denwaBangou:"080-3376-0067"</v>
      </c>
      <c r="J262" t="str" cm="1">
        <f t="array" aca="1" ref="J262" ca="1">CONCATENATE(INDIRECT(ADDRESS(1,10,1,0,"KeySet"),0),":","""",valueMaker!J262,"""")</f>
        <v>mailAddress:"Feng_Gui_Xiao_38838@outlook.jp.co"</v>
      </c>
      <c r="K262" t="str" cm="1">
        <f t="array" aca="1" ref="K262" ca="1">CONCATENATE(INDIRECT(ADDRESS(1,11,1,0,"KeySet"),0),":","""",valueMaker!K262,"""")</f>
        <v>kaninSyubetu:"高級"</v>
      </c>
      <c r="L262" t="str" cm="1">
        <f t="array" aca="1" ref="L262" ca="1">CONCATENATE(INDIRECT(ADDRESS(1,12,1,0,"KeySet"),0),":","""",valueMaker!L262,"""")</f>
        <v>kaninKengenWB:"有り"</v>
      </c>
      <c r="M262" t="str" cm="1">
        <f t="array" aca="1" ref="M262" ca="1">CONCATENATE(INDIRECT(ADDRESS(1,13,1,0,"KeySet"),0),":","""",valueMaker!M262,"""")</f>
        <v>wakibiri:"10%"</v>
      </c>
      <c r="N262" t="str" cm="1">
        <f t="array" aca="1" ref="N262" ca="1">CONCATENATE(INDIRECT(ADDRESS(1,14,1,0,"KeySet"),0),":","""",valueMaker!N262,"""")</f>
        <v>kaninKengenPoint:"有り"</v>
      </c>
      <c r="O262" t="str" cm="1">
        <f t="array" aca="1" ref="O262" ca="1">CONCATENATE(INDIRECT(ADDRESS(1,15,1,0,"KeySet"),0),":","""",valueMaker!O262,"""")</f>
        <v>point:"721"</v>
      </c>
      <c r="P262" t="str" cm="1">
        <f t="array" aca="1" ref="P262" ca="1">CONCATENATE(INDIRECT(ADDRESS(1,16,1,0,"KeySet"),0),":","""",valueMaker!P262,"""")</f>
        <v>bikou:""</v>
      </c>
    </row>
    <row r="263" spans="1:16">
      <c r="A263" t="str" cm="1">
        <f t="array" aca="1" ref="A263" ca="1">CONCATENATE(INDIRECT(ADDRESS(1,1,1,0,"KeySet"),0),":","""",valueMaker!A263,"""")</f>
        <v>kainBangou:"TD10262"</v>
      </c>
      <c r="B263" t="str" cm="1">
        <f t="array" aca="1" ref="B263" ca="1">CONCATENATE(INDIRECT(ADDRESS(1,2,1,0,"KeySet"),0),":","""",valueMaker!B263,"""")</f>
        <v>kainMeiKanji:"郭詠堯"</v>
      </c>
      <c r="C263" t="str" cm="1">
        <f t="array" aca="1" ref="C263" ca="1">CONCATENATE(INDIRECT(ADDRESS(1,3,1,0,"KeySet"),0),":","""",valueMaker!C263,"""")</f>
        <v>kainMeiKana:"ｸﾞｵ ﾖｰﾝ ﾔｵ"</v>
      </c>
      <c r="D263" t="str" cm="1">
        <f t="array" aca="1" ref="D263" ca="1">CONCATENATE(INDIRECT(ADDRESS(1,4,1,0,"KeySet"),0),":","""",valueMaker!D263,"""")</f>
        <v>kainMeiEn:"Guo Yong Yao"</v>
      </c>
      <c r="E263" t="str" cm="1">
        <f t="array" aca="1" ref="E263" ca="1">CONCATENATE(INDIRECT(ADDRESS(1,5,1,0,"KeySet"),0),":","""",valueMaker!E263,"""")</f>
        <v>kainGender:"男性"</v>
      </c>
      <c r="F263" t="str" cm="1">
        <f t="array" aca="1" ref="F263" ca="1">CONCATENATE(INDIRECT(ADDRESS(1,6,1,0,"KeySet"),0),":","""",TEXT(valueMaker!F263,"yyyy/m/d"),"""")</f>
        <v>tanjyoubi:"1974/10/16"</v>
      </c>
      <c r="G263" t="str" cm="1">
        <f t="array" aca="1" ref="G263" ca="1">CONCATENATE(INDIRECT(ADDRESS(1,6,1,0,"KeySet"),0),":","""",TEXT(valueMaker!G263,"yyyy/m/d"),"""")</f>
        <v>tanjyoubi:"2016/7/27"</v>
      </c>
      <c r="H263" t="str" cm="1">
        <f t="array" aca="1" ref="H263" ca="1">CONCATENATE(INDIRECT(ADDRESS(1,6,1,0,"KeySet"),0),":","""",TEXT(valueMaker!H263,"yyyy/m/d"),"""")</f>
        <v>tanjyoubi:"2019/7/27"</v>
      </c>
      <c r="I263" t="str" cm="1">
        <f t="array" aca="1" ref="I263" ca="1">CONCATENATE(INDIRECT(ADDRESS(1,9,1,0,"KeySet"),0),":","""",valueMaker!I263,"""")</f>
        <v>denwaBangou:"080-6021-0178"</v>
      </c>
      <c r="J263" t="str" cm="1">
        <f t="array" aca="1" ref="J263" ca="1">CONCATENATE(INDIRECT(ADDRESS(1,10,1,0,"KeySet"),0),":","""",valueMaker!J263,"""")</f>
        <v>mailAddress:"Guo_Yong_Yao_42578@outlook.jp.co"</v>
      </c>
      <c r="K263" t="str" cm="1">
        <f t="array" aca="1" ref="K263" ca="1">CONCATENATE(INDIRECT(ADDRESS(1,11,1,0,"KeySet"),0),":","""",valueMaker!K263,"""")</f>
        <v>kaninSyubetu:"高級"</v>
      </c>
      <c r="L263" t="str" cm="1">
        <f t="array" aca="1" ref="L263" ca="1">CONCATENATE(INDIRECT(ADDRESS(1,12,1,0,"KeySet"),0),":","""",valueMaker!L263,"""")</f>
        <v>kaninKengenWB:"有り"</v>
      </c>
      <c r="M263" t="str" cm="1">
        <f t="array" aca="1" ref="M263" ca="1">CONCATENATE(INDIRECT(ADDRESS(1,13,1,0,"KeySet"),0),":","""",valueMaker!M263,"""")</f>
        <v>wakibiri:"10%"</v>
      </c>
      <c r="N263" t="str" cm="1">
        <f t="array" aca="1" ref="N263" ca="1">CONCATENATE(INDIRECT(ADDRESS(1,14,1,0,"KeySet"),0),":","""",valueMaker!N263,"""")</f>
        <v>kaninKengenPoint:"有り"</v>
      </c>
      <c r="O263" t="str" cm="1">
        <f t="array" aca="1" ref="O263" ca="1">CONCATENATE(INDIRECT(ADDRESS(1,15,1,0,"KeySet"),0),":","""",valueMaker!O263,"""")</f>
        <v>point:"299"</v>
      </c>
      <c r="P263" t="str" cm="1">
        <f t="array" aca="1" ref="P263" ca="1">CONCATENATE(INDIRECT(ADDRESS(1,16,1,0,"KeySet"),0),":","""",valueMaker!P263,"""")</f>
        <v>bikou:""</v>
      </c>
    </row>
    <row r="264" spans="1:16">
      <c r="A264" t="str" cm="1">
        <f t="array" aca="1" ref="A264" ca="1">CONCATENATE(INDIRECT(ADDRESS(1,1,1,0,"KeySet"),0),":","""",valueMaker!A264,"""")</f>
        <v>kainBangou:"TD10263"</v>
      </c>
      <c r="B264" t="str" cm="1">
        <f t="array" aca="1" ref="B264" ca="1">CONCATENATE(INDIRECT(ADDRESS(1,2,1,0,"KeySet"),0),":","""",valueMaker!B264,"""")</f>
        <v>kainMeiKanji:"謝皓聽"</v>
      </c>
      <c r="C264" t="str" cm="1">
        <f t="array" aca="1" ref="C264" ca="1">CONCATENATE(INDIRECT(ADDRESS(1,3,1,0,"KeySet"),0),":","""",valueMaker!C264,"""")</f>
        <v>kainMeiKana:"ｼｴ ﾊｵ ﾃｨｰﾝ"</v>
      </c>
      <c r="D264" t="str" cm="1">
        <f t="array" aca="1" ref="D264" ca="1">CONCATENATE(INDIRECT(ADDRESS(1,4,1,0,"KeySet"),0),":","""",valueMaker!D264,"""")</f>
        <v>kainMeiEn:"Xie Hao Ting"</v>
      </c>
      <c r="E264" t="str" cm="1">
        <f t="array" aca="1" ref="E264" ca="1">CONCATENATE(INDIRECT(ADDRESS(1,5,1,0,"KeySet"),0),":","""",valueMaker!E264,"""")</f>
        <v>kainGender:"女性"</v>
      </c>
      <c r="F264" t="str" cm="1">
        <f t="array" aca="1" ref="F264" ca="1">CONCATENATE(INDIRECT(ADDRESS(1,6,1,0,"KeySet"),0),":","""",TEXT(valueMaker!F264,"yyyy/m/d"),"""")</f>
        <v>tanjyoubi:"2005/4/19"</v>
      </c>
      <c r="G264" t="str" cm="1">
        <f t="array" aca="1" ref="G264" ca="1">CONCATENATE(INDIRECT(ADDRESS(1,6,1,0,"KeySet"),0),":","""",TEXT(valueMaker!G264,"yyyy/m/d"),"""")</f>
        <v>tanjyoubi:"2024/2/9"</v>
      </c>
      <c r="H264" t="str" cm="1">
        <f t="array" aca="1" ref="H264" ca="1">CONCATENATE(INDIRECT(ADDRESS(1,6,1,0,"KeySet"),0),":","""",TEXT(valueMaker!H264,"yyyy/m/d"),"""")</f>
        <v>tanjyoubi:"2025/2/8"</v>
      </c>
      <c r="I264" t="str" cm="1">
        <f t="array" aca="1" ref="I264" ca="1">CONCATENATE(INDIRECT(ADDRESS(1,9,1,0,"KeySet"),0),":","""",valueMaker!I264,"""")</f>
        <v>denwaBangou:"080-8610-2431"</v>
      </c>
      <c r="J264" t="str" cm="1">
        <f t="array" aca="1" ref="J264" ca="1">CONCATENATE(INDIRECT(ADDRESS(1,10,1,0,"KeySet"),0),":","""",valueMaker!J264,"""")</f>
        <v>mailAddress:"Xie_Hao_Ting_45331@outlook.jp.co"</v>
      </c>
      <c r="K264" t="str" cm="1">
        <f t="array" aca="1" ref="K264" ca="1">CONCATENATE(INDIRECT(ADDRESS(1,11,1,0,"KeySet"),0),":","""",valueMaker!K264,"""")</f>
        <v>kaninSyubetu:"普通"</v>
      </c>
      <c r="L264" t="str" cm="1">
        <f t="array" aca="1" ref="L264" ca="1">CONCATENATE(INDIRECT(ADDRESS(1,12,1,0,"KeySet"),0),":","""",valueMaker!L264,"""")</f>
        <v>kaninKengenWB:"有り"</v>
      </c>
      <c r="M264" t="str" cm="1">
        <f t="array" aca="1" ref="M264" ca="1">CONCATENATE(INDIRECT(ADDRESS(1,13,1,0,"KeySet"),0),":","""",valueMaker!M264,"""")</f>
        <v>wakibiri:"5%"</v>
      </c>
      <c r="N264" t="str" cm="1">
        <f t="array" aca="1" ref="N264" ca="1">CONCATENATE(INDIRECT(ADDRESS(1,14,1,0,"KeySet"),0),":","""",valueMaker!N264,"""")</f>
        <v>kaninKengenPoint:"有り"</v>
      </c>
      <c r="O264" t="str" cm="1">
        <f t="array" aca="1" ref="O264" ca="1">CONCATENATE(INDIRECT(ADDRESS(1,15,1,0,"KeySet"),0),":","""",valueMaker!O264,"""")</f>
        <v>point:"370"</v>
      </c>
      <c r="P264" t="str" cm="1">
        <f t="array" aca="1" ref="P264" ca="1">CONCATENATE(INDIRECT(ADDRESS(1,16,1,0,"KeySet"),0),":","""",valueMaker!P264,"""")</f>
        <v>bikou:""</v>
      </c>
    </row>
    <row r="265" spans="1:16">
      <c r="A265" t="str" cm="1">
        <f t="array" aca="1" ref="A265" ca="1">CONCATENATE(INDIRECT(ADDRESS(1,1,1,0,"KeySet"),0),":","""",valueMaker!A265,"""")</f>
        <v>kainBangou:"TD10264"</v>
      </c>
      <c r="B265" t="str" cm="1">
        <f t="array" aca="1" ref="B265" ca="1">CONCATENATE(INDIRECT(ADDRESS(1,2,1,0,"KeySet"),0),":","""",valueMaker!B265,"""")</f>
        <v>kainMeiKanji:"王聰晨"</v>
      </c>
      <c r="C265" t="str" cm="1">
        <f t="array" aca="1" ref="C265" ca="1">CONCATENATE(INDIRECT(ADDRESS(1,3,1,0,"KeySet"),0),":","""",valueMaker!C265,"""")</f>
        <v>kainMeiKana:"ﾜｰﾝ ｯｵｰﾝ ﾁｪﾝ"</v>
      </c>
      <c r="D265" t="str" cm="1">
        <f t="array" aca="1" ref="D265" ca="1">CONCATENATE(INDIRECT(ADDRESS(1,4,1,0,"KeySet"),0),":","""",valueMaker!D265,"""")</f>
        <v>kainMeiEn:"Wang Cong Chen"</v>
      </c>
      <c r="E265" t="str" cm="1">
        <f t="array" aca="1" ref="E265" ca="1">CONCATENATE(INDIRECT(ADDRESS(1,5,1,0,"KeySet"),0),":","""",valueMaker!E265,"""")</f>
        <v>kainGender:"女性"</v>
      </c>
      <c r="F265" t="str" cm="1">
        <f t="array" aca="1" ref="F265" ca="1">CONCATENATE(INDIRECT(ADDRESS(1,6,1,0,"KeySet"),0),":","""",TEXT(valueMaker!F265,"yyyy/m/d"),"""")</f>
        <v>tanjyoubi:"1981/7/4"</v>
      </c>
      <c r="G265" t="str" cm="1">
        <f t="array" aca="1" ref="G265" ca="1">CONCATENATE(INDIRECT(ADDRESS(1,6,1,0,"KeySet"),0),":","""",TEXT(valueMaker!G265,"yyyy/m/d"),"""")</f>
        <v>tanjyoubi:"2008/11/15"</v>
      </c>
      <c r="H265" t="str" cm="1">
        <f t="array" aca="1" ref="H265" ca="1">CONCATENATE(INDIRECT(ADDRESS(1,6,1,0,"KeySet"),0),":","""",TEXT(valueMaker!H265,"yyyy/m/d"),"""")</f>
        <v>tanjyoubi:"2009/11/15"</v>
      </c>
      <c r="I265" t="str" cm="1">
        <f t="array" aca="1" ref="I265" ca="1">CONCATENATE(INDIRECT(ADDRESS(1,9,1,0,"KeySet"),0),":","""",valueMaker!I265,"""")</f>
        <v>denwaBangou:"090-5161-7457"</v>
      </c>
      <c r="J265" t="str" cm="1">
        <f t="array" aca="1" ref="J265" ca="1">CONCATENATE(INDIRECT(ADDRESS(1,10,1,0,"KeySet"),0),":","""",valueMaker!J265,"""")</f>
        <v>mailAddress:"Wang_Cong_Chen_39767@outlook.jp.co"</v>
      </c>
      <c r="K265" t="str" cm="1">
        <f t="array" aca="1" ref="K265" ca="1">CONCATENATE(INDIRECT(ADDRESS(1,11,1,0,"KeySet"),0),":","""",valueMaker!K265,"""")</f>
        <v>kaninSyubetu:"普通"</v>
      </c>
      <c r="L265" t="str" cm="1">
        <f t="array" aca="1" ref="L265" ca="1">CONCATENATE(INDIRECT(ADDRESS(1,12,1,0,"KeySet"),0),":","""",valueMaker!L265,"""")</f>
        <v>kaninKengenWB:"有り"</v>
      </c>
      <c r="M265" t="str" cm="1">
        <f t="array" aca="1" ref="M265" ca="1">CONCATENATE(INDIRECT(ADDRESS(1,13,1,0,"KeySet"),0),":","""",valueMaker!M265,"""")</f>
        <v>wakibiri:"5%"</v>
      </c>
      <c r="N265" t="str" cm="1">
        <f t="array" aca="1" ref="N265" ca="1">CONCATENATE(INDIRECT(ADDRESS(1,14,1,0,"KeySet"),0),":","""",valueMaker!N265,"""")</f>
        <v>kaninKengenPoint:"有り"</v>
      </c>
      <c r="O265" t="str" cm="1">
        <f t="array" aca="1" ref="O265" ca="1">CONCATENATE(INDIRECT(ADDRESS(1,15,1,0,"KeySet"),0),":","""",valueMaker!O265,"""")</f>
        <v>point:"995"</v>
      </c>
      <c r="P265" t="str" cm="1">
        <f t="array" aca="1" ref="P265" ca="1">CONCATENATE(INDIRECT(ADDRESS(1,16,1,0,"KeySet"),0),":","""",valueMaker!P265,"""")</f>
        <v>bikou:""</v>
      </c>
    </row>
    <row r="266" spans="1:16">
      <c r="A266" t="str" cm="1">
        <f t="array" aca="1" ref="A266" ca="1">CONCATENATE(INDIRECT(ADDRESS(1,1,1,0,"KeySet"),0),":","""",valueMaker!A266,"""")</f>
        <v>kainBangou:"TD10265"</v>
      </c>
      <c r="B266" t="str" cm="1">
        <f t="array" aca="1" ref="B266" ca="1">CONCATENATE(INDIRECT(ADDRESS(1,2,1,0,"KeySet"),0),":","""",valueMaker!B266,"""")</f>
        <v>kainMeiKanji:"劉巍璐"</v>
      </c>
      <c r="C266" t="str" cm="1">
        <f t="array" aca="1" ref="C266" ca="1">CONCATENATE(INDIRECT(ADDRESS(1,3,1,0,"KeySet"),0),":","""",valueMaker!C266,"""")</f>
        <v>kainMeiKana:"ﾘｳ ｳｴｲ ﾙｩ"</v>
      </c>
      <c r="D266" t="str" cm="1">
        <f t="array" aca="1" ref="D266" ca="1">CONCATENATE(INDIRECT(ADDRESS(1,4,1,0,"KeySet"),0),":","""",valueMaker!D266,"""")</f>
        <v>kainMeiEn:"Liu Wei Lu"</v>
      </c>
      <c r="E266" t="str" cm="1">
        <f t="array" aca="1" ref="E266" ca="1">CONCATENATE(INDIRECT(ADDRESS(1,5,1,0,"KeySet"),0),":","""",valueMaker!E266,"""")</f>
        <v>kainGender:"女性"</v>
      </c>
      <c r="F266" t="str" cm="1">
        <f t="array" aca="1" ref="F266" ca="1">CONCATENATE(INDIRECT(ADDRESS(1,6,1,0,"KeySet"),0),":","""",TEXT(valueMaker!F266,"yyyy/m/d"),"""")</f>
        <v>tanjyoubi:"1964/12/10"</v>
      </c>
      <c r="G266" t="str" cm="1">
        <f t="array" aca="1" ref="G266" ca="1">CONCATENATE(INDIRECT(ADDRESS(1,6,1,0,"KeySet"),0),":","""",TEXT(valueMaker!G266,"yyyy/m/d"),"""")</f>
        <v>tanjyoubi:"2019/5/11"</v>
      </c>
      <c r="H266" t="str" cm="1">
        <f t="array" aca="1" ref="H266" ca="1">CONCATENATE(INDIRECT(ADDRESS(1,6,1,0,"KeySet"),0),":","""",TEXT(valueMaker!H266,"yyyy/m/d"),"""")</f>
        <v>tanjyoubi:"2020/5/10"</v>
      </c>
      <c r="I266" t="str" cm="1">
        <f t="array" aca="1" ref="I266" ca="1">CONCATENATE(INDIRECT(ADDRESS(1,9,1,0,"KeySet"),0),":","""",valueMaker!I266,"""")</f>
        <v>denwaBangou:"080-4284-3479"</v>
      </c>
      <c r="J266" t="str" cm="1">
        <f t="array" aca="1" ref="J266" ca="1">CONCATENATE(INDIRECT(ADDRESS(1,10,1,0,"KeySet"),0),":","""",valueMaker!J266,"""")</f>
        <v>mailAddress:"Liu_Wei_Lu_43596@outlook.jp.co"</v>
      </c>
      <c r="K266" t="str" cm="1">
        <f t="array" aca="1" ref="K266" ca="1">CONCATENATE(INDIRECT(ADDRESS(1,11,1,0,"KeySet"),0),":","""",valueMaker!K266,"""")</f>
        <v>kaninSyubetu:"普通"</v>
      </c>
      <c r="L266" t="str" cm="1">
        <f t="array" aca="1" ref="L266" ca="1">CONCATENATE(INDIRECT(ADDRESS(1,12,1,0,"KeySet"),0),":","""",valueMaker!L266,"""")</f>
        <v>kaninKengenWB:"-"</v>
      </c>
      <c r="M266" t="str" cm="1">
        <f t="array" aca="1" ref="M266" ca="1">CONCATENATE(INDIRECT(ADDRESS(1,13,1,0,"KeySet"),0),":","""",valueMaker!M266,"""")</f>
        <v>wakibiri:"-"</v>
      </c>
      <c r="N266" t="str" cm="1">
        <f t="array" aca="1" ref="N266" ca="1">CONCATENATE(INDIRECT(ADDRESS(1,14,1,0,"KeySet"),0),":","""",valueMaker!N266,"""")</f>
        <v>kaninKengenPoint:"有り"</v>
      </c>
      <c r="O266" t="str" cm="1">
        <f t="array" aca="1" ref="O266" ca="1">CONCATENATE(INDIRECT(ADDRESS(1,15,1,0,"KeySet"),0),":","""",valueMaker!O266,"""")</f>
        <v>point:"834"</v>
      </c>
      <c r="P266" t="str" cm="1">
        <f t="array" aca="1" ref="P266" ca="1">CONCATENATE(INDIRECT(ADDRESS(1,16,1,0,"KeySet"),0),":","""",valueMaker!P266,"""")</f>
        <v>bikou:""</v>
      </c>
    </row>
    <row r="267" spans="1:16">
      <c r="A267" t="str" cm="1">
        <f t="array" aca="1" ref="A267" ca="1">CONCATENATE(INDIRECT(ADDRESS(1,1,1,0,"KeySet"),0),":","""",valueMaker!A267,"""")</f>
        <v>kainBangou:"TD10266"</v>
      </c>
      <c r="B267" t="str" cm="1">
        <f t="array" aca="1" ref="B267" ca="1">CONCATENATE(INDIRECT(ADDRESS(1,2,1,0,"KeySet"),0),":","""",valueMaker!B267,"""")</f>
        <v>kainMeiKanji:"陳閑康"</v>
      </c>
      <c r="C267" t="str" cm="1">
        <f t="array" aca="1" ref="C267" ca="1">CONCATENATE(INDIRECT(ADDRESS(1,3,1,0,"KeySet"),0),":","""",valueMaker!C267,"""")</f>
        <v>kainMeiKana:"ﾁｪﾝ ｼｴﾝ ｶｰﾝ"</v>
      </c>
      <c r="D267" t="str" cm="1">
        <f t="array" aca="1" ref="D267" ca="1">CONCATENATE(INDIRECT(ADDRESS(1,4,1,0,"KeySet"),0),":","""",valueMaker!D267,"""")</f>
        <v>kainMeiEn:"Chen Xian Kang"</v>
      </c>
      <c r="E267" t="str" cm="1">
        <f t="array" aca="1" ref="E267" ca="1">CONCATENATE(INDIRECT(ADDRESS(1,5,1,0,"KeySet"),0),":","""",valueMaker!E267,"""")</f>
        <v>kainGender:"女性"</v>
      </c>
      <c r="F267" t="str" cm="1">
        <f t="array" aca="1" ref="F267" ca="1">CONCATENATE(INDIRECT(ADDRESS(1,6,1,0,"KeySet"),0),":","""",TEXT(valueMaker!F267,"yyyy/m/d"),"""")</f>
        <v>tanjyoubi:"1981/6/5"</v>
      </c>
      <c r="G267" t="str" cm="1">
        <f t="array" aca="1" ref="G267" ca="1">CONCATENATE(INDIRECT(ADDRESS(1,6,1,0,"KeySet"),0),":","""",TEXT(valueMaker!G267,"yyyy/m/d"),"""")</f>
        <v>tanjyoubi:"2010/1/15"</v>
      </c>
      <c r="H267" t="str" cm="1">
        <f t="array" aca="1" ref="H267" ca="1">CONCATENATE(INDIRECT(ADDRESS(1,6,1,0,"KeySet"),0),":","""",TEXT(valueMaker!H267,"yyyy/m/d"),"""")</f>
        <v>tanjyoubi:"2012/1/15"</v>
      </c>
      <c r="I267" t="str" cm="1">
        <f t="array" aca="1" ref="I267" ca="1">CONCATENATE(INDIRECT(ADDRESS(1,9,1,0,"KeySet"),0),":","""",valueMaker!I267,"""")</f>
        <v>denwaBangou:"080-5533-6226"</v>
      </c>
      <c r="J267" t="str" cm="1">
        <f t="array" aca="1" ref="J267" ca="1">CONCATENATE(INDIRECT(ADDRESS(1,10,1,0,"KeySet"),0),":","""",valueMaker!J267,"""")</f>
        <v>mailAddress:"Chen_Xian_Kang_40193@outlook.jp.co"</v>
      </c>
      <c r="K267" t="str" cm="1">
        <f t="array" aca="1" ref="K267" ca="1">CONCATENATE(INDIRECT(ADDRESS(1,11,1,0,"KeySet"),0),":","""",valueMaker!K267,"""")</f>
        <v>kaninSyubetu:"普通"</v>
      </c>
      <c r="L267" t="str" cm="1">
        <f t="array" aca="1" ref="L267" ca="1">CONCATENATE(INDIRECT(ADDRESS(1,12,1,0,"KeySet"),0),":","""",valueMaker!L267,"""")</f>
        <v>kaninKengenWB:"有り"</v>
      </c>
      <c r="M267" t="str" cm="1">
        <f t="array" aca="1" ref="M267" ca="1">CONCATENATE(INDIRECT(ADDRESS(1,13,1,0,"KeySet"),0),":","""",valueMaker!M267,"""")</f>
        <v>wakibiri:"5%"</v>
      </c>
      <c r="N267" t="str" cm="1">
        <f t="array" aca="1" ref="N267" ca="1">CONCATENATE(INDIRECT(ADDRESS(1,14,1,0,"KeySet"),0),":","""",valueMaker!N267,"""")</f>
        <v>kaninKengenPoint:"有り"</v>
      </c>
      <c r="O267" t="str" cm="1">
        <f t="array" aca="1" ref="O267" ca="1">CONCATENATE(INDIRECT(ADDRESS(1,15,1,0,"KeySet"),0),":","""",valueMaker!O267,"""")</f>
        <v>point:"86"</v>
      </c>
      <c r="P267" t="str" cm="1">
        <f t="array" aca="1" ref="P267" ca="1">CONCATENATE(INDIRECT(ADDRESS(1,16,1,0,"KeySet"),0),":","""",valueMaker!P267,"""")</f>
        <v>bikou:""</v>
      </c>
    </row>
    <row r="268" spans="1:16">
      <c r="A268" t="str" cm="1">
        <f t="array" aca="1" ref="A268" ca="1">CONCATENATE(INDIRECT(ADDRESS(1,1,1,0,"KeySet"),0),":","""",valueMaker!A268,"""")</f>
        <v>kainBangou:"TD10267"</v>
      </c>
      <c r="B268" t="str" cm="1">
        <f t="array" aca="1" ref="B268" ca="1">CONCATENATE(INDIRECT(ADDRESS(1,2,1,0,"KeySet"),0),":","""",valueMaker!B268,"""")</f>
        <v>kainMeiKanji:"孫亭芬"</v>
      </c>
      <c r="C268" t="str" cm="1">
        <f t="array" aca="1" ref="C268" ca="1">CONCATENATE(INDIRECT(ADDRESS(1,3,1,0,"KeySet"),0),":","""",valueMaker!C268,"""")</f>
        <v>kainMeiKana:"ｽｩﾝ ﾃｨｰﾝ ﾌｪﾝ"</v>
      </c>
      <c r="D268" t="str" cm="1">
        <f t="array" aca="1" ref="D268" ca="1">CONCATENATE(INDIRECT(ADDRESS(1,4,1,0,"KeySet"),0),":","""",valueMaker!D268,"""")</f>
        <v>kainMeiEn:"Sun Ting Fen"</v>
      </c>
      <c r="E268" t="str" cm="1">
        <f t="array" aca="1" ref="E268" ca="1">CONCATENATE(INDIRECT(ADDRESS(1,5,1,0,"KeySet"),0),":","""",valueMaker!E268,"""")</f>
        <v>kainGender:"女性"</v>
      </c>
      <c r="F268" t="str" cm="1">
        <f t="array" aca="1" ref="F268" ca="1">CONCATENATE(INDIRECT(ADDRESS(1,6,1,0,"KeySet"),0),":","""",TEXT(valueMaker!F268,"yyyy/m/d"),"""")</f>
        <v>tanjyoubi:"1983/2/15"</v>
      </c>
      <c r="G268" t="str" cm="1">
        <f t="array" aca="1" ref="G268" ca="1">CONCATENATE(INDIRECT(ADDRESS(1,6,1,0,"KeySet"),0),":","""",TEXT(valueMaker!G268,"yyyy/m/d"),"""")</f>
        <v>tanjyoubi:"2006/5/11"</v>
      </c>
      <c r="H268" t="str" cm="1">
        <f t="array" aca="1" ref="H268" ca="1">CONCATENATE(INDIRECT(ADDRESS(1,6,1,0,"KeySet"),0),":","""",TEXT(valueMaker!H268,"yyyy/m/d"),"""")</f>
        <v>tanjyoubi:"2009/5/10"</v>
      </c>
      <c r="I268" t="str" cm="1">
        <f t="array" aca="1" ref="I268" ca="1">CONCATENATE(INDIRECT(ADDRESS(1,9,1,0,"KeySet"),0),":","""",valueMaker!I268,"""")</f>
        <v>denwaBangou:"090-6828-9774"</v>
      </c>
      <c r="J268" t="str" cm="1">
        <f t="array" aca="1" ref="J268" ca="1">CONCATENATE(INDIRECT(ADDRESS(1,10,1,0,"KeySet"),0),":","""",valueMaker!J268,"""")</f>
        <v>mailAddress:"Sun_Ting_Fen_38848@outlook.jp.co"</v>
      </c>
      <c r="K268" t="str" cm="1">
        <f t="array" aca="1" ref="K268" ca="1">CONCATENATE(INDIRECT(ADDRESS(1,11,1,0,"KeySet"),0),":","""",valueMaker!K268,"""")</f>
        <v>kaninSyubetu:"普通"</v>
      </c>
      <c r="L268" t="str" cm="1">
        <f t="array" aca="1" ref="L268" ca="1">CONCATENATE(INDIRECT(ADDRESS(1,12,1,0,"KeySet"),0),":","""",valueMaker!L268,"""")</f>
        <v>kaninKengenWB:"-"</v>
      </c>
      <c r="M268" t="str" cm="1">
        <f t="array" aca="1" ref="M268" ca="1">CONCATENATE(INDIRECT(ADDRESS(1,13,1,0,"KeySet"),0),":","""",valueMaker!M268,"""")</f>
        <v>wakibiri:"-"</v>
      </c>
      <c r="N268" t="str" cm="1">
        <f t="array" aca="1" ref="N268" ca="1">CONCATENATE(INDIRECT(ADDRESS(1,14,1,0,"KeySet"),0),":","""",valueMaker!N268,"""")</f>
        <v>kaninKengenPoint:"有り"</v>
      </c>
      <c r="O268" t="str" cm="1">
        <f t="array" aca="1" ref="O268" ca="1">CONCATENATE(INDIRECT(ADDRESS(1,15,1,0,"KeySet"),0),":","""",valueMaker!O268,"""")</f>
        <v>point:"577"</v>
      </c>
      <c r="P268" t="str" cm="1">
        <f t="array" aca="1" ref="P268" ca="1">CONCATENATE(INDIRECT(ADDRESS(1,16,1,0,"KeySet"),0),":","""",valueMaker!P268,"""")</f>
        <v>bikou:""</v>
      </c>
    </row>
    <row r="269" spans="1:16">
      <c r="A269" t="str" cm="1">
        <f t="array" aca="1" ref="A269" ca="1">CONCATENATE(INDIRECT(ADDRESS(1,1,1,0,"KeySet"),0),":","""",valueMaker!A269,"""")</f>
        <v>kainBangou:"TD10268"</v>
      </c>
      <c r="B269" t="str" cm="1">
        <f t="array" aca="1" ref="B269" ca="1">CONCATENATE(INDIRECT(ADDRESS(1,2,1,0,"KeySet"),0),":","""",valueMaker!B269,"""")</f>
        <v>kainMeiKanji:"李燦奇"</v>
      </c>
      <c r="C269" t="str" cm="1">
        <f t="array" aca="1" ref="C269" ca="1">CONCATENATE(INDIRECT(ADDRESS(1,3,1,0,"KeySet"),0),":","""",valueMaker!C269,"""")</f>
        <v>kainMeiKana:"ﾘｰ ﾂｧﾝ ﾁｲ"</v>
      </c>
      <c r="D269" t="str" cm="1">
        <f t="array" aca="1" ref="D269" ca="1">CONCATENATE(INDIRECT(ADDRESS(1,4,1,0,"KeySet"),0),":","""",valueMaker!D269,"""")</f>
        <v>kainMeiEn:"Li Can Qi"</v>
      </c>
      <c r="E269" t="str" cm="1">
        <f t="array" aca="1" ref="E269" ca="1">CONCATENATE(INDIRECT(ADDRESS(1,5,1,0,"KeySet"),0),":","""",valueMaker!E269,"""")</f>
        <v>kainGender:"女性"</v>
      </c>
      <c r="F269" t="str" cm="1">
        <f t="array" aca="1" ref="F269" ca="1">CONCATENATE(INDIRECT(ADDRESS(1,6,1,0,"KeySet"),0),":","""",TEXT(valueMaker!F269,"yyyy/m/d"),"""")</f>
        <v>tanjyoubi:"1989/4/7"</v>
      </c>
      <c r="G269" t="str" cm="1">
        <f t="array" aca="1" ref="G269" ca="1">CONCATENATE(INDIRECT(ADDRESS(1,6,1,0,"KeySet"),0),":","""",TEXT(valueMaker!G269,"yyyy/m/d"),"""")</f>
        <v>tanjyoubi:"2010/8/30"</v>
      </c>
      <c r="H269" t="str" cm="1">
        <f t="array" aca="1" ref="H269" ca="1">CONCATENATE(INDIRECT(ADDRESS(1,6,1,0,"KeySet"),0),":","""",TEXT(valueMaker!H269,"yyyy/m/d"),"""")</f>
        <v>tanjyoubi:"2013/8/29"</v>
      </c>
      <c r="I269" t="str" cm="1">
        <f t="array" aca="1" ref="I269" ca="1">CONCATENATE(INDIRECT(ADDRESS(1,9,1,0,"KeySet"),0),":","""",valueMaker!I269,"""")</f>
        <v>denwaBangou:"090-1142-0554"</v>
      </c>
      <c r="J269" t="str" cm="1">
        <f t="array" aca="1" ref="J269" ca="1">CONCATENATE(INDIRECT(ADDRESS(1,10,1,0,"KeySet"),0),":","""",valueMaker!J269,"""")</f>
        <v>mailAddress:"Li_Can Qi_40420@outlook.jp.co"</v>
      </c>
      <c r="K269" t="str" cm="1">
        <f t="array" aca="1" ref="K269" ca="1">CONCATENATE(INDIRECT(ADDRESS(1,11,1,0,"KeySet"),0),":","""",valueMaker!K269,"""")</f>
        <v>kaninSyubetu:"普通"</v>
      </c>
      <c r="L269" t="str" cm="1">
        <f t="array" aca="1" ref="L269" ca="1">CONCATENATE(INDIRECT(ADDRESS(1,12,1,0,"KeySet"),0),":","""",valueMaker!L269,"""")</f>
        <v>kaninKengenWB:"有り"</v>
      </c>
      <c r="M269" t="str" cm="1">
        <f t="array" aca="1" ref="M269" ca="1">CONCATENATE(INDIRECT(ADDRESS(1,13,1,0,"KeySet"),0),":","""",valueMaker!M269,"""")</f>
        <v>wakibiri:"5%"</v>
      </c>
      <c r="N269" t="str" cm="1">
        <f t="array" aca="1" ref="N269" ca="1">CONCATENATE(INDIRECT(ADDRESS(1,14,1,0,"KeySet"),0),":","""",valueMaker!N269,"""")</f>
        <v>kaninKengenPoint:"有り"</v>
      </c>
      <c r="O269" t="str" cm="1">
        <f t="array" aca="1" ref="O269" ca="1">CONCATENATE(INDIRECT(ADDRESS(1,15,1,0,"KeySet"),0),":","""",valueMaker!O269,"""")</f>
        <v>point:"318"</v>
      </c>
      <c r="P269" t="str" cm="1">
        <f t="array" aca="1" ref="P269" ca="1">CONCATENATE(INDIRECT(ADDRESS(1,16,1,0,"KeySet"),0),":","""",valueMaker!P269,"""")</f>
        <v>bikou:""</v>
      </c>
    </row>
    <row r="270" spans="1:16">
      <c r="A270" t="str" cm="1">
        <f t="array" aca="1" ref="A270" ca="1">CONCATENATE(INDIRECT(ADDRESS(1,1,1,0,"KeySet"),0),":","""",valueMaker!A270,"""")</f>
        <v>kainBangou:"TD10269"</v>
      </c>
      <c r="B270" t="str" cm="1">
        <f t="array" aca="1" ref="B270" ca="1">CONCATENATE(INDIRECT(ADDRESS(1,2,1,0,"KeySet"),0),":","""",valueMaker!B270,"""")</f>
        <v>kainMeiKanji:"唐晟輝"</v>
      </c>
      <c r="C270" t="str" cm="1">
        <f t="array" aca="1" ref="C270" ca="1">CONCATENATE(INDIRECT(ADDRESS(1,3,1,0,"KeySet"),0),":","""",valueMaker!C270,"""")</f>
        <v>kainMeiKana:"ﾀｰﾝ ｼｭﾖﾝ ﾎｩｲ"</v>
      </c>
      <c r="D270" t="str" cm="1">
        <f t="array" aca="1" ref="D270" ca="1">CONCATENATE(INDIRECT(ADDRESS(1,4,1,0,"KeySet"),0),":","""",valueMaker!D270,"""")</f>
        <v>kainMeiEn:"Tang Sheng Hui"</v>
      </c>
      <c r="E270" t="str" cm="1">
        <f t="array" aca="1" ref="E270" ca="1">CONCATENATE(INDIRECT(ADDRESS(1,5,1,0,"KeySet"),0),":","""",valueMaker!E270,"""")</f>
        <v>kainGender:"男性"</v>
      </c>
      <c r="F270" t="str" cm="1">
        <f t="array" aca="1" ref="F270" ca="1">CONCATENATE(INDIRECT(ADDRESS(1,6,1,0,"KeySet"),0),":","""",TEXT(valueMaker!F270,"yyyy/m/d"),"""")</f>
        <v>tanjyoubi:"1963/9/20"</v>
      </c>
      <c r="G270" t="str" cm="1">
        <f t="array" aca="1" ref="G270" ca="1">CONCATENATE(INDIRECT(ADDRESS(1,6,1,0,"KeySet"),0),":","""",TEXT(valueMaker!G270,"yyyy/m/d"),"""")</f>
        <v>tanjyoubi:"2002/10/31"</v>
      </c>
      <c r="H270" t="str" cm="1">
        <f t="array" aca="1" ref="H270" ca="1">CONCATENATE(INDIRECT(ADDRESS(1,6,1,0,"KeySet"),0),":","""",TEXT(valueMaker!H270,"yyyy/m/d"),"""")</f>
        <v>tanjyoubi:"2004/10/30"</v>
      </c>
      <c r="I270" t="str" cm="1">
        <f t="array" aca="1" ref="I270" ca="1">CONCATENATE(INDIRECT(ADDRESS(1,9,1,0,"KeySet"),0),":","""",valueMaker!I270,"""")</f>
        <v>denwaBangou:"090-6616-0688"</v>
      </c>
      <c r="J270" t="str" cm="1">
        <f t="array" aca="1" ref="J270" ca="1">CONCATENATE(INDIRECT(ADDRESS(1,10,1,0,"KeySet"),0),":","""",valueMaker!J270,"""")</f>
        <v>mailAddress:"Tang_Sheng_Hui_37560@outlook.jp.co"</v>
      </c>
      <c r="K270" t="str" cm="1">
        <f t="array" aca="1" ref="K270" ca="1">CONCATENATE(INDIRECT(ADDRESS(1,11,1,0,"KeySet"),0),":","""",valueMaker!K270,"""")</f>
        <v>kaninSyubetu:"普通"</v>
      </c>
      <c r="L270" t="str" cm="1">
        <f t="array" aca="1" ref="L270" ca="1">CONCATENATE(INDIRECT(ADDRESS(1,12,1,0,"KeySet"),0),":","""",valueMaker!L270,"""")</f>
        <v>kaninKengenWB:"-"</v>
      </c>
      <c r="M270" t="str" cm="1">
        <f t="array" aca="1" ref="M270" ca="1">CONCATENATE(INDIRECT(ADDRESS(1,13,1,0,"KeySet"),0),":","""",valueMaker!M270,"""")</f>
        <v>wakibiri:"-"</v>
      </c>
      <c r="N270" t="str" cm="1">
        <f t="array" aca="1" ref="N270" ca="1">CONCATENATE(INDIRECT(ADDRESS(1,14,1,0,"KeySet"),0),":","""",valueMaker!N270,"""")</f>
        <v>kaninKengenPoint:"有り"</v>
      </c>
      <c r="O270" t="str" cm="1">
        <f t="array" aca="1" ref="O270" ca="1">CONCATENATE(INDIRECT(ADDRESS(1,15,1,0,"KeySet"),0),":","""",valueMaker!O270,"""")</f>
        <v>point:"626"</v>
      </c>
      <c r="P270" t="str" cm="1">
        <f t="array" aca="1" ref="P270" ca="1">CONCATENATE(INDIRECT(ADDRESS(1,16,1,0,"KeySet"),0),":","""",valueMaker!P270,"""")</f>
        <v>bikou:""</v>
      </c>
    </row>
    <row r="271" spans="1:16">
      <c r="A271" t="str" cm="1">
        <f t="array" aca="1" ref="A271" ca="1">CONCATENATE(INDIRECT(ADDRESS(1,1,1,0,"KeySet"),0),":","""",valueMaker!A271,"""")</f>
        <v>kainBangou:"TD10270"</v>
      </c>
      <c r="B271" t="str" cm="1">
        <f t="array" aca="1" ref="B271" ca="1">CONCATENATE(INDIRECT(ADDRESS(1,2,1,0,"KeySet"),0),":","""",valueMaker!B271,"""")</f>
        <v>kainMeiKanji:"張意昌"</v>
      </c>
      <c r="C271" t="str" cm="1">
        <f t="array" aca="1" ref="C271" ca="1">CONCATENATE(INDIRECT(ADDRESS(1,3,1,0,"KeySet"),0),":","""",valueMaker!C271,"""")</f>
        <v>kainMeiKana:"ｼﾞｬｰﾝ ｲｰ ﾁｬｰﾝ"</v>
      </c>
      <c r="D271" t="str" cm="1">
        <f t="array" aca="1" ref="D271" ca="1">CONCATENATE(INDIRECT(ADDRESS(1,4,1,0,"KeySet"),0),":","""",valueMaker!D271,"""")</f>
        <v>kainMeiEn:"Zhang Yi Chang"</v>
      </c>
      <c r="E271" t="str" cm="1">
        <f t="array" aca="1" ref="E271" ca="1">CONCATENATE(INDIRECT(ADDRESS(1,5,1,0,"KeySet"),0),":","""",valueMaker!E271,"""")</f>
        <v>kainGender:"女性"</v>
      </c>
      <c r="F271" t="str" cm="1">
        <f t="array" aca="1" ref="F271" ca="1">CONCATENATE(INDIRECT(ADDRESS(1,6,1,0,"KeySet"),0),":","""",TEXT(valueMaker!F271,"yyyy/m/d"),"""")</f>
        <v>tanjyoubi:"2002/5/28"</v>
      </c>
      <c r="G271" t="str" cm="1">
        <f t="array" aca="1" ref="G271" ca="1">CONCATENATE(INDIRECT(ADDRESS(1,6,1,0,"KeySet"),0),":","""",TEXT(valueMaker!G271,"yyyy/m/d"),"""")</f>
        <v>tanjyoubi:"2021/4/8"</v>
      </c>
      <c r="H271" t="str" cm="1">
        <f t="array" aca="1" ref="H271" ca="1">CONCATENATE(INDIRECT(ADDRESS(1,6,1,0,"KeySet"),0),":","""",TEXT(valueMaker!H271,"yyyy/m/d"),"""")</f>
        <v>tanjyoubi:"2022/4/8"</v>
      </c>
      <c r="I271" t="str" cm="1">
        <f t="array" aca="1" ref="I271" ca="1">CONCATENATE(INDIRECT(ADDRESS(1,9,1,0,"KeySet"),0),":","""",valueMaker!I271,"""")</f>
        <v>denwaBangou:"080-1658-8703"</v>
      </c>
      <c r="J271" t="str" cm="1">
        <f t="array" aca="1" ref="J271" ca="1">CONCATENATE(INDIRECT(ADDRESS(1,10,1,0,"KeySet"),0),":","""",valueMaker!J271,"""")</f>
        <v>mailAddress:"Zhang_Yi_Chang_44294@outlook.jp.co"</v>
      </c>
      <c r="K271" t="str" cm="1">
        <f t="array" aca="1" ref="K271" ca="1">CONCATENATE(INDIRECT(ADDRESS(1,11,1,0,"KeySet"),0),":","""",valueMaker!K271,"""")</f>
        <v>kaninSyubetu:"普通"</v>
      </c>
      <c r="L271" t="str" cm="1">
        <f t="array" aca="1" ref="L271" ca="1">CONCATENATE(INDIRECT(ADDRESS(1,12,1,0,"KeySet"),0),":","""",valueMaker!L271,"""")</f>
        <v>kaninKengenWB:"有り"</v>
      </c>
      <c r="M271" t="str" cm="1">
        <f t="array" aca="1" ref="M271" ca="1">CONCATENATE(INDIRECT(ADDRESS(1,13,1,0,"KeySet"),0),":","""",valueMaker!M271,"""")</f>
        <v>wakibiri:"5%"</v>
      </c>
      <c r="N271" t="str" cm="1">
        <f t="array" aca="1" ref="N271" ca="1">CONCATENATE(INDIRECT(ADDRESS(1,14,1,0,"KeySet"),0),":","""",valueMaker!N271,"""")</f>
        <v>kaninKengenPoint:"有り"</v>
      </c>
      <c r="O271" t="str" cm="1">
        <f t="array" aca="1" ref="O271" ca="1">CONCATENATE(INDIRECT(ADDRESS(1,15,1,0,"KeySet"),0),":","""",valueMaker!O271,"""")</f>
        <v>point:"775"</v>
      </c>
      <c r="P271" t="str" cm="1">
        <f t="array" aca="1" ref="P271" ca="1">CONCATENATE(INDIRECT(ADDRESS(1,16,1,0,"KeySet"),0),":","""",valueMaker!P271,"""")</f>
        <v>bikou:""</v>
      </c>
    </row>
    <row r="272" spans="1:16">
      <c r="A272" t="str" cm="1">
        <f t="array" aca="1" ref="A272" ca="1">CONCATENATE(INDIRECT(ADDRESS(1,1,1,0,"KeySet"),0),":","""",valueMaker!A272,"""")</f>
        <v>kainBangou:"TD10271"</v>
      </c>
      <c r="B272" t="str" cm="1">
        <f t="array" aca="1" ref="B272" ca="1">CONCATENATE(INDIRECT(ADDRESS(1,2,1,0,"KeySet"),0),":","""",valueMaker!B272,"""")</f>
        <v>kainMeiKanji:"馬資繼"</v>
      </c>
      <c r="C272" t="str" cm="1">
        <f t="array" aca="1" ref="C272" ca="1">CONCATENATE(INDIRECT(ADDRESS(1,3,1,0,"KeySet"),0),":","""",valueMaker!C272,"""")</f>
        <v>kainMeiKana:"ﾏｰ ｽﾞｰ ｼﾞｰ"</v>
      </c>
      <c r="D272" t="str" cm="1">
        <f t="array" aca="1" ref="D272" ca="1">CONCATENATE(INDIRECT(ADDRESS(1,4,1,0,"KeySet"),0),":","""",valueMaker!D272,"""")</f>
        <v>kainMeiEn:"Ma Zi Ji"</v>
      </c>
      <c r="E272" t="str" cm="1">
        <f t="array" aca="1" ref="E272" ca="1">CONCATENATE(INDIRECT(ADDRESS(1,5,1,0,"KeySet"),0),":","""",valueMaker!E272,"""")</f>
        <v>kainGender:"男性"</v>
      </c>
      <c r="F272" t="str" cm="1">
        <f t="array" aca="1" ref="F272" ca="1">CONCATENATE(INDIRECT(ADDRESS(1,6,1,0,"KeySet"),0),":","""",TEXT(valueMaker!F272,"yyyy/m/d"),"""")</f>
        <v>tanjyoubi:"1980/8/13"</v>
      </c>
      <c r="G272" t="str" cm="1">
        <f t="array" aca="1" ref="G272" ca="1">CONCATENATE(INDIRECT(ADDRESS(1,6,1,0,"KeySet"),0),":","""",TEXT(valueMaker!G272,"yyyy/m/d"),"""")</f>
        <v>tanjyoubi:"2018/3/2"</v>
      </c>
      <c r="H272" t="str" cm="1">
        <f t="array" aca="1" ref="H272" ca="1">CONCATENATE(INDIRECT(ADDRESS(1,6,1,0,"KeySet"),0),":","""",TEXT(valueMaker!H272,"yyyy/m/d"),"""")</f>
        <v>tanjyoubi:"2019/3/2"</v>
      </c>
      <c r="I272" t="str" cm="1">
        <f t="array" aca="1" ref="I272" ca="1">CONCATENATE(INDIRECT(ADDRESS(1,9,1,0,"KeySet"),0),":","""",valueMaker!I272,"""")</f>
        <v>denwaBangou:"090-8303-9256"</v>
      </c>
      <c r="J272" t="str" cm="1">
        <f t="array" aca="1" ref="J272" ca="1">CONCATENATE(INDIRECT(ADDRESS(1,10,1,0,"KeySet"),0),":","""",valueMaker!J272,"""")</f>
        <v>mailAddress:"Ma_Zi_Ji_43161@outlook.jp.co"</v>
      </c>
      <c r="K272" t="str" cm="1">
        <f t="array" aca="1" ref="K272" ca="1">CONCATENATE(INDIRECT(ADDRESS(1,11,1,0,"KeySet"),0),":","""",valueMaker!K272,"""")</f>
        <v>kaninSyubetu:"高級"</v>
      </c>
      <c r="L272" t="str" cm="1">
        <f t="array" aca="1" ref="L272" ca="1">CONCATENATE(INDIRECT(ADDRESS(1,12,1,0,"KeySet"),0),":","""",valueMaker!L272,"""")</f>
        <v>kaninKengenWB:"有り"</v>
      </c>
      <c r="M272" t="str" cm="1">
        <f t="array" aca="1" ref="M272" ca="1">CONCATENATE(INDIRECT(ADDRESS(1,13,1,0,"KeySet"),0),":","""",valueMaker!M272,"""")</f>
        <v>wakibiri:"10%"</v>
      </c>
      <c r="N272" t="str" cm="1">
        <f t="array" aca="1" ref="N272" ca="1">CONCATENATE(INDIRECT(ADDRESS(1,14,1,0,"KeySet"),0),":","""",valueMaker!N272,"""")</f>
        <v>kaninKengenPoint:"有り"</v>
      </c>
      <c r="O272" t="str" cm="1">
        <f t="array" aca="1" ref="O272" ca="1">CONCATENATE(INDIRECT(ADDRESS(1,15,1,0,"KeySet"),0),":","""",valueMaker!O272,"""")</f>
        <v>point:"98"</v>
      </c>
      <c r="P272" t="str" cm="1">
        <f t="array" aca="1" ref="P272" ca="1">CONCATENATE(INDIRECT(ADDRESS(1,16,1,0,"KeySet"),0),":","""",valueMaker!P272,"""")</f>
        <v>bikou:""</v>
      </c>
    </row>
    <row r="273" spans="1:16">
      <c r="A273" t="str" cm="1">
        <f t="array" aca="1" ref="A273" ca="1">CONCATENATE(INDIRECT(ADDRESS(1,1,1,0,"KeySet"),0),":","""",valueMaker!A273,"""")</f>
        <v>kainBangou:"TD10272"</v>
      </c>
      <c r="B273" t="str" cm="1">
        <f t="array" aca="1" ref="B273" ca="1">CONCATENATE(INDIRECT(ADDRESS(1,2,1,0,"KeySet"),0),":","""",valueMaker!B273,"""")</f>
        <v>kainMeiKanji:"韓冰特"</v>
      </c>
      <c r="C273" t="str" cm="1">
        <f t="array" aca="1" ref="C273" ca="1">CONCATENATE(INDIRECT(ADDRESS(1,3,1,0,"KeySet"),0),":","""",valueMaker!C273,"""")</f>
        <v>kainMeiKana:"ﾊﾝ ﾋﾞｰﾝ ﾄｰｧ"</v>
      </c>
      <c r="D273" t="str" cm="1">
        <f t="array" aca="1" ref="D273" ca="1">CONCATENATE(INDIRECT(ADDRESS(1,4,1,0,"KeySet"),0),":","""",valueMaker!D273,"""")</f>
        <v>kainMeiEn:"Han Bing Te"</v>
      </c>
      <c r="E273" t="str" cm="1">
        <f t="array" aca="1" ref="E273" ca="1">CONCATENATE(INDIRECT(ADDRESS(1,5,1,0,"KeySet"),0),":","""",valueMaker!E273,"""")</f>
        <v>kainGender:"男性"</v>
      </c>
      <c r="F273" t="str" cm="1">
        <f t="array" aca="1" ref="F273" ca="1">CONCATENATE(INDIRECT(ADDRESS(1,6,1,0,"KeySet"),0),":","""",TEXT(valueMaker!F273,"yyyy/m/d"),"""")</f>
        <v>tanjyoubi:"2003/7/20"</v>
      </c>
      <c r="G273" t="str" cm="1">
        <f t="array" aca="1" ref="G273" ca="1">CONCATENATE(INDIRECT(ADDRESS(1,6,1,0,"KeySet"),0),":","""",TEXT(valueMaker!G273,"yyyy/m/d"),"""")</f>
        <v>tanjyoubi:"2021/9/12"</v>
      </c>
      <c r="H273" t="str" cm="1">
        <f t="array" aca="1" ref="H273" ca="1">CONCATENATE(INDIRECT(ADDRESS(1,6,1,0,"KeySet"),0),":","""",TEXT(valueMaker!H273,"yyyy/m/d"),"""")</f>
        <v>tanjyoubi:"2022/9/12"</v>
      </c>
      <c r="I273" t="str" cm="1">
        <f t="array" aca="1" ref="I273" ca="1">CONCATENATE(INDIRECT(ADDRESS(1,9,1,0,"KeySet"),0),":","""",valueMaker!I273,"""")</f>
        <v>denwaBangou:"090-0895-4224"</v>
      </c>
      <c r="J273" t="str" cm="1">
        <f t="array" aca="1" ref="J273" ca="1">CONCATENATE(INDIRECT(ADDRESS(1,10,1,0,"KeySet"),0),":","""",valueMaker!J273,"""")</f>
        <v>mailAddress:"Han_Bing_Te_44451@outlook.jp.co"</v>
      </c>
      <c r="K273" t="str" cm="1">
        <f t="array" aca="1" ref="K273" ca="1">CONCATENATE(INDIRECT(ADDRESS(1,11,1,0,"KeySet"),0),":","""",valueMaker!K273,"""")</f>
        <v>kaninSyubetu:"普通"</v>
      </c>
      <c r="L273" t="str" cm="1">
        <f t="array" aca="1" ref="L273" ca="1">CONCATENATE(INDIRECT(ADDRESS(1,12,1,0,"KeySet"),0),":","""",valueMaker!L273,"""")</f>
        <v>kaninKengenWB:"有り"</v>
      </c>
      <c r="M273" t="str" cm="1">
        <f t="array" aca="1" ref="M273" ca="1">CONCATENATE(INDIRECT(ADDRESS(1,13,1,0,"KeySet"),0),":","""",valueMaker!M273,"""")</f>
        <v>wakibiri:"5%"</v>
      </c>
      <c r="N273" t="str" cm="1">
        <f t="array" aca="1" ref="N273" ca="1">CONCATENATE(INDIRECT(ADDRESS(1,14,1,0,"KeySet"),0),":","""",valueMaker!N273,"""")</f>
        <v>kaninKengenPoint:"有り"</v>
      </c>
      <c r="O273" t="str" cm="1">
        <f t="array" aca="1" ref="O273" ca="1">CONCATENATE(INDIRECT(ADDRESS(1,15,1,0,"KeySet"),0),":","""",valueMaker!O273,"""")</f>
        <v>point:"814"</v>
      </c>
      <c r="P273" t="str" cm="1">
        <f t="array" aca="1" ref="P273" ca="1">CONCATENATE(INDIRECT(ADDRESS(1,16,1,0,"KeySet"),0),":","""",valueMaker!P273,"""")</f>
        <v>bikou:""</v>
      </c>
    </row>
    <row r="274" spans="1:16">
      <c r="A274" t="str" cm="1">
        <f t="array" aca="1" ref="A274" ca="1">CONCATENATE(INDIRECT(ADDRESS(1,1,1,0,"KeySet"),0),":","""",valueMaker!A274,"""")</f>
        <v>kainBangou:"TD10273"</v>
      </c>
      <c r="B274" t="str" cm="1">
        <f t="array" aca="1" ref="B274" ca="1">CONCATENATE(INDIRECT(ADDRESS(1,2,1,0,"KeySet"),0),":","""",valueMaker!B274,"""")</f>
        <v>kainMeiKanji:"宋茗奧"</v>
      </c>
      <c r="C274" t="str" cm="1">
        <f t="array" aca="1" ref="C274" ca="1">CONCATENATE(INDIRECT(ADDRESS(1,3,1,0,"KeySet"),0),":","""",valueMaker!C274,"""")</f>
        <v>kainMeiKana:"ｿｰﾝ ﾐｰﾝ ｱｵ"</v>
      </c>
      <c r="D274" t="str" cm="1">
        <f t="array" aca="1" ref="D274" ca="1">CONCATENATE(INDIRECT(ADDRESS(1,4,1,0,"KeySet"),0),":","""",valueMaker!D274,"""")</f>
        <v>kainMeiEn:"Song Ming Ao"</v>
      </c>
      <c r="E274" t="str" cm="1">
        <f t="array" aca="1" ref="E274" ca="1">CONCATENATE(INDIRECT(ADDRESS(1,5,1,0,"KeySet"),0),":","""",valueMaker!E274,"""")</f>
        <v>kainGender:"男性"</v>
      </c>
      <c r="F274" t="str" cm="1">
        <f t="array" aca="1" ref="F274" ca="1">CONCATENATE(INDIRECT(ADDRESS(1,6,1,0,"KeySet"),0),":","""",TEXT(valueMaker!F274,"yyyy/m/d"),"""")</f>
        <v>tanjyoubi:"1991/11/13"</v>
      </c>
      <c r="G274" t="str" cm="1">
        <f t="array" aca="1" ref="G274" ca="1">CONCATENATE(INDIRECT(ADDRESS(1,6,1,0,"KeySet"),0),":","""",TEXT(valueMaker!G274,"yyyy/m/d"),"""")</f>
        <v>tanjyoubi:"2013/7/1"</v>
      </c>
      <c r="H274" t="str" cm="1">
        <f t="array" aca="1" ref="H274" ca="1">CONCATENATE(INDIRECT(ADDRESS(1,6,1,0,"KeySet"),0),":","""",TEXT(valueMaker!H274,"yyyy/m/d"),"""")</f>
        <v>tanjyoubi:"2016/6/30"</v>
      </c>
      <c r="I274" t="str" cm="1">
        <f t="array" aca="1" ref="I274" ca="1">CONCATENATE(INDIRECT(ADDRESS(1,9,1,0,"KeySet"),0),":","""",valueMaker!I274,"""")</f>
        <v>denwaBangou:"090-2928-8037"</v>
      </c>
      <c r="J274" t="str" cm="1">
        <f t="array" aca="1" ref="J274" ca="1">CONCATENATE(INDIRECT(ADDRESS(1,10,1,0,"KeySet"),0),":","""",valueMaker!J274,"""")</f>
        <v>mailAddress:"Song_Ming_Ao_41456@outlook.jp.co"</v>
      </c>
      <c r="K274" t="str" cm="1">
        <f t="array" aca="1" ref="K274" ca="1">CONCATENATE(INDIRECT(ADDRESS(1,11,1,0,"KeySet"),0),":","""",valueMaker!K274,"""")</f>
        <v>kaninSyubetu:"普通"</v>
      </c>
      <c r="L274" t="str" cm="1">
        <f t="array" aca="1" ref="L274" ca="1">CONCATENATE(INDIRECT(ADDRESS(1,12,1,0,"KeySet"),0),":","""",valueMaker!L274,"""")</f>
        <v>kaninKengenWB:"有り"</v>
      </c>
      <c r="M274" t="str" cm="1">
        <f t="array" aca="1" ref="M274" ca="1">CONCATENATE(INDIRECT(ADDRESS(1,13,1,0,"KeySet"),0),":","""",valueMaker!M274,"""")</f>
        <v>wakibiri:"5%"</v>
      </c>
      <c r="N274" t="str" cm="1">
        <f t="array" aca="1" ref="N274" ca="1">CONCATENATE(INDIRECT(ADDRESS(1,14,1,0,"KeySet"),0),":","""",valueMaker!N274,"""")</f>
        <v>kaninKengenPoint:"有り"</v>
      </c>
      <c r="O274" t="str" cm="1">
        <f t="array" aca="1" ref="O274" ca="1">CONCATENATE(INDIRECT(ADDRESS(1,15,1,0,"KeySet"),0),":","""",valueMaker!O274,"""")</f>
        <v>point:"973"</v>
      </c>
      <c r="P274" t="str" cm="1">
        <f t="array" aca="1" ref="P274" ca="1">CONCATENATE(INDIRECT(ADDRESS(1,16,1,0,"KeySet"),0),":","""",valueMaker!P274,"""")</f>
        <v>bikou:""</v>
      </c>
    </row>
    <row r="275" spans="1:16">
      <c r="A275" t="str" cm="1">
        <f t="array" aca="1" ref="A275" ca="1">CONCATENATE(INDIRECT(ADDRESS(1,1,1,0,"KeySet"),0),":","""",valueMaker!A275,"""")</f>
        <v>kainBangou:"TD10274"</v>
      </c>
      <c r="B275" t="str" cm="1">
        <f t="array" aca="1" ref="B275" ca="1">CONCATENATE(INDIRECT(ADDRESS(1,2,1,0,"KeySet"),0),":","""",valueMaker!B275,"""")</f>
        <v>kainMeiKanji:"黃生廷"</v>
      </c>
      <c r="C275" t="str" cm="1">
        <f t="array" aca="1" ref="C275" ca="1">CONCATENATE(INDIRECT(ADDRESS(1,3,1,0,"KeySet"),0),":","""",valueMaker!C275,"""")</f>
        <v>kainMeiKana:"ﾎﾜｰﾝ ｼｭﾖﾝ ﾃｨｰﾝ"</v>
      </c>
      <c r="D275" t="str" cm="1">
        <f t="array" aca="1" ref="D275" ca="1">CONCATENATE(INDIRECT(ADDRESS(1,4,1,0,"KeySet"),0),":","""",valueMaker!D275,"""")</f>
        <v>kainMeiEn:"Huang Sheng Ting"</v>
      </c>
      <c r="E275" t="str" cm="1">
        <f t="array" aca="1" ref="E275" ca="1">CONCATENATE(INDIRECT(ADDRESS(1,5,1,0,"KeySet"),0),":","""",valueMaker!E275,"""")</f>
        <v>kainGender:"女性"</v>
      </c>
      <c r="F275" t="str" cm="1">
        <f t="array" aca="1" ref="F275" ca="1">CONCATENATE(INDIRECT(ADDRESS(1,6,1,0,"KeySet"),0),":","""",TEXT(valueMaker!F275,"yyyy/m/d"),"""")</f>
        <v>tanjyoubi:"1984/9/18"</v>
      </c>
      <c r="G275" t="str" cm="1">
        <f t="array" aca="1" ref="G275" ca="1">CONCATENATE(INDIRECT(ADDRESS(1,6,1,0,"KeySet"),0),":","""",TEXT(valueMaker!G275,"yyyy/m/d"),"""")</f>
        <v>tanjyoubi:"2015/10/21"</v>
      </c>
      <c r="H275" t="str" cm="1">
        <f t="array" aca="1" ref="H275" ca="1">CONCATENATE(INDIRECT(ADDRESS(1,6,1,0,"KeySet"),0),":","""",TEXT(valueMaker!H275,"yyyy/m/d"),"""")</f>
        <v>tanjyoubi:"2017/10/20"</v>
      </c>
      <c r="I275" t="str" cm="1">
        <f t="array" aca="1" ref="I275" ca="1">CONCATENATE(INDIRECT(ADDRESS(1,9,1,0,"KeySet"),0),":","""",valueMaker!I275,"""")</f>
        <v>denwaBangou:"080-9833-1858"</v>
      </c>
      <c r="J275" t="str" cm="1">
        <f t="array" aca="1" ref="J275" ca="1">CONCATENATE(INDIRECT(ADDRESS(1,10,1,0,"KeySet"),0),":","""",valueMaker!J275,"""")</f>
        <v>mailAddress:"Huang_Sheng_Ting_42298@outlook.jp.co"</v>
      </c>
      <c r="K275" t="str" cm="1">
        <f t="array" aca="1" ref="K275" ca="1">CONCATENATE(INDIRECT(ADDRESS(1,11,1,0,"KeySet"),0),":","""",valueMaker!K275,"""")</f>
        <v>kaninSyubetu:"高級"</v>
      </c>
      <c r="L275" t="str" cm="1">
        <f t="array" aca="1" ref="L275" ca="1">CONCATENATE(INDIRECT(ADDRESS(1,12,1,0,"KeySet"),0),":","""",valueMaker!L275,"""")</f>
        <v>kaninKengenWB:"有り"</v>
      </c>
      <c r="M275" t="str" cm="1">
        <f t="array" aca="1" ref="M275" ca="1">CONCATENATE(INDIRECT(ADDRESS(1,13,1,0,"KeySet"),0),":","""",valueMaker!M275,"""")</f>
        <v>wakibiri:"10%"</v>
      </c>
      <c r="N275" t="str" cm="1">
        <f t="array" aca="1" ref="N275" ca="1">CONCATENATE(INDIRECT(ADDRESS(1,14,1,0,"KeySet"),0),":","""",valueMaker!N275,"""")</f>
        <v>kaninKengenPoint:"有り"</v>
      </c>
      <c r="O275" t="str" cm="1">
        <f t="array" aca="1" ref="O275" ca="1">CONCATENATE(INDIRECT(ADDRESS(1,15,1,0,"KeySet"),0),":","""",valueMaker!O275,"""")</f>
        <v>point:"689"</v>
      </c>
      <c r="P275" t="str" cm="1">
        <f t="array" aca="1" ref="P275" ca="1">CONCATENATE(INDIRECT(ADDRESS(1,16,1,0,"KeySet"),0),":","""",valueMaker!P275,"""")</f>
        <v>bikou:""</v>
      </c>
    </row>
    <row r="276" spans="1:16">
      <c r="A276" t="str" cm="1">
        <f t="array" aca="1" ref="A276" ca="1">CONCATENATE(INDIRECT(ADDRESS(1,1,1,0,"KeySet"),0),":","""",valueMaker!A276,"""")</f>
        <v>kainBangou:"TD10275"</v>
      </c>
      <c r="B276" t="str" cm="1">
        <f t="array" aca="1" ref="B276" ca="1">CONCATENATE(INDIRECT(ADDRESS(1,2,1,0,"KeySet"),0),":","""",valueMaker!B276,"""")</f>
        <v>kainMeiKanji:"高物修"</v>
      </c>
      <c r="C276" t="str" cm="1">
        <f t="array" aca="1" ref="C276" ca="1">CONCATENATE(INDIRECT(ADDRESS(1,3,1,0,"KeySet"),0),":","""",valueMaker!C276,"""")</f>
        <v>kainMeiKana:"ｶﾞｵ ｳｰ ｼｳ"</v>
      </c>
      <c r="D276" t="str" cm="1">
        <f t="array" aca="1" ref="D276" ca="1">CONCATENATE(INDIRECT(ADDRESS(1,4,1,0,"KeySet"),0),":","""",valueMaker!D276,"""")</f>
        <v>kainMeiEn:"Gao Wu Xiu"</v>
      </c>
      <c r="E276" t="str" cm="1">
        <f t="array" aca="1" ref="E276" ca="1">CONCATENATE(INDIRECT(ADDRESS(1,5,1,0,"KeySet"),0),":","""",valueMaker!E276,"""")</f>
        <v>kainGender:"男性"</v>
      </c>
      <c r="F276" t="str" cm="1">
        <f t="array" aca="1" ref="F276" ca="1">CONCATENATE(INDIRECT(ADDRESS(1,6,1,0,"KeySet"),0),":","""",TEXT(valueMaker!F276,"yyyy/m/d"),"""")</f>
        <v>tanjyoubi:"1974/6/14"</v>
      </c>
      <c r="G276" t="str" cm="1">
        <f t="array" aca="1" ref="G276" ca="1">CONCATENATE(INDIRECT(ADDRESS(1,6,1,0,"KeySet"),0),":","""",TEXT(valueMaker!G276,"yyyy/m/d"),"""")</f>
        <v>tanjyoubi:"2004/3/7"</v>
      </c>
      <c r="H276" t="str" cm="1">
        <f t="array" aca="1" ref="H276" ca="1">CONCATENATE(INDIRECT(ADDRESS(1,6,1,0,"KeySet"),0),":","""",TEXT(valueMaker!H276,"yyyy/m/d"),"""")</f>
        <v>tanjyoubi:"2006/3/7"</v>
      </c>
      <c r="I276" t="str" cm="1">
        <f t="array" aca="1" ref="I276" ca="1">CONCATENATE(INDIRECT(ADDRESS(1,9,1,0,"KeySet"),0),":","""",valueMaker!I276,"""")</f>
        <v>denwaBangou:"090-1306-6106"</v>
      </c>
      <c r="J276" t="str" cm="1">
        <f t="array" aca="1" ref="J276" ca="1">CONCATENATE(INDIRECT(ADDRESS(1,10,1,0,"KeySet"),0),":","""",valueMaker!J276,"""")</f>
        <v>mailAddress:"Gao_Wu_Xiu_38053@outlook.jp.co"</v>
      </c>
      <c r="K276" t="str" cm="1">
        <f t="array" aca="1" ref="K276" ca="1">CONCATENATE(INDIRECT(ADDRESS(1,11,1,0,"KeySet"),0),":","""",valueMaker!K276,"""")</f>
        <v>kaninSyubetu:"普通"</v>
      </c>
      <c r="L276" t="str" cm="1">
        <f t="array" aca="1" ref="L276" ca="1">CONCATENATE(INDIRECT(ADDRESS(1,12,1,0,"KeySet"),0),":","""",valueMaker!L276,"""")</f>
        <v>kaninKengenWB:"-"</v>
      </c>
      <c r="M276" t="str" cm="1">
        <f t="array" aca="1" ref="M276" ca="1">CONCATENATE(INDIRECT(ADDRESS(1,13,1,0,"KeySet"),0),":","""",valueMaker!M276,"""")</f>
        <v>wakibiri:"-"</v>
      </c>
      <c r="N276" t="str" cm="1">
        <f t="array" aca="1" ref="N276" ca="1">CONCATENATE(INDIRECT(ADDRESS(1,14,1,0,"KeySet"),0),":","""",valueMaker!N276,"""")</f>
        <v>kaninKengenPoint:"有り"</v>
      </c>
      <c r="O276" t="str" cm="1">
        <f t="array" aca="1" ref="O276" ca="1">CONCATENATE(INDIRECT(ADDRESS(1,15,1,0,"KeySet"),0),":","""",valueMaker!O276,"""")</f>
        <v>point:"591"</v>
      </c>
      <c r="P276" t="str" cm="1">
        <f t="array" aca="1" ref="P276" ca="1">CONCATENATE(INDIRECT(ADDRESS(1,16,1,0,"KeySet"),0),":","""",valueMaker!P276,"""")</f>
        <v>bikou:""</v>
      </c>
    </row>
    <row r="277" spans="1:16">
      <c r="A277" t="str" cm="1">
        <f t="array" aca="1" ref="A277" ca="1">CONCATENATE(INDIRECT(ADDRESS(1,1,1,0,"KeySet"),0),":","""",valueMaker!A277,"""")</f>
        <v>kainBangou:"TD10276"</v>
      </c>
      <c r="B277" t="str" cm="1">
        <f t="array" aca="1" ref="B277" ca="1">CONCATENATE(INDIRECT(ADDRESS(1,2,1,0,"KeySet"),0),":","""",valueMaker!B277,"""")</f>
        <v>kainMeiKanji:"李貴孝"</v>
      </c>
      <c r="C277" t="str" cm="1">
        <f t="array" aca="1" ref="C277" ca="1">CONCATENATE(INDIRECT(ADDRESS(1,3,1,0,"KeySet"),0),":","""",valueMaker!C277,"""")</f>
        <v>kainMeiKana:"ﾘｰ ｸﾞｲ ｼﾔｵ"</v>
      </c>
      <c r="D277" t="str" cm="1">
        <f t="array" aca="1" ref="D277" ca="1">CONCATENATE(INDIRECT(ADDRESS(1,4,1,0,"KeySet"),0),":","""",valueMaker!D277,"""")</f>
        <v>kainMeiEn:"Li Gui Xiao"</v>
      </c>
      <c r="E277" t="str" cm="1">
        <f t="array" aca="1" ref="E277" ca="1">CONCATENATE(INDIRECT(ADDRESS(1,5,1,0,"KeySet"),0),":","""",valueMaker!E277,"""")</f>
        <v>kainGender:"女性"</v>
      </c>
      <c r="F277" t="str" cm="1">
        <f t="array" aca="1" ref="F277" ca="1">CONCATENATE(INDIRECT(ADDRESS(1,6,1,0,"KeySet"),0),":","""",TEXT(valueMaker!F277,"yyyy/m/d"),"""")</f>
        <v>tanjyoubi:"1961/9/21"</v>
      </c>
      <c r="G277" t="str" cm="1">
        <f t="array" aca="1" ref="G277" ca="1">CONCATENATE(INDIRECT(ADDRESS(1,6,1,0,"KeySet"),0),":","""",TEXT(valueMaker!G277,"yyyy/m/d"),"""")</f>
        <v>tanjyoubi:"2020/1/17"</v>
      </c>
      <c r="H277" t="str" cm="1">
        <f t="array" aca="1" ref="H277" ca="1">CONCATENATE(INDIRECT(ADDRESS(1,6,1,0,"KeySet"),0),":","""",TEXT(valueMaker!H277,"yyyy/m/d"),"""")</f>
        <v>tanjyoubi:"2022/1/16"</v>
      </c>
      <c r="I277" t="str" cm="1">
        <f t="array" aca="1" ref="I277" ca="1">CONCATENATE(INDIRECT(ADDRESS(1,9,1,0,"KeySet"),0),":","""",valueMaker!I277,"""")</f>
        <v>denwaBangou:"080-2833-3417"</v>
      </c>
      <c r="J277" t="str" cm="1">
        <f t="array" aca="1" ref="J277" ca="1">CONCATENATE(INDIRECT(ADDRESS(1,10,1,0,"KeySet"),0),":","""",valueMaker!J277,"""")</f>
        <v>mailAddress:"Li_Gui_Xiao_43847@outlook.jp.co"</v>
      </c>
      <c r="K277" t="str" cm="1">
        <f t="array" aca="1" ref="K277" ca="1">CONCATENATE(INDIRECT(ADDRESS(1,11,1,0,"KeySet"),0),":","""",valueMaker!K277,"""")</f>
        <v>kaninSyubetu:"普通"</v>
      </c>
      <c r="L277" t="str" cm="1">
        <f t="array" aca="1" ref="L277" ca="1">CONCATENATE(INDIRECT(ADDRESS(1,12,1,0,"KeySet"),0),":","""",valueMaker!L277,"""")</f>
        <v>kaninKengenWB:"有り"</v>
      </c>
      <c r="M277" t="str" cm="1">
        <f t="array" aca="1" ref="M277" ca="1">CONCATENATE(INDIRECT(ADDRESS(1,13,1,0,"KeySet"),0),":","""",valueMaker!M277,"""")</f>
        <v>wakibiri:"5%"</v>
      </c>
      <c r="N277" t="str" cm="1">
        <f t="array" aca="1" ref="N277" ca="1">CONCATENATE(INDIRECT(ADDRESS(1,14,1,0,"KeySet"),0),":","""",valueMaker!N277,"""")</f>
        <v>kaninKengenPoint:"有り"</v>
      </c>
      <c r="O277" t="str" cm="1">
        <f t="array" aca="1" ref="O277" ca="1">CONCATENATE(INDIRECT(ADDRESS(1,15,1,0,"KeySet"),0),":","""",valueMaker!O277,"""")</f>
        <v>point:"420"</v>
      </c>
      <c r="P277" t="str" cm="1">
        <f t="array" aca="1" ref="P277" ca="1">CONCATENATE(INDIRECT(ADDRESS(1,16,1,0,"KeySet"),0),":","""",valueMaker!P277,"""")</f>
        <v>bikou:""</v>
      </c>
    </row>
    <row r="278" spans="1:16">
      <c r="A278" t="str" cm="1">
        <f t="array" aca="1" ref="A278" ca="1">CONCATENATE(INDIRECT(ADDRESS(1,1,1,0,"KeySet"),0),":","""",valueMaker!A278,"""")</f>
        <v>kainBangou:"TD10277"</v>
      </c>
      <c r="B278" t="str" cm="1">
        <f t="array" aca="1" ref="B278" ca="1">CONCATENATE(INDIRECT(ADDRESS(1,2,1,0,"KeySet"),0),":","""",valueMaker!B278,"""")</f>
        <v>kainMeiKanji:"于瀚虹"</v>
      </c>
      <c r="C278" t="str" cm="1">
        <f t="array" aca="1" ref="C278" ca="1">CONCATENATE(INDIRECT(ADDRESS(1,3,1,0,"KeySet"),0),":","""",valueMaker!C278,"""")</f>
        <v>kainMeiKana:"ﾕｲ ﾊﾝ ﾎｰﾝ"</v>
      </c>
      <c r="D278" t="str" cm="1">
        <f t="array" aca="1" ref="D278" ca="1">CONCATENATE(INDIRECT(ADDRESS(1,4,1,0,"KeySet"),0),":","""",valueMaker!D278,"""")</f>
        <v>kainMeiEn:"Yu Han Hong"</v>
      </c>
      <c r="E278" t="str" cm="1">
        <f t="array" aca="1" ref="E278" ca="1">CONCATENATE(INDIRECT(ADDRESS(1,5,1,0,"KeySet"),0),":","""",valueMaker!E278,"""")</f>
        <v>kainGender:"女性"</v>
      </c>
      <c r="F278" t="str" cm="1">
        <f t="array" aca="1" ref="F278" ca="1">CONCATENATE(INDIRECT(ADDRESS(1,6,1,0,"KeySet"),0),":","""",TEXT(valueMaker!F278,"yyyy/m/d"),"""")</f>
        <v>tanjyoubi:"1972/7/3"</v>
      </c>
      <c r="G278" t="str" cm="1">
        <f t="array" aca="1" ref="G278" ca="1">CONCATENATE(INDIRECT(ADDRESS(1,6,1,0,"KeySet"),0),":","""",TEXT(valueMaker!G278,"yyyy/m/d"),"""")</f>
        <v>tanjyoubi:"2001/4/24"</v>
      </c>
      <c r="H278" t="str" cm="1">
        <f t="array" aca="1" ref="H278" ca="1">CONCATENATE(INDIRECT(ADDRESS(1,6,1,0,"KeySet"),0),":","""",TEXT(valueMaker!H278,"yyyy/m/d"),"""")</f>
        <v>tanjyoubi:"2003/4/24"</v>
      </c>
      <c r="I278" t="str" cm="1">
        <f t="array" aca="1" ref="I278" ca="1">CONCATENATE(INDIRECT(ADDRESS(1,9,1,0,"KeySet"),0),":","""",valueMaker!I278,"""")</f>
        <v>denwaBangou:"080-0734-7431"</v>
      </c>
      <c r="J278" t="str" cm="1">
        <f t="array" aca="1" ref="J278" ca="1">CONCATENATE(INDIRECT(ADDRESS(1,10,1,0,"KeySet"),0),":","""",valueMaker!J278,"""")</f>
        <v>mailAddress:"Yu_Han Hong_37005@outlook.jp.co"</v>
      </c>
      <c r="K278" t="str" cm="1">
        <f t="array" aca="1" ref="K278" ca="1">CONCATENATE(INDIRECT(ADDRESS(1,11,1,0,"KeySet"),0),":","""",valueMaker!K278,"""")</f>
        <v>kaninSyubetu:"高級"</v>
      </c>
      <c r="L278" t="str" cm="1">
        <f t="array" aca="1" ref="L278" ca="1">CONCATENATE(INDIRECT(ADDRESS(1,12,1,0,"KeySet"),0),":","""",valueMaker!L278,"""")</f>
        <v>kaninKengenWB:"有り"</v>
      </c>
      <c r="M278" t="str" cm="1">
        <f t="array" aca="1" ref="M278" ca="1">CONCATENATE(INDIRECT(ADDRESS(1,13,1,0,"KeySet"),0),":","""",valueMaker!M278,"""")</f>
        <v>wakibiri:"10%"</v>
      </c>
      <c r="N278" t="str" cm="1">
        <f t="array" aca="1" ref="N278" ca="1">CONCATENATE(INDIRECT(ADDRESS(1,14,1,0,"KeySet"),0),":","""",valueMaker!N278,"""")</f>
        <v>kaninKengenPoint:"-"</v>
      </c>
      <c r="O278" t="str" cm="1">
        <f t="array" aca="1" ref="O278" ca="1">CONCATENATE(INDIRECT(ADDRESS(1,15,1,0,"KeySet"),0),":","""",valueMaker!O278,"""")</f>
        <v>point:"-"</v>
      </c>
      <c r="P278" t="str" cm="1">
        <f t="array" aca="1" ref="P278" ca="1">CONCATENATE(INDIRECT(ADDRESS(1,16,1,0,"KeySet"),0),":","""",valueMaker!P278,"""")</f>
        <v>bikou:""</v>
      </c>
    </row>
    <row r="279" spans="1:16">
      <c r="A279" t="str" cm="1">
        <f t="array" aca="1" ref="A279" ca="1">CONCATENATE(INDIRECT(ADDRESS(1,1,1,0,"KeySet"),0),":","""",valueMaker!A279,"""")</f>
        <v>kainBangou:"TD10278"</v>
      </c>
      <c r="B279" t="str" cm="1">
        <f t="array" aca="1" ref="B279" ca="1">CONCATENATE(INDIRECT(ADDRESS(1,2,1,0,"KeySet"),0),":","""",valueMaker!B279,"""")</f>
        <v>kainMeiKanji:"李億蒂"</v>
      </c>
      <c r="C279" t="str" cm="1">
        <f t="array" aca="1" ref="C279" ca="1">CONCATENATE(INDIRECT(ADDRESS(1,3,1,0,"KeySet"),0),":","""",valueMaker!C279,"""")</f>
        <v>kainMeiKana:"ﾘｰ ｲｰ ﾃﾞｨｰ"</v>
      </c>
      <c r="D279" t="str" cm="1">
        <f t="array" aca="1" ref="D279" ca="1">CONCATENATE(INDIRECT(ADDRESS(1,4,1,0,"KeySet"),0),":","""",valueMaker!D279,"""")</f>
        <v>kainMeiEn:"Li Yi Di"</v>
      </c>
      <c r="E279" t="str" cm="1">
        <f t="array" aca="1" ref="E279" ca="1">CONCATENATE(INDIRECT(ADDRESS(1,5,1,0,"KeySet"),0),":","""",valueMaker!E279,"""")</f>
        <v>kainGender:"男性"</v>
      </c>
      <c r="F279" t="str" cm="1">
        <f t="array" aca="1" ref="F279" ca="1">CONCATENATE(INDIRECT(ADDRESS(1,6,1,0,"KeySet"),0),":","""",TEXT(valueMaker!F279,"yyyy/m/d"),"""")</f>
        <v>tanjyoubi:"1977/7/2"</v>
      </c>
      <c r="G279" t="str" cm="1">
        <f t="array" aca="1" ref="G279" ca="1">CONCATENATE(INDIRECT(ADDRESS(1,6,1,0,"KeySet"),0),":","""",TEXT(valueMaker!G279,"yyyy/m/d"),"""")</f>
        <v>tanjyoubi:"2021/5/29"</v>
      </c>
      <c r="H279" t="str" cm="1">
        <f t="array" aca="1" ref="H279" ca="1">CONCATENATE(INDIRECT(ADDRESS(1,6,1,0,"KeySet"),0),":","""",TEXT(valueMaker!H279,"yyyy/m/d"),"""")</f>
        <v>tanjyoubi:"2023/5/29"</v>
      </c>
      <c r="I279" t="str" cm="1">
        <f t="array" aca="1" ref="I279" ca="1">CONCATENATE(INDIRECT(ADDRESS(1,9,1,0,"KeySet"),0),":","""",valueMaker!I279,"""")</f>
        <v>denwaBangou:"090-6187-3678"</v>
      </c>
      <c r="J279" t="str" cm="1">
        <f t="array" aca="1" ref="J279" ca="1">CONCATENATE(INDIRECT(ADDRESS(1,10,1,0,"KeySet"),0),":","""",valueMaker!J279,"""")</f>
        <v>mailAddress:"Li_Yi_Di_44345@outlook.jp.co"</v>
      </c>
      <c r="K279" t="str" cm="1">
        <f t="array" aca="1" ref="K279" ca="1">CONCATENATE(INDIRECT(ADDRESS(1,11,1,0,"KeySet"),0),":","""",valueMaker!K279,"""")</f>
        <v>kaninSyubetu:"普通"</v>
      </c>
      <c r="L279" t="str" cm="1">
        <f t="array" aca="1" ref="L279" ca="1">CONCATENATE(INDIRECT(ADDRESS(1,12,1,0,"KeySet"),0),":","""",valueMaker!L279,"""")</f>
        <v>kaninKengenWB:"有り"</v>
      </c>
      <c r="M279" t="str" cm="1">
        <f t="array" aca="1" ref="M279" ca="1">CONCATENATE(INDIRECT(ADDRESS(1,13,1,0,"KeySet"),0),":","""",valueMaker!M279,"""")</f>
        <v>wakibiri:"5%"</v>
      </c>
      <c r="N279" t="str" cm="1">
        <f t="array" aca="1" ref="N279" ca="1">CONCATENATE(INDIRECT(ADDRESS(1,14,1,0,"KeySet"),0),":","""",valueMaker!N279,"""")</f>
        <v>kaninKengenPoint:"有り"</v>
      </c>
      <c r="O279" t="str" cm="1">
        <f t="array" aca="1" ref="O279" ca="1">CONCATENATE(INDIRECT(ADDRESS(1,15,1,0,"KeySet"),0),":","""",valueMaker!O279,"""")</f>
        <v>point:"434"</v>
      </c>
      <c r="P279" t="str" cm="1">
        <f t="array" aca="1" ref="P279" ca="1">CONCATENATE(INDIRECT(ADDRESS(1,16,1,0,"KeySet"),0),":","""",valueMaker!P279,"""")</f>
        <v>bikou:""</v>
      </c>
    </row>
    <row r="280" spans="1:16">
      <c r="A280" t="str" cm="1">
        <f t="array" aca="1" ref="A280" ca="1">CONCATENATE(INDIRECT(ADDRESS(1,1,1,0,"KeySet"),0),":","""",valueMaker!A280,"""")</f>
        <v>kainBangou:"TD10279"</v>
      </c>
      <c r="B280" t="str" cm="1">
        <f t="array" aca="1" ref="B280" ca="1">CONCATENATE(INDIRECT(ADDRESS(1,2,1,0,"KeySet"),0),":","""",valueMaker!B280,"""")</f>
        <v>kainMeiKanji:"林綸網"</v>
      </c>
      <c r="C280" t="str" cm="1">
        <f t="array" aca="1" ref="C280" ca="1">CONCATENATE(INDIRECT(ADDRESS(1,3,1,0,"KeySet"),0),":","""",valueMaker!C280,"""")</f>
        <v>kainMeiKana:"ﾘﾝ ﾙﾝ ﾜｰﾝ"</v>
      </c>
      <c r="D280" t="str" cm="1">
        <f t="array" aca="1" ref="D280" ca="1">CONCATENATE(INDIRECT(ADDRESS(1,4,1,0,"KeySet"),0),":","""",valueMaker!D280,"""")</f>
        <v>kainMeiEn:"Lin Lun Wang"</v>
      </c>
      <c r="E280" t="str" cm="1">
        <f t="array" aca="1" ref="E280" ca="1">CONCATENATE(INDIRECT(ADDRESS(1,5,1,0,"KeySet"),0),":","""",valueMaker!E280,"""")</f>
        <v>kainGender:"男性"</v>
      </c>
      <c r="F280" t="str" cm="1">
        <f t="array" aca="1" ref="F280" ca="1">CONCATENATE(INDIRECT(ADDRESS(1,6,1,0,"KeySet"),0),":","""",TEXT(valueMaker!F280,"yyyy/m/d"),"""")</f>
        <v>tanjyoubi:"2005/6/22"</v>
      </c>
      <c r="G280" t="str" cm="1">
        <f t="array" aca="1" ref="G280" ca="1">CONCATENATE(INDIRECT(ADDRESS(1,6,1,0,"KeySet"),0),":","""",TEXT(valueMaker!G280,"yyyy/m/d"),"""")</f>
        <v>tanjyoubi:"2024/5/8"</v>
      </c>
      <c r="H280" t="str" cm="1">
        <f t="array" aca="1" ref="H280" ca="1">CONCATENATE(INDIRECT(ADDRESS(1,6,1,0,"KeySet"),0),":","""",TEXT(valueMaker!H280,"yyyy/m/d"),"""")</f>
        <v>tanjyoubi:"2025/5/8"</v>
      </c>
      <c r="I280" t="str" cm="1">
        <f t="array" aca="1" ref="I280" ca="1">CONCATENATE(INDIRECT(ADDRESS(1,9,1,0,"KeySet"),0),":","""",valueMaker!I280,"""")</f>
        <v>denwaBangou:"090-3945-1779"</v>
      </c>
      <c r="J280" t="str" cm="1">
        <f t="array" aca="1" ref="J280" ca="1">CONCATENATE(INDIRECT(ADDRESS(1,10,1,0,"KeySet"),0),":","""",valueMaker!J280,"""")</f>
        <v>mailAddress:"Lin_Lun Wang_45420@outlook.jp.co"</v>
      </c>
      <c r="K280" t="str" cm="1">
        <f t="array" aca="1" ref="K280" ca="1">CONCATENATE(INDIRECT(ADDRESS(1,11,1,0,"KeySet"),0),":","""",valueMaker!K280,"""")</f>
        <v>kaninSyubetu:"高級"</v>
      </c>
      <c r="L280" t="str" cm="1">
        <f t="array" aca="1" ref="L280" ca="1">CONCATENATE(INDIRECT(ADDRESS(1,12,1,0,"KeySet"),0),":","""",valueMaker!L280,"""")</f>
        <v>kaninKengenWB:"有り"</v>
      </c>
      <c r="M280" t="str" cm="1">
        <f t="array" aca="1" ref="M280" ca="1">CONCATENATE(INDIRECT(ADDRESS(1,13,1,0,"KeySet"),0),":","""",valueMaker!M280,"""")</f>
        <v>wakibiri:"10%"</v>
      </c>
      <c r="N280" t="str" cm="1">
        <f t="array" aca="1" ref="N280" ca="1">CONCATENATE(INDIRECT(ADDRESS(1,14,1,0,"KeySet"),0),":","""",valueMaker!N280,"""")</f>
        <v>kaninKengenPoint:"有り"</v>
      </c>
      <c r="O280" t="str" cm="1">
        <f t="array" aca="1" ref="O280" ca="1">CONCATENATE(INDIRECT(ADDRESS(1,15,1,0,"KeySet"),0),":","""",valueMaker!O280,"""")</f>
        <v>point:"451"</v>
      </c>
      <c r="P280" t="str" cm="1">
        <f t="array" aca="1" ref="P280" ca="1">CONCATENATE(INDIRECT(ADDRESS(1,16,1,0,"KeySet"),0),":","""",valueMaker!P280,"""")</f>
        <v>bikou:""</v>
      </c>
    </row>
    <row r="281" spans="1:16">
      <c r="A281" t="str" cm="1">
        <f t="array" aca="1" ref="A281" ca="1">CONCATENATE(INDIRECT(ADDRESS(1,1,1,0,"KeySet"),0),":","""",valueMaker!A281,"""")</f>
        <v>kainBangou:"TD10280"</v>
      </c>
      <c r="B281" t="str" cm="1">
        <f t="array" aca="1" ref="B281" ca="1">CONCATENATE(INDIRECT(ADDRESS(1,2,1,0,"KeySet"),0),":","""",valueMaker!B281,"""")</f>
        <v>kainMeiKanji:"周華瑋"</v>
      </c>
      <c r="C281" t="str" cm="1">
        <f t="array" aca="1" ref="C281" ca="1">CONCATENATE(INDIRECT(ADDRESS(1,3,1,0,"KeySet"),0),":","""",valueMaker!C281,"""")</f>
        <v>kainMeiKana:"ｼﾞｮｳ ﾎﾜ ｳｴｲ"</v>
      </c>
      <c r="D281" t="str" cm="1">
        <f t="array" aca="1" ref="D281" ca="1">CONCATENATE(INDIRECT(ADDRESS(1,4,1,0,"KeySet"),0),":","""",valueMaker!D281,"""")</f>
        <v>kainMeiEn:"Zhou Hua Wei"</v>
      </c>
      <c r="E281" t="str" cm="1">
        <f t="array" aca="1" ref="E281" ca="1">CONCATENATE(INDIRECT(ADDRESS(1,5,1,0,"KeySet"),0),":","""",valueMaker!E281,"""")</f>
        <v>kainGender:"女性"</v>
      </c>
      <c r="F281" t="str" cm="1">
        <f t="array" aca="1" ref="F281" ca="1">CONCATENATE(INDIRECT(ADDRESS(1,6,1,0,"KeySet"),0),":","""",TEXT(valueMaker!F281,"yyyy/m/d"),"""")</f>
        <v>tanjyoubi:"1967/10/4"</v>
      </c>
      <c r="G281" t="str" cm="1">
        <f t="array" aca="1" ref="G281" ca="1">CONCATENATE(INDIRECT(ADDRESS(1,6,1,0,"KeySet"),0),":","""",TEXT(valueMaker!G281,"yyyy/m/d"),"""")</f>
        <v>tanjyoubi:"2010/7/17"</v>
      </c>
      <c r="H281" t="str" cm="1">
        <f t="array" aca="1" ref="H281" ca="1">CONCATENATE(INDIRECT(ADDRESS(1,6,1,0,"KeySet"),0),":","""",TEXT(valueMaker!H281,"yyyy/m/d"),"""")</f>
        <v>tanjyoubi:"2012/7/16"</v>
      </c>
      <c r="I281" t="str" cm="1">
        <f t="array" aca="1" ref="I281" ca="1">CONCATENATE(INDIRECT(ADDRESS(1,9,1,0,"KeySet"),0),":","""",valueMaker!I281,"""")</f>
        <v>denwaBangou:"090-3907-1782"</v>
      </c>
      <c r="J281" t="str" cm="1">
        <f t="array" aca="1" ref="J281" ca="1">CONCATENATE(INDIRECT(ADDRESS(1,10,1,0,"KeySet"),0),":","""",valueMaker!J281,"""")</f>
        <v>mailAddress:"Zhou_Hua_Wei_40376@outlook.jp.co"</v>
      </c>
      <c r="K281" t="str" cm="1">
        <f t="array" aca="1" ref="K281" ca="1">CONCATENATE(INDIRECT(ADDRESS(1,11,1,0,"KeySet"),0),":","""",valueMaker!K281,"""")</f>
        <v>kaninSyubetu:"高級"</v>
      </c>
      <c r="L281" t="str" cm="1">
        <f t="array" aca="1" ref="L281" ca="1">CONCATENATE(INDIRECT(ADDRESS(1,12,1,0,"KeySet"),0),":","""",valueMaker!L281,"""")</f>
        <v>kaninKengenWB:"有り"</v>
      </c>
      <c r="M281" t="str" cm="1">
        <f t="array" aca="1" ref="M281" ca="1">CONCATENATE(INDIRECT(ADDRESS(1,13,1,0,"KeySet"),0),":","""",valueMaker!M281,"""")</f>
        <v>wakibiri:"10%"</v>
      </c>
      <c r="N281" t="str" cm="1">
        <f t="array" aca="1" ref="N281" ca="1">CONCATENATE(INDIRECT(ADDRESS(1,14,1,0,"KeySet"),0),":","""",valueMaker!N281,"""")</f>
        <v>kaninKengenPoint:"-"</v>
      </c>
      <c r="O281" t="str" cm="1">
        <f t="array" aca="1" ref="O281" ca="1">CONCATENATE(INDIRECT(ADDRESS(1,15,1,0,"KeySet"),0),":","""",valueMaker!O281,"""")</f>
        <v>point:"-"</v>
      </c>
      <c r="P281" t="str" cm="1">
        <f t="array" aca="1" ref="P281" ca="1">CONCATENATE(INDIRECT(ADDRESS(1,16,1,0,"KeySet"),0),":","""",valueMaker!P281,"""")</f>
        <v>bikou:""</v>
      </c>
    </row>
    <row r="282" spans="1:16">
      <c r="A282" t="str" cm="1">
        <f t="array" aca="1" ref="A282" ca="1">CONCATENATE(INDIRECT(ADDRESS(1,1,1,0,"KeySet"),0),":","""",valueMaker!A282,"""")</f>
        <v>kainBangou:"TD10281"</v>
      </c>
      <c r="B282" t="str" cm="1">
        <f t="array" aca="1" ref="B282" ca="1">CONCATENATE(INDIRECT(ADDRESS(1,2,1,0,"KeySet"),0),":","""",valueMaker!B282,"""")</f>
        <v>kainMeiKanji:"鄭源俊"</v>
      </c>
      <c r="C282" t="str" cm="1">
        <f t="array" aca="1" ref="C282" ca="1">CONCATENATE(INDIRECT(ADDRESS(1,3,1,0,"KeySet"),0),":","""",valueMaker!C282,"""")</f>
        <v>kainMeiKana:"ｼﾞｭﾖﾝ ﾕｴﾝ ｼﾞｭｲﾝ"</v>
      </c>
      <c r="D282" t="str" cm="1">
        <f t="array" aca="1" ref="D282" ca="1">CONCATENATE(INDIRECT(ADDRESS(1,4,1,0,"KeySet"),0),":","""",valueMaker!D282,"""")</f>
        <v>kainMeiEn:"Zheng Yuan Jun"</v>
      </c>
      <c r="E282" t="str" cm="1">
        <f t="array" aca="1" ref="E282" ca="1">CONCATENATE(INDIRECT(ADDRESS(1,5,1,0,"KeySet"),0),":","""",valueMaker!E282,"""")</f>
        <v>kainGender:"女性"</v>
      </c>
      <c r="F282" t="str" cm="1">
        <f t="array" aca="1" ref="F282" ca="1">CONCATENATE(INDIRECT(ADDRESS(1,6,1,0,"KeySet"),0),":","""",TEXT(valueMaker!F282,"yyyy/m/d"),"""")</f>
        <v>tanjyoubi:"1970/6/13"</v>
      </c>
      <c r="G282" t="str" cm="1">
        <f t="array" aca="1" ref="G282" ca="1">CONCATENATE(INDIRECT(ADDRESS(1,6,1,0,"KeySet"),0),":","""",TEXT(valueMaker!G282,"yyyy/m/d"),"""")</f>
        <v>tanjyoubi:"1988/9/1"</v>
      </c>
      <c r="H282" t="str" cm="1">
        <f t="array" aca="1" ref="H282" ca="1">CONCATENATE(INDIRECT(ADDRESS(1,6,1,0,"KeySet"),0),":","""",TEXT(valueMaker!H282,"yyyy/m/d"),"""")</f>
        <v>tanjyoubi:"1989/9/1"</v>
      </c>
      <c r="I282" t="str" cm="1">
        <f t="array" aca="1" ref="I282" ca="1">CONCATENATE(INDIRECT(ADDRESS(1,9,1,0,"KeySet"),0),":","""",valueMaker!I282,"""")</f>
        <v>denwaBangou:"090-4417-0201"</v>
      </c>
      <c r="J282" t="str" cm="1">
        <f t="array" aca="1" ref="J282" ca="1">CONCATENATE(INDIRECT(ADDRESS(1,10,1,0,"KeySet"),0),":","""",valueMaker!J282,"""")</f>
        <v>mailAddress:"Zheng_Yuan_Jun_32387@outlook.jp.co"</v>
      </c>
      <c r="K282" t="str" cm="1">
        <f t="array" aca="1" ref="K282" ca="1">CONCATENATE(INDIRECT(ADDRESS(1,11,1,0,"KeySet"),0),":","""",valueMaker!K282,"""")</f>
        <v>kaninSyubetu:"高級"</v>
      </c>
      <c r="L282" t="str" cm="1">
        <f t="array" aca="1" ref="L282" ca="1">CONCATENATE(INDIRECT(ADDRESS(1,12,1,0,"KeySet"),0),":","""",valueMaker!L282,"""")</f>
        <v>kaninKengenWB:"有り"</v>
      </c>
      <c r="M282" t="str" cm="1">
        <f t="array" aca="1" ref="M282" ca="1">CONCATENATE(INDIRECT(ADDRESS(1,13,1,0,"KeySet"),0),":","""",valueMaker!M282,"""")</f>
        <v>wakibiri:"10%"</v>
      </c>
      <c r="N282" t="str" cm="1">
        <f t="array" aca="1" ref="N282" ca="1">CONCATENATE(INDIRECT(ADDRESS(1,14,1,0,"KeySet"),0),":","""",valueMaker!N282,"""")</f>
        <v>kaninKengenPoint:"-"</v>
      </c>
      <c r="O282" t="str" cm="1">
        <f t="array" aca="1" ref="O282" ca="1">CONCATENATE(INDIRECT(ADDRESS(1,15,1,0,"KeySet"),0),":","""",valueMaker!O282,"""")</f>
        <v>point:"-"</v>
      </c>
      <c r="P282" t="str" cm="1">
        <f t="array" aca="1" ref="P282" ca="1">CONCATENATE(INDIRECT(ADDRESS(1,16,1,0,"KeySet"),0),":","""",valueMaker!P282,"""")</f>
        <v>bikou:""</v>
      </c>
    </row>
    <row r="283" spans="1:16">
      <c r="A283" t="str" cm="1">
        <f t="array" aca="1" ref="A283" ca="1">CONCATENATE(INDIRECT(ADDRESS(1,1,1,0,"KeySet"),0),":","""",valueMaker!A283,"""")</f>
        <v>kainBangou:"TD10282"</v>
      </c>
      <c r="B283" t="str" cm="1">
        <f t="array" aca="1" ref="B283" ca="1">CONCATENATE(INDIRECT(ADDRESS(1,2,1,0,"KeySet"),0),":","""",valueMaker!B283,"""")</f>
        <v>kainMeiKanji:"林美貿"</v>
      </c>
      <c r="C283" t="str" cm="1">
        <f t="array" aca="1" ref="C283" ca="1">CONCATENATE(INDIRECT(ADDRESS(1,3,1,0,"KeySet"),0),":","""",valueMaker!C283,"""")</f>
        <v>kainMeiKana:"ﾘﾝ ﾒｲ ﾏｵ"</v>
      </c>
      <c r="D283" t="str" cm="1">
        <f t="array" aca="1" ref="D283" ca="1">CONCATENATE(INDIRECT(ADDRESS(1,4,1,0,"KeySet"),0),":","""",valueMaker!D283,"""")</f>
        <v>kainMeiEn:"Lin Mei Mao"</v>
      </c>
      <c r="E283" t="str" cm="1">
        <f t="array" aca="1" ref="E283" ca="1">CONCATENATE(INDIRECT(ADDRESS(1,5,1,0,"KeySet"),0),":","""",valueMaker!E283,"""")</f>
        <v>kainGender:"男性"</v>
      </c>
      <c r="F283" t="str" cm="1">
        <f t="array" aca="1" ref="F283" ca="1">CONCATENATE(INDIRECT(ADDRESS(1,6,1,0,"KeySet"),0),":","""",TEXT(valueMaker!F283,"yyyy/m/d"),"""")</f>
        <v>tanjyoubi:"1983/8/6"</v>
      </c>
      <c r="G283" t="str" cm="1">
        <f t="array" aca="1" ref="G283" ca="1">CONCATENATE(INDIRECT(ADDRESS(1,6,1,0,"KeySet"),0),":","""",TEXT(valueMaker!G283,"yyyy/m/d"),"""")</f>
        <v>tanjyoubi:"2005/10/7"</v>
      </c>
      <c r="H283" t="str" cm="1">
        <f t="array" aca="1" ref="H283" ca="1">CONCATENATE(INDIRECT(ADDRESS(1,6,1,0,"KeySet"),0),":","""",TEXT(valueMaker!H283,"yyyy/m/d"),"""")</f>
        <v>tanjyoubi:"2007/10/7"</v>
      </c>
      <c r="I283" t="str" cm="1">
        <f t="array" aca="1" ref="I283" ca="1">CONCATENATE(INDIRECT(ADDRESS(1,9,1,0,"KeySet"),0),":","""",valueMaker!I283,"""")</f>
        <v>denwaBangou:"090-2282-2506"</v>
      </c>
      <c r="J283" t="str" cm="1">
        <f t="array" aca="1" ref="J283" ca="1">CONCATENATE(INDIRECT(ADDRESS(1,10,1,0,"KeySet"),0),":","""",valueMaker!J283,"""")</f>
        <v>mailAddress:"Lin_Mei_Mao_38632@outlook.jp.co"</v>
      </c>
      <c r="K283" t="str" cm="1">
        <f t="array" aca="1" ref="K283" ca="1">CONCATENATE(INDIRECT(ADDRESS(1,11,1,0,"KeySet"),0),":","""",valueMaker!K283,"""")</f>
        <v>kaninSyubetu:"普通"</v>
      </c>
      <c r="L283" t="str" cm="1">
        <f t="array" aca="1" ref="L283" ca="1">CONCATENATE(INDIRECT(ADDRESS(1,12,1,0,"KeySet"),0),":","""",valueMaker!L283,"""")</f>
        <v>kaninKengenWB:"有り"</v>
      </c>
      <c r="M283" t="str" cm="1">
        <f t="array" aca="1" ref="M283" ca="1">CONCATENATE(INDIRECT(ADDRESS(1,13,1,0,"KeySet"),0),":","""",valueMaker!M283,"""")</f>
        <v>wakibiri:"5%"</v>
      </c>
      <c r="N283" t="str" cm="1">
        <f t="array" aca="1" ref="N283" ca="1">CONCATENATE(INDIRECT(ADDRESS(1,14,1,0,"KeySet"),0),":","""",valueMaker!N283,"""")</f>
        <v>kaninKengenPoint:"-"</v>
      </c>
      <c r="O283" t="str" cm="1">
        <f t="array" aca="1" ref="O283" ca="1">CONCATENATE(INDIRECT(ADDRESS(1,15,1,0,"KeySet"),0),":","""",valueMaker!O283,"""")</f>
        <v>point:"-"</v>
      </c>
      <c r="P283" t="str" cm="1">
        <f t="array" aca="1" ref="P283" ca="1">CONCATENATE(INDIRECT(ADDRESS(1,16,1,0,"KeySet"),0),":","""",valueMaker!P283,"""")</f>
        <v>bikou:""</v>
      </c>
    </row>
    <row r="284" spans="1:16">
      <c r="A284" t="str" cm="1">
        <f t="array" aca="1" ref="A284" ca="1">CONCATENATE(INDIRECT(ADDRESS(1,1,1,0,"KeySet"),0),":","""",valueMaker!A284,"""")</f>
        <v>kainBangou:"TD10283"</v>
      </c>
      <c r="B284" t="str" cm="1">
        <f t="array" aca="1" ref="B284" ca="1">CONCATENATE(INDIRECT(ADDRESS(1,2,1,0,"KeySet"),0),":","""",valueMaker!B284,"""")</f>
        <v>kainMeiKanji:"謝彤存"</v>
      </c>
      <c r="C284" t="str" cm="1">
        <f t="array" aca="1" ref="C284" ca="1">CONCATENATE(INDIRECT(ADDRESS(1,3,1,0,"KeySet"),0),":","""",valueMaker!C284,"""")</f>
        <v>kainMeiKana:"ｼｴ ﾄｰﾝ ﾂｩﾝ"</v>
      </c>
      <c r="D284" t="str" cm="1">
        <f t="array" aca="1" ref="D284" ca="1">CONCATENATE(INDIRECT(ADDRESS(1,4,1,0,"KeySet"),0),":","""",valueMaker!D284,"""")</f>
        <v>kainMeiEn:"Xie Tong Cun"</v>
      </c>
      <c r="E284" t="str" cm="1">
        <f t="array" aca="1" ref="E284" ca="1">CONCATENATE(INDIRECT(ADDRESS(1,5,1,0,"KeySet"),0),":","""",valueMaker!E284,"""")</f>
        <v>kainGender:"女性"</v>
      </c>
      <c r="F284" t="str" cm="1">
        <f t="array" aca="1" ref="F284" ca="1">CONCATENATE(INDIRECT(ADDRESS(1,6,1,0,"KeySet"),0),":","""",TEXT(valueMaker!F284,"yyyy/m/d"),"""")</f>
        <v>tanjyoubi:"1961/3/16"</v>
      </c>
      <c r="G284" t="str" cm="1">
        <f t="array" aca="1" ref="G284" ca="1">CONCATENATE(INDIRECT(ADDRESS(1,6,1,0,"KeySet"),0),":","""",TEXT(valueMaker!G284,"yyyy/m/d"),"""")</f>
        <v>tanjyoubi:"2020/2/2"</v>
      </c>
      <c r="H284" t="str" cm="1">
        <f t="array" aca="1" ref="H284" ca="1">CONCATENATE(INDIRECT(ADDRESS(1,6,1,0,"KeySet"),0),":","""",TEXT(valueMaker!H284,"yyyy/m/d"),"""")</f>
        <v>tanjyoubi:"2022/2/1"</v>
      </c>
      <c r="I284" t="str" cm="1">
        <f t="array" aca="1" ref="I284" ca="1">CONCATENATE(INDIRECT(ADDRESS(1,9,1,0,"KeySet"),0),":","""",valueMaker!I284,"""")</f>
        <v>denwaBangou:"080-5961-0155"</v>
      </c>
      <c r="J284" t="str" cm="1">
        <f t="array" aca="1" ref="J284" ca="1">CONCATENATE(INDIRECT(ADDRESS(1,10,1,0,"KeySet"),0),":","""",valueMaker!J284,"""")</f>
        <v>mailAddress:"Xie_Tong_Cun_43863@outlook.jp.co"</v>
      </c>
      <c r="K284" t="str" cm="1">
        <f t="array" aca="1" ref="K284" ca="1">CONCATENATE(INDIRECT(ADDRESS(1,11,1,0,"KeySet"),0),":","""",valueMaker!K284,"""")</f>
        <v>kaninSyubetu:"普通"</v>
      </c>
      <c r="L284" t="str" cm="1">
        <f t="array" aca="1" ref="L284" ca="1">CONCATENATE(INDIRECT(ADDRESS(1,12,1,0,"KeySet"),0),":","""",valueMaker!L284,"""")</f>
        <v>kaninKengenWB:"有り"</v>
      </c>
      <c r="M284" t="str" cm="1">
        <f t="array" aca="1" ref="M284" ca="1">CONCATENATE(INDIRECT(ADDRESS(1,13,1,0,"KeySet"),0),":","""",valueMaker!M284,"""")</f>
        <v>wakibiri:"5%"</v>
      </c>
      <c r="N284" t="str" cm="1">
        <f t="array" aca="1" ref="N284" ca="1">CONCATENATE(INDIRECT(ADDRESS(1,14,1,0,"KeySet"),0),":","""",valueMaker!N284,"""")</f>
        <v>kaninKengenPoint:"有り"</v>
      </c>
      <c r="O284" t="str" cm="1">
        <f t="array" aca="1" ref="O284" ca="1">CONCATENATE(INDIRECT(ADDRESS(1,15,1,0,"KeySet"),0),":","""",valueMaker!O284,"""")</f>
        <v>point:"444"</v>
      </c>
      <c r="P284" t="str" cm="1">
        <f t="array" aca="1" ref="P284" ca="1">CONCATENATE(INDIRECT(ADDRESS(1,16,1,0,"KeySet"),0),":","""",valueMaker!P284,"""")</f>
        <v>bikou:""</v>
      </c>
    </row>
    <row r="285" spans="1:16">
      <c r="A285" t="str" cm="1">
        <f t="array" aca="1" ref="A285" ca="1">CONCATENATE(INDIRECT(ADDRESS(1,1,1,0,"KeySet"),0),":","""",valueMaker!A285,"""")</f>
        <v>kainBangou:"TD10284"</v>
      </c>
      <c r="B285" t="str" cm="1">
        <f t="array" aca="1" ref="B285" ca="1">CONCATENATE(INDIRECT(ADDRESS(1,2,1,0,"KeySet"),0),":","""",valueMaker!B285,"""")</f>
        <v>kainMeiKanji:"高慶圖"</v>
      </c>
      <c r="C285" t="str" cm="1">
        <f t="array" aca="1" ref="C285" ca="1">CONCATENATE(INDIRECT(ADDRESS(1,3,1,0,"KeySet"),0),":","""",valueMaker!C285,"""")</f>
        <v>kainMeiKana:"ｶﾞｵ ﾁｰﾝ ﾄｩ"</v>
      </c>
      <c r="D285" t="str" cm="1">
        <f t="array" aca="1" ref="D285" ca="1">CONCATENATE(INDIRECT(ADDRESS(1,4,1,0,"KeySet"),0),":","""",valueMaker!D285,"""")</f>
        <v>kainMeiEn:"Gao Qing Tu"</v>
      </c>
      <c r="E285" t="str" cm="1">
        <f t="array" aca="1" ref="E285" ca="1">CONCATENATE(INDIRECT(ADDRESS(1,5,1,0,"KeySet"),0),":","""",valueMaker!E285,"""")</f>
        <v>kainGender:"女性"</v>
      </c>
      <c r="F285" t="str" cm="1">
        <f t="array" aca="1" ref="F285" ca="1">CONCATENATE(INDIRECT(ADDRESS(1,6,1,0,"KeySet"),0),":","""",TEXT(valueMaker!F285,"yyyy/m/d"),"""")</f>
        <v>tanjyoubi:"1999/7/16"</v>
      </c>
      <c r="G285" t="str" cm="1">
        <f t="array" aca="1" ref="G285" ca="1">CONCATENATE(INDIRECT(ADDRESS(1,6,1,0,"KeySet"),0),":","""",TEXT(valueMaker!G285,"yyyy/m/d"),"""")</f>
        <v>tanjyoubi:"2018/7/25"</v>
      </c>
      <c r="H285" t="str" cm="1">
        <f t="array" aca="1" ref="H285" ca="1">CONCATENATE(INDIRECT(ADDRESS(1,6,1,0,"KeySet"),0),":","""",TEXT(valueMaker!H285,"yyyy/m/d"),"""")</f>
        <v>tanjyoubi:"2021/7/24"</v>
      </c>
      <c r="I285" t="str" cm="1">
        <f t="array" aca="1" ref="I285" ca="1">CONCATENATE(INDIRECT(ADDRESS(1,9,1,0,"KeySet"),0),":","""",valueMaker!I285,"""")</f>
        <v>denwaBangou:"080-1980-9101"</v>
      </c>
      <c r="J285" t="str" cm="1">
        <f t="array" aca="1" ref="J285" ca="1">CONCATENATE(INDIRECT(ADDRESS(1,10,1,0,"KeySet"),0),":","""",valueMaker!J285,"""")</f>
        <v>mailAddress:"Gao_Qing_Tu_43306@outlook.jp.co"</v>
      </c>
      <c r="K285" t="str" cm="1">
        <f t="array" aca="1" ref="K285" ca="1">CONCATENATE(INDIRECT(ADDRESS(1,11,1,0,"KeySet"),0),":","""",valueMaker!K285,"""")</f>
        <v>kaninSyubetu:"普通"</v>
      </c>
      <c r="L285" t="str" cm="1">
        <f t="array" aca="1" ref="L285" ca="1">CONCATENATE(INDIRECT(ADDRESS(1,12,1,0,"KeySet"),0),":","""",valueMaker!L285,"""")</f>
        <v>kaninKengenWB:"-"</v>
      </c>
      <c r="M285" t="str" cm="1">
        <f t="array" aca="1" ref="M285" ca="1">CONCATENATE(INDIRECT(ADDRESS(1,13,1,0,"KeySet"),0),":","""",valueMaker!M285,"""")</f>
        <v>wakibiri:"-"</v>
      </c>
      <c r="N285" t="str" cm="1">
        <f t="array" aca="1" ref="N285" ca="1">CONCATENATE(INDIRECT(ADDRESS(1,14,1,0,"KeySet"),0),":","""",valueMaker!N285,"""")</f>
        <v>kaninKengenPoint:"有り"</v>
      </c>
      <c r="O285" t="str" cm="1">
        <f t="array" aca="1" ref="O285" ca="1">CONCATENATE(INDIRECT(ADDRESS(1,15,1,0,"KeySet"),0),":","""",valueMaker!O285,"""")</f>
        <v>point:"854"</v>
      </c>
      <c r="P285" t="str" cm="1">
        <f t="array" aca="1" ref="P285" ca="1">CONCATENATE(INDIRECT(ADDRESS(1,16,1,0,"KeySet"),0),":","""",valueMaker!P285,"""")</f>
        <v>bikou:""</v>
      </c>
    </row>
    <row r="286" spans="1:16">
      <c r="A286" t="str" cm="1">
        <f t="array" aca="1" ref="A286" ca="1">CONCATENATE(INDIRECT(ADDRESS(1,1,1,0,"KeySet"),0),":","""",valueMaker!A286,"""")</f>
        <v>kainBangou:"TD10285"</v>
      </c>
      <c r="B286" t="str" cm="1">
        <f t="array" aca="1" ref="B286" ca="1">CONCATENATE(INDIRECT(ADDRESS(1,2,1,0,"KeySet"),0),":","""",valueMaker!B286,"""")</f>
        <v>kainMeiKanji:"梁茗奧"</v>
      </c>
      <c r="C286" t="str" cm="1">
        <f t="array" aca="1" ref="C286" ca="1">CONCATENATE(INDIRECT(ADDRESS(1,3,1,0,"KeySet"),0),":","""",valueMaker!C286,"""")</f>
        <v>kainMeiKana:"ﾘﾔｰﾝ ﾐｰﾝ ｱｵ"</v>
      </c>
      <c r="D286" t="str" cm="1">
        <f t="array" aca="1" ref="D286" ca="1">CONCATENATE(INDIRECT(ADDRESS(1,4,1,0,"KeySet"),0),":","""",valueMaker!D286,"""")</f>
        <v>kainMeiEn:"Liang Ming Ao"</v>
      </c>
      <c r="E286" t="str" cm="1">
        <f t="array" aca="1" ref="E286" ca="1">CONCATENATE(INDIRECT(ADDRESS(1,5,1,0,"KeySet"),0),":","""",valueMaker!E286,"""")</f>
        <v>kainGender:"女性"</v>
      </c>
      <c r="F286" t="str" cm="1">
        <f t="array" aca="1" ref="F286" ca="1">CONCATENATE(INDIRECT(ADDRESS(1,6,1,0,"KeySet"),0),":","""",TEXT(valueMaker!F286,"yyyy/m/d"),"""")</f>
        <v>tanjyoubi:"1993/3/14"</v>
      </c>
      <c r="G286" t="str" cm="1">
        <f t="array" aca="1" ref="G286" ca="1">CONCATENATE(INDIRECT(ADDRESS(1,6,1,0,"KeySet"),0),":","""",TEXT(valueMaker!G286,"yyyy/m/d"),"""")</f>
        <v>tanjyoubi:"2011/7/21"</v>
      </c>
      <c r="H286" t="str" cm="1">
        <f t="array" aca="1" ref="H286" ca="1">CONCATENATE(INDIRECT(ADDRESS(1,6,1,0,"KeySet"),0),":","""",TEXT(valueMaker!H286,"yyyy/m/d"),"""")</f>
        <v>tanjyoubi:"2014/7/20"</v>
      </c>
      <c r="I286" t="str" cm="1">
        <f t="array" aca="1" ref="I286" ca="1">CONCATENATE(INDIRECT(ADDRESS(1,9,1,0,"KeySet"),0),":","""",valueMaker!I286,"""")</f>
        <v>denwaBangou:"080-3993-4445"</v>
      </c>
      <c r="J286" t="str" cm="1">
        <f t="array" aca="1" ref="J286" ca="1">CONCATENATE(INDIRECT(ADDRESS(1,10,1,0,"KeySet"),0),":","""",valueMaker!J286,"""")</f>
        <v>mailAddress:"Liang_Ming_Ao_40745@outlook.jp.co"</v>
      </c>
      <c r="K286" t="str" cm="1">
        <f t="array" aca="1" ref="K286" ca="1">CONCATENATE(INDIRECT(ADDRESS(1,11,1,0,"KeySet"),0),":","""",valueMaker!K286,"""")</f>
        <v>kaninSyubetu:"高級"</v>
      </c>
      <c r="L286" t="str" cm="1">
        <f t="array" aca="1" ref="L286" ca="1">CONCATENATE(INDIRECT(ADDRESS(1,12,1,0,"KeySet"),0),":","""",valueMaker!L286,"""")</f>
        <v>kaninKengenWB:"-"</v>
      </c>
      <c r="M286" t="str" cm="1">
        <f t="array" aca="1" ref="M286" ca="1">CONCATENATE(INDIRECT(ADDRESS(1,13,1,0,"KeySet"),0),":","""",valueMaker!M286,"""")</f>
        <v>wakibiri:"-"</v>
      </c>
      <c r="N286" t="str" cm="1">
        <f t="array" aca="1" ref="N286" ca="1">CONCATENATE(INDIRECT(ADDRESS(1,14,1,0,"KeySet"),0),":","""",valueMaker!N286,"""")</f>
        <v>kaninKengenPoint:"有り"</v>
      </c>
      <c r="O286" t="str" cm="1">
        <f t="array" aca="1" ref="O286" ca="1">CONCATENATE(INDIRECT(ADDRESS(1,15,1,0,"KeySet"),0),":","""",valueMaker!O286,"""")</f>
        <v>point:"37"</v>
      </c>
      <c r="P286" t="str" cm="1">
        <f t="array" aca="1" ref="P286" ca="1">CONCATENATE(INDIRECT(ADDRESS(1,16,1,0,"KeySet"),0),":","""",valueMaker!P286,"""")</f>
        <v>bikou:""</v>
      </c>
    </row>
    <row r="287" spans="1:16">
      <c r="A287" t="str" cm="1">
        <f t="array" aca="1" ref="A287" ca="1">CONCATENATE(INDIRECT(ADDRESS(1,1,1,0,"KeySet"),0),":","""",valueMaker!A287,"""")</f>
        <v>kainBangou:"TD10286"</v>
      </c>
      <c r="B287" t="str" cm="1">
        <f t="array" aca="1" ref="B287" ca="1">CONCATENATE(INDIRECT(ADDRESS(1,2,1,0,"KeySet"),0),":","""",valueMaker!B287,"""")</f>
        <v>kainMeiKanji:"趙朋莉"</v>
      </c>
      <c r="C287" t="str" cm="1">
        <f t="array" aca="1" ref="C287" ca="1">CONCATENATE(INDIRECT(ADDRESS(1,3,1,0,"KeySet"),0),":","""",valueMaker!C287,"""")</f>
        <v>kainMeiKana:"ｼﾞｬｵ ﾌﾟｵﾝ ﾘｰ"</v>
      </c>
      <c r="D287" t="str" cm="1">
        <f t="array" aca="1" ref="D287" ca="1">CONCATENATE(INDIRECT(ADDRESS(1,4,1,0,"KeySet"),0),":","""",valueMaker!D287,"""")</f>
        <v>kainMeiEn:"Zhao Peng Li"</v>
      </c>
      <c r="E287" t="str" cm="1">
        <f t="array" aca="1" ref="E287" ca="1">CONCATENATE(INDIRECT(ADDRESS(1,5,1,0,"KeySet"),0),":","""",valueMaker!E287,"""")</f>
        <v>kainGender:"-"</v>
      </c>
      <c r="F287" t="str" cm="1">
        <f t="array" aca="1" ref="F287" ca="1">CONCATENATE(INDIRECT(ADDRESS(1,6,1,0,"KeySet"),0),":","""",TEXT(valueMaker!F287,"yyyy/m/d"),"""")</f>
        <v>tanjyoubi:"1976/8/10"</v>
      </c>
      <c r="G287" t="str" cm="1">
        <f t="array" aca="1" ref="G287" ca="1">CONCATENATE(INDIRECT(ADDRESS(1,6,1,0,"KeySet"),0),":","""",TEXT(valueMaker!G287,"yyyy/m/d"),"""")</f>
        <v>tanjyoubi:"2002/4/14"</v>
      </c>
      <c r="H287" t="str" cm="1">
        <f t="array" aca="1" ref="H287" ca="1">CONCATENATE(INDIRECT(ADDRESS(1,6,1,0,"KeySet"),0),":","""",TEXT(valueMaker!H287,"yyyy/m/d"),"""")</f>
        <v>tanjyoubi:"2004/4/13"</v>
      </c>
      <c r="I287" t="str" cm="1">
        <f t="array" aca="1" ref="I287" ca="1">CONCATENATE(INDIRECT(ADDRESS(1,9,1,0,"KeySet"),0),":","""",valueMaker!I287,"""")</f>
        <v>denwaBangou:"090-5920-6288"</v>
      </c>
      <c r="J287" t="str" cm="1">
        <f t="array" aca="1" ref="J287" ca="1">CONCATENATE(INDIRECT(ADDRESS(1,10,1,0,"KeySet"),0),":","""",valueMaker!J287,"""")</f>
        <v>mailAddress:"Zhao_Peng_Li_37360@outlook.jp.co"</v>
      </c>
      <c r="K287" t="str" cm="1">
        <f t="array" aca="1" ref="K287" ca="1">CONCATENATE(INDIRECT(ADDRESS(1,11,1,0,"KeySet"),0),":","""",valueMaker!K287,"""")</f>
        <v>kaninSyubetu:"普通"</v>
      </c>
      <c r="L287" t="str" cm="1">
        <f t="array" aca="1" ref="L287" ca="1">CONCATENATE(INDIRECT(ADDRESS(1,12,1,0,"KeySet"),0),":","""",valueMaker!L287,"""")</f>
        <v>kaninKengenWB:"有り"</v>
      </c>
      <c r="M287" t="str" cm="1">
        <f t="array" aca="1" ref="M287" ca="1">CONCATENATE(INDIRECT(ADDRESS(1,13,1,0,"KeySet"),0),":","""",valueMaker!M287,"""")</f>
        <v>wakibiri:"5%"</v>
      </c>
      <c r="N287" t="str" cm="1">
        <f t="array" aca="1" ref="N287" ca="1">CONCATENATE(INDIRECT(ADDRESS(1,14,1,0,"KeySet"),0),":","""",valueMaker!N287,"""")</f>
        <v>kaninKengenPoint:"有り"</v>
      </c>
      <c r="O287" t="str" cm="1">
        <f t="array" aca="1" ref="O287" ca="1">CONCATENATE(INDIRECT(ADDRESS(1,15,1,0,"KeySet"),0),":","""",valueMaker!O287,"""")</f>
        <v>point:"36"</v>
      </c>
      <c r="P287" t="str" cm="1">
        <f t="array" aca="1" ref="P287" ca="1">CONCATENATE(INDIRECT(ADDRESS(1,16,1,0,"KeySet"),0),":","""",valueMaker!P287,"""")</f>
        <v>bikou:""</v>
      </c>
    </row>
    <row r="288" spans="1:16">
      <c r="A288" t="str" cm="1">
        <f t="array" aca="1" ref="A288" ca="1">CONCATENATE(INDIRECT(ADDRESS(1,1,1,0,"KeySet"),0),":","""",valueMaker!A288,"""")</f>
        <v>kainBangou:"TD10287"</v>
      </c>
      <c r="B288" t="str" cm="1">
        <f t="array" aca="1" ref="B288" ca="1">CONCATENATE(INDIRECT(ADDRESS(1,2,1,0,"KeySet"),0),":","""",valueMaker!B288,"""")</f>
        <v>kainMeiKanji:"馬憶友"</v>
      </c>
      <c r="C288" t="str" cm="1">
        <f t="array" aca="1" ref="C288" ca="1">CONCATENATE(INDIRECT(ADDRESS(1,3,1,0,"KeySet"),0),":","""",valueMaker!C288,"""")</f>
        <v>kainMeiKana:"ﾏｰ ｲｰ ﾖｳ"</v>
      </c>
      <c r="D288" t="str" cm="1">
        <f t="array" aca="1" ref="D288" ca="1">CONCATENATE(INDIRECT(ADDRESS(1,4,1,0,"KeySet"),0),":","""",valueMaker!D288,"""")</f>
        <v>kainMeiEn:"Ma Yi You"</v>
      </c>
      <c r="E288" t="str" cm="1">
        <f t="array" aca="1" ref="E288" ca="1">CONCATENATE(INDIRECT(ADDRESS(1,5,1,0,"KeySet"),0),":","""",valueMaker!E288,"""")</f>
        <v>kainGender:"男性"</v>
      </c>
      <c r="F288" t="str" cm="1">
        <f t="array" aca="1" ref="F288" ca="1">CONCATENATE(INDIRECT(ADDRESS(1,6,1,0,"KeySet"),0),":","""",TEXT(valueMaker!F288,"yyyy/m/d"),"""")</f>
        <v>tanjyoubi:"1983/1/17"</v>
      </c>
      <c r="G288" t="str" cm="1">
        <f t="array" aca="1" ref="G288" ca="1">CONCATENATE(INDIRECT(ADDRESS(1,6,1,0,"KeySet"),0),":","""",TEXT(valueMaker!G288,"yyyy/m/d"),"""")</f>
        <v>tanjyoubi:"2014/12/14"</v>
      </c>
      <c r="H288" t="str" cm="1">
        <f t="array" aca="1" ref="H288" ca="1">CONCATENATE(INDIRECT(ADDRESS(1,6,1,0,"KeySet"),0),":","""",TEXT(valueMaker!H288,"yyyy/m/d"),"""")</f>
        <v>tanjyoubi:"2017/12/13"</v>
      </c>
      <c r="I288" t="str" cm="1">
        <f t="array" aca="1" ref="I288" ca="1">CONCATENATE(INDIRECT(ADDRESS(1,9,1,0,"KeySet"),0),":","""",valueMaker!I288,"""")</f>
        <v>denwaBangou:"090-2090-4633"</v>
      </c>
      <c r="J288" t="str" cm="1">
        <f t="array" aca="1" ref="J288" ca="1">CONCATENATE(INDIRECT(ADDRESS(1,10,1,0,"KeySet"),0),":","""",valueMaker!J288,"""")</f>
        <v>mailAddress:"Ma_Yi_You_41987@outlook.jp.co"</v>
      </c>
      <c r="K288" t="str" cm="1">
        <f t="array" aca="1" ref="K288" ca="1">CONCATENATE(INDIRECT(ADDRESS(1,11,1,0,"KeySet"),0),":","""",valueMaker!K288,"""")</f>
        <v>kaninSyubetu:"高級"</v>
      </c>
      <c r="L288" t="str" cm="1">
        <f t="array" aca="1" ref="L288" ca="1">CONCATENATE(INDIRECT(ADDRESS(1,12,1,0,"KeySet"),0),":","""",valueMaker!L288,"""")</f>
        <v>kaninKengenWB:"-"</v>
      </c>
      <c r="M288" t="str" cm="1">
        <f t="array" aca="1" ref="M288" ca="1">CONCATENATE(INDIRECT(ADDRESS(1,13,1,0,"KeySet"),0),":","""",valueMaker!M288,"""")</f>
        <v>wakibiri:"-"</v>
      </c>
      <c r="N288" t="str" cm="1">
        <f t="array" aca="1" ref="N288" ca="1">CONCATENATE(INDIRECT(ADDRESS(1,14,1,0,"KeySet"),0),":","""",valueMaker!N288,"""")</f>
        <v>kaninKengenPoint:"有り"</v>
      </c>
      <c r="O288" t="str" cm="1">
        <f t="array" aca="1" ref="O288" ca="1">CONCATENATE(INDIRECT(ADDRESS(1,15,1,0,"KeySet"),0),":","""",valueMaker!O288,"""")</f>
        <v>point:"55"</v>
      </c>
      <c r="P288" t="str" cm="1">
        <f t="array" aca="1" ref="P288" ca="1">CONCATENATE(INDIRECT(ADDRESS(1,16,1,0,"KeySet"),0),":","""",valueMaker!P288,"""")</f>
        <v>bikou:""</v>
      </c>
    </row>
    <row r="289" spans="1:16">
      <c r="A289" t="str" cm="1">
        <f t="array" aca="1" ref="A289" ca="1">CONCATENATE(INDIRECT(ADDRESS(1,1,1,0,"KeySet"),0),":","""",valueMaker!A289,"""")</f>
        <v>kainBangou:"TD10288"</v>
      </c>
      <c r="B289" t="str" cm="1">
        <f t="array" aca="1" ref="B289" ca="1">CONCATENATE(INDIRECT(ADDRESS(1,2,1,0,"KeySet"),0),":","""",valueMaker!B289,"""")</f>
        <v>kainMeiKanji:"何康森"</v>
      </c>
      <c r="C289" t="str" cm="1">
        <f t="array" aca="1" ref="C289" ca="1">CONCATENATE(INDIRECT(ADDRESS(1,3,1,0,"KeySet"),0),":","""",valueMaker!C289,"""")</f>
        <v>kainMeiKana:"ﾎｰｧ ｶｰﾝ ｾﾝ"</v>
      </c>
      <c r="D289" t="str" cm="1">
        <f t="array" aca="1" ref="D289" ca="1">CONCATENATE(INDIRECT(ADDRESS(1,4,1,0,"KeySet"),0),":","""",valueMaker!D289,"""")</f>
        <v>kainMeiEn:"He Kang Sen"</v>
      </c>
      <c r="E289" t="str" cm="1">
        <f t="array" aca="1" ref="E289" ca="1">CONCATENATE(INDIRECT(ADDRESS(1,5,1,0,"KeySet"),0),":","""",valueMaker!E289,"""")</f>
        <v>kainGender:"-"</v>
      </c>
      <c r="F289" t="str" cm="1">
        <f t="array" aca="1" ref="F289" ca="1">CONCATENATE(INDIRECT(ADDRESS(1,6,1,0,"KeySet"),0),":","""",TEXT(valueMaker!F289,"yyyy/m/d"),"""")</f>
        <v>tanjyoubi:"2002/5/17"</v>
      </c>
      <c r="G289" t="str" cm="1">
        <f t="array" aca="1" ref="G289" ca="1">CONCATENATE(INDIRECT(ADDRESS(1,6,1,0,"KeySet"),0),":","""",TEXT(valueMaker!G289,"yyyy/m/d"),"""")</f>
        <v>tanjyoubi:"2022/11/27"</v>
      </c>
      <c r="H289" t="str" cm="1">
        <f t="array" aca="1" ref="H289" ca="1">CONCATENATE(INDIRECT(ADDRESS(1,6,1,0,"KeySet"),0),":","""",TEXT(valueMaker!H289,"yyyy/m/d"),"""")</f>
        <v>tanjyoubi:"2025/11/26"</v>
      </c>
      <c r="I289" t="str" cm="1">
        <f t="array" aca="1" ref="I289" ca="1">CONCATENATE(INDIRECT(ADDRESS(1,9,1,0,"KeySet"),0),":","""",valueMaker!I289,"""")</f>
        <v>denwaBangou:"080-0123-1353"</v>
      </c>
      <c r="J289" t="str" cm="1">
        <f t="array" aca="1" ref="J289" ca="1">CONCATENATE(INDIRECT(ADDRESS(1,10,1,0,"KeySet"),0),":","""",valueMaker!J289,"""")</f>
        <v>mailAddress:"He_Kang_Sen_44892@outlook.jp.co"</v>
      </c>
      <c r="K289" t="str" cm="1">
        <f t="array" aca="1" ref="K289" ca="1">CONCATENATE(INDIRECT(ADDRESS(1,11,1,0,"KeySet"),0),":","""",valueMaker!K289,"""")</f>
        <v>kaninSyubetu:"高級"</v>
      </c>
      <c r="L289" t="str" cm="1">
        <f t="array" aca="1" ref="L289" ca="1">CONCATENATE(INDIRECT(ADDRESS(1,12,1,0,"KeySet"),0),":","""",valueMaker!L289,"""")</f>
        <v>kaninKengenWB:"有り"</v>
      </c>
      <c r="M289" t="str" cm="1">
        <f t="array" aca="1" ref="M289" ca="1">CONCATENATE(INDIRECT(ADDRESS(1,13,1,0,"KeySet"),0),":","""",valueMaker!M289,"""")</f>
        <v>wakibiri:"10%"</v>
      </c>
      <c r="N289" t="str" cm="1">
        <f t="array" aca="1" ref="N289" ca="1">CONCATENATE(INDIRECT(ADDRESS(1,14,1,0,"KeySet"),0),":","""",valueMaker!N289,"""")</f>
        <v>kaninKengenPoint:"有り"</v>
      </c>
      <c r="O289" t="str" cm="1">
        <f t="array" aca="1" ref="O289" ca="1">CONCATENATE(INDIRECT(ADDRESS(1,15,1,0,"KeySet"),0),":","""",valueMaker!O289,"""")</f>
        <v>point:"925"</v>
      </c>
      <c r="P289" t="str" cm="1">
        <f t="array" aca="1" ref="P289" ca="1">CONCATENATE(INDIRECT(ADDRESS(1,16,1,0,"KeySet"),0),":","""",valueMaker!P289,"""")</f>
        <v>bikou:""</v>
      </c>
    </row>
    <row r="290" spans="1:16">
      <c r="A290" t="str" cm="1">
        <f t="array" aca="1" ref="A290" ca="1">CONCATENATE(INDIRECT(ADDRESS(1,1,1,0,"KeySet"),0),":","""",valueMaker!A290,"""")</f>
        <v>kainBangou:"TD10289"</v>
      </c>
      <c r="B290" t="str" cm="1">
        <f t="array" aca="1" ref="B290" ca="1">CONCATENATE(INDIRECT(ADDRESS(1,2,1,0,"KeySet"),0),":","""",valueMaker!B290,"""")</f>
        <v>kainMeiKanji:"陳萬斌"</v>
      </c>
      <c r="C290" t="str" cm="1">
        <f t="array" aca="1" ref="C290" ca="1">CONCATENATE(INDIRECT(ADDRESS(1,3,1,0,"KeySet"),0),":","""",valueMaker!C290,"""")</f>
        <v>kainMeiKana:"ﾁｪﾝ ﾜﾝ ﾋﾞﾝ"</v>
      </c>
      <c r="D290" t="str" cm="1">
        <f t="array" aca="1" ref="D290" ca="1">CONCATENATE(INDIRECT(ADDRESS(1,4,1,0,"KeySet"),0),":","""",valueMaker!D290,"""")</f>
        <v>kainMeiEn:"Chen Wan Bin"</v>
      </c>
      <c r="E290" t="str" cm="1">
        <f t="array" aca="1" ref="E290" ca="1">CONCATENATE(INDIRECT(ADDRESS(1,5,1,0,"KeySet"),0),":","""",valueMaker!E290,"""")</f>
        <v>kainGender:"男性"</v>
      </c>
      <c r="F290" t="str" cm="1">
        <f t="array" aca="1" ref="F290" ca="1">CONCATENATE(INDIRECT(ADDRESS(1,6,1,0,"KeySet"),0),":","""",TEXT(valueMaker!F290,"yyyy/m/d"),"""")</f>
        <v>tanjyoubi:"1981/11/20"</v>
      </c>
      <c r="G290" t="str" cm="1">
        <f t="array" aca="1" ref="G290" ca="1">CONCATENATE(INDIRECT(ADDRESS(1,6,1,0,"KeySet"),0),":","""",TEXT(valueMaker!G290,"yyyy/m/d"),"""")</f>
        <v>tanjyoubi:"2008/11/13"</v>
      </c>
      <c r="H290" t="str" cm="1">
        <f t="array" aca="1" ref="H290" ca="1">CONCATENATE(INDIRECT(ADDRESS(1,6,1,0,"KeySet"),0),":","""",TEXT(valueMaker!H290,"yyyy/m/d"),"""")</f>
        <v>tanjyoubi:"2011/11/13"</v>
      </c>
      <c r="I290" t="str" cm="1">
        <f t="array" aca="1" ref="I290" ca="1">CONCATENATE(INDIRECT(ADDRESS(1,9,1,0,"KeySet"),0),":","""",valueMaker!I290,"""")</f>
        <v>denwaBangou:"090-2239-7443"</v>
      </c>
      <c r="J290" t="str" cm="1">
        <f t="array" aca="1" ref="J290" ca="1">CONCATENATE(INDIRECT(ADDRESS(1,10,1,0,"KeySet"),0),":","""",valueMaker!J290,"""")</f>
        <v>mailAddress:"Chen_Wan_Bin_39765@outlook.jp.co"</v>
      </c>
      <c r="K290" t="str" cm="1">
        <f t="array" aca="1" ref="K290" ca="1">CONCATENATE(INDIRECT(ADDRESS(1,11,1,0,"KeySet"),0),":","""",valueMaker!K290,"""")</f>
        <v>kaninSyubetu:"普通"</v>
      </c>
      <c r="L290" t="str" cm="1">
        <f t="array" aca="1" ref="L290" ca="1">CONCATENATE(INDIRECT(ADDRESS(1,12,1,0,"KeySet"),0),":","""",valueMaker!L290,"""")</f>
        <v>kaninKengenWB:"有り"</v>
      </c>
      <c r="M290" t="str" cm="1">
        <f t="array" aca="1" ref="M290" ca="1">CONCATENATE(INDIRECT(ADDRESS(1,13,1,0,"KeySet"),0),":","""",valueMaker!M290,"""")</f>
        <v>wakibiri:"5%"</v>
      </c>
      <c r="N290" t="str" cm="1">
        <f t="array" aca="1" ref="N290" ca="1">CONCATENATE(INDIRECT(ADDRESS(1,14,1,0,"KeySet"),0),":","""",valueMaker!N290,"""")</f>
        <v>kaninKengenPoint:"有り"</v>
      </c>
      <c r="O290" t="str" cm="1">
        <f t="array" aca="1" ref="O290" ca="1">CONCATENATE(INDIRECT(ADDRESS(1,15,1,0,"KeySet"),0),":","""",valueMaker!O290,"""")</f>
        <v>point:"507"</v>
      </c>
      <c r="P290" t="str" cm="1">
        <f t="array" aca="1" ref="P290" ca="1">CONCATENATE(INDIRECT(ADDRESS(1,16,1,0,"KeySet"),0),":","""",valueMaker!P290,"""")</f>
        <v>bikou:""</v>
      </c>
    </row>
    <row r="291" spans="1:16">
      <c r="A291" t="str" cm="1">
        <f t="array" aca="1" ref="A291" ca="1">CONCATENATE(INDIRECT(ADDRESS(1,1,1,0,"KeySet"),0),":","""",valueMaker!A291,"""")</f>
        <v>kainBangou:"TD10290"</v>
      </c>
      <c r="B291" t="str" cm="1">
        <f t="array" aca="1" ref="B291" ca="1">CONCATENATE(INDIRECT(ADDRESS(1,2,1,0,"KeySet"),0),":","""",valueMaker!B291,"""")</f>
        <v>kainMeiKanji:"黃木學"</v>
      </c>
      <c r="C291" t="str" cm="1">
        <f t="array" aca="1" ref="C291" ca="1">CONCATENATE(INDIRECT(ADDRESS(1,3,1,0,"KeySet"),0),":","""",valueMaker!C291,"""")</f>
        <v>kainMeiKana:"ﾎﾜｰﾝ ﾑｩ ｼｭｴ"</v>
      </c>
      <c r="D291" t="str" cm="1">
        <f t="array" aca="1" ref="D291" ca="1">CONCATENATE(INDIRECT(ADDRESS(1,4,1,0,"KeySet"),0),":","""",valueMaker!D291,"""")</f>
        <v>kainMeiEn:"Huang Mu Xue"</v>
      </c>
      <c r="E291" t="str" cm="1">
        <f t="array" aca="1" ref="E291" ca="1">CONCATENATE(INDIRECT(ADDRESS(1,5,1,0,"KeySet"),0),":","""",valueMaker!E291,"""")</f>
        <v>kainGender:"男性"</v>
      </c>
      <c r="F291" t="str" cm="1">
        <f t="array" aca="1" ref="F291" ca="1">CONCATENATE(INDIRECT(ADDRESS(1,6,1,0,"KeySet"),0),":","""",TEXT(valueMaker!F291,"yyyy/m/d"),"""")</f>
        <v>tanjyoubi:"1985/4/29"</v>
      </c>
      <c r="G291" t="str" cm="1">
        <f t="array" aca="1" ref="G291" ca="1">CONCATENATE(INDIRECT(ADDRESS(1,6,1,0,"KeySet"),0),":","""",TEXT(valueMaker!G291,"yyyy/m/d"),"""")</f>
        <v>tanjyoubi:"2003/9/22"</v>
      </c>
      <c r="H291" t="str" cm="1">
        <f t="array" aca="1" ref="H291" ca="1">CONCATENATE(INDIRECT(ADDRESS(1,6,1,0,"KeySet"),0),":","""",TEXT(valueMaker!H291,"yyyy/m/d"),"""")</f>
        <v>tanjyoubi:"2005/9/21"</v>
      </c>
      <c r="I291" t="str" cm="1">
        <f t="array" aca="1" ref="I291" ca="1">CONCATENATE(INDIRECT(ADDRESS(1,9,1,0,"KeySet"),0),":","""",valueMaker!I291,"""")</f>
        <v>denwaBangou:"090-5239-4822"</v>
      </c>
      <c r="J291" t="str" cm="1">
        <f t="array" aca="1" ref="J291" ca="1">CONCATENATE(INDIRECT(ADDRESS(1,10,1,0,"KeySet"),0),":","""",valueMaker!J291,"""")</f>
        <v>mailAddress:"Huang_Mu_Xue_37886@outlook.jp.co"</v>
      </c>
      <c r="K291" t="str" cm="1">
        <f t="array" aca="1" ref="K291" ca="1">CONCATENATE(INDIRECT(ADDRESS(1,11,1,0,"KeySet"),0),":","""",valueMaker!K291,"""")</f>
        <v>kaninSyubetu:"普通"</v>
      </c>
      <c r="L291" t="str" cm="1">
        <f t="array" aca="1" ref="L291" ca="1">CONCATENATE(INDIRECT(ADDRESS(1,12,1,0,"KeySet"),0),":","""",valueMaker!L291,"""")</f>
        <v>kaninKengenWB:"-"</v>
      </c>
      <c r="M291" t="str" cm="1">
        <f t="array" aca="1" ref="M291" ca="1">CONCATENATE(INDIRECT(ADDRESS(1,13,1,0,"KeySet"),0),":","""",valueMaker!M291,"""")</f>
        <v>wakibiri:"-"</v>
      </c>
      <c r="N291" t="str" cm="1">
        <f t="array" aca="1" ref="N291" ca="1">CONCATENATE(INDIRECT(ADDRESS(1,14,1,0,"KeySet"),0),":","""",valueMaker!N291,"""")</f>
        <v>kaninKengenPoint:"-"</v>
      </c>
      <c r="O291" t="str" cm="1">
        <f t="array" aca="1" ref="O291" ca="1">CONCATENATE(INDIRECT(ADDRESS(1,15,1,0,"KeySet"),0),":","""",valueMaker!O291,"""")</f>
        <v>point:"-"</v>
      </c>
      <c r="P291" t="str" cm="1">
        <f t="array" aca="1" ref="P291" ca="1">CONCATENATE(INDIRECT(ADDRESS(1,16,1,0,"KeySet"),0),":","""",valueMaker!P291,"""")</f>
        <v>bikou:""</v>
      </c>
    </row>
    <row r="292" spans="1:16">
      <c r="A292" t="str" cm="1">
        <f t="array" aca="1" ref="A292" ca="1">CONCATENATE(INDIRECT(ADDRESS(1,1,1,0,"KeySet"),0),":","""",valueMaker!A292,"""")</f>
        <v>kainBangou:"TD10291"</v>
      </c>
      <c r="B292" t="str" cm="1">
        <f t="array" aca="1" ref="B292" ca="1">CONCATENATE(INDIRECT(ADDRESS(1,2,1,0,"KeySet"),0),":","""",valueMaker!B292,"""")</f>
        <v>kainMeiKanji:"梁德基"</v>
      </c>
      <c r="C292" t="str" cm="1">
        <f t="array" aca="1" ref="C292" ca="1">CONCATENATE(INDIRECT(ADDRESS(1,3,1,0,"KeySet"),0),":","""",valueMaker!C292,"""")</f>
        <v>kainMeiKana:"ﾘﾔｰﾝ ﾄﾞｰｧ ｼﾞｰ"</v>
      </c>
      <c r="D292" t="str" cm="1">
        <f t="array" aca="1" ref="D292" ca="1">CONCATENATE(INDIRECT(ADDRESS(1,4,1,0,"KeySet"),0),":","""",valueMaker!D292,"""")</f>
        <v>kainMeiEn:"Liang De Ji"</v>
      </c>
      <c r="E292" t="str" cm="1">
        <f t="array" aca="1" ref="E292" ca="1">CONCATENATE(INDIRECT(ADDRESS(1,5,1,0,"KeySet"),0),":","""",valueMaker!E292,"""")</f>
        <v>kainGender:"女性"</v>
      </c>
      <c r="F292" t="str" cm="1">
        <f t="array" aca="1" ref="F292" ca="1">CONCATENATE(INDIRECT(ADDRESS(1,6,1,0,"KeySet"),0),":","""",TEXT(valueMaker!F292,"yyyy/m/d"),"""")</f>
        <v>tanjyoubi:"1978/5/20"</v>
      </c>
      <c r="G292" t="str" cm="1">
        <f t="array" aca="1" ref="G292" ca="1">CONCATENATE(INDIRECT(ADDRESS(1,6,1,0,"KeySet"),0),":","""",TEXT(valueMaker!G292,"yyyy/m/d"),"""")</f>
        <v>tanjyoubi:"1999/11/6"</v>
      </c>
      <c r="H292" t="str" cm="1">
        <f t="array" aca="1" ref="H292" ca="1">CONCATENATE(INDIRECT(ADDRESS(1,6,1,0,"KeySet"),0),":","""",TEXT(valueMaker!H292,"yyyy/m/d"),"""")</f>
        <v>tanjyoubi:"2002/11/5"</v>
      </c>
      <c r="I292" t="str" cm="1">
        <f t="array" aca="1" ref="I292" ca="1">CONCATENATE(INDIRECT(ADDRESS(1,9,1,0,"KeySet"),0),":","""",valueMaker!I292,"""")</f>
        <v>denwaBangou:"090-9501-7882"</v>
      </c>
      <c r="J292" t="str" cm="1">
        <f t="array" aca="1" ref="J292" ca="1">CONCATENATE(INDIRECT(ADDRESS(1,10,1,0,"KeySet"),0),":","""",valueMaker!J292,"""")</f>
        <v>mailAddress:"Liang_De_Ji_36470@outlook.jp.co"</v>
      </c>
      <c r="K292" t="str" cm="1">
        <f t="array" aca="1" ref="K292" ca="1">CONCATENATE(INDIRECT(ADDRESS(1,11,1,0,"KeySet"),0),":","""",valueMaker!K292,"""")</f>
        <v>kaninSyubetu:"普通"</v>
      </c>
      <c r="L292" t="str" cm="1">
        <f t="array" aca="1" ref="L292" ca="1">CONCATENATE(INDIRECT(ADDRESS(1,12,1,0,"KeySet"),0),":","""",valueMaker!L292,"""")</f>
        <v>kaninKengenWB:"有り"</v>
      </c>
      <c r="M292" t="str" cm="1">
        <f t="array" aca="1" ref="M292" ca="1">CONCATENATE(INDIRECT(ADDRESS(1,13,1,0,"KeySet"),0),":","""",valueMaker!M292,"""")</f>
        <v>wakibiri:"5%"</v>
      </c>
      <c r="N292" t="str" cm="1">
        <f t="array" aca="1" ref="N292" ca="1">CONCATENATE(INDIRECT(ADDRESS(1,14,1,0,"KeySet"),0),":","""",valueMaker!N292,"""")</f>
        <v>kaninKengenPoint:"-"</v>
      </c>
      <c r="O292" t="str" cm="1">
        <f t="array" aca="1" ref="O292" ca="1">CONCATENATE(INDIRECT(ADDRESS(1,15,1,0,"KeySet"),0),":","""",valueMaker!O292,"""")</f>
        <v>point:"-"</v>
      </c>
      <c r="P292" t="str" cm="1">
        <f t="array" aca="1" ref="P292" ca="1">CONCATENATE(INDIRECT(ADDRESS(1,16,1,0,"KeySet"),0),":","""",valueMaker!P292,"""")</f>
        <v>bikou:""</v>
      </c>
    </row>
    <row r="293" spans="1:16">
      <c r="A293" t="str" cm="1">
        <f t="array" aca="1" ref="A293" ca="1">CONCATENATE(INDIRECT(ADDRESS(1,1,1,0,"KeySet"),0),":","""",valueMaker!A293,"""")</f>
        <v>kainBangou:"TD10292"</v>
      </c>
      <c r="B293" t="str" cm="1">
        <f t="array" aca="1" ref="B293" ca="1">CONCATENATE(INDIRECT(ADDRESS(1,2,1,0,"KeySet"),0),":","""",valueMaker!B293,"""")</f>
        <v>kainMeiKanji:"徐毅格"</v>
      </c>
      <c r="C293" t="str" cm="1">
        <f t="array" aca="1" ref="C293" ca="1">CONCATENATE(INDIRECT(ADDRESS(1,3,1,0,"KeySet"),0),":","""",valueMaker!C293,"""")</f>
        <v>kainMeiKana:"ｼｭｲ ｲｰ ｺﾞｰｧ"</v>
      </c>
      <c r="D293" t="str" cm="1">
        <f t="array" aca="1" ref="D293" ca="1">CONCATENATE(INDIRECT(ADDRESS(1,4,1,0,"KeySet"),0),":","""",valueMaker!D293,"""")</f>
        <v>kainMeiEn:"Xu Yi Ge"</v>
      </c>
      <c r="E293" t="str" cm="1">
        <f t="array" aca="1" ref="E293" ca="1">CONCATENATE(INDIRECT(ADDRESS(1,5,1,0,"KeySet"),0),":","""",valueMaker!E293,"""")</f>
        <v>kainGender:"男性"</v>
      </c>
      <c r="F293" t="str" cm="1">
        <f t="array" aca="1" ref="F293" ca="1">CONCATENATE(INDIRECT(ADDRESS(1,6,1,0,"KeySet"),0),":","""",TEXT(valueMaker!F293,"yyyy/m/d"),"""")</f>
        <v>tanjyoubi:"1977/10/9"</v>
      </c>
      <c r="G293" t="str" cm="1">
        <f t="array" aca="1" ref="G293" ca="1">CONCATENATE(INDIRECT(ADDRESS(1,6,1,0,"KeySet"),0),":","""",TEXT(valueMaker!G293,"yyyy/m/d"),"""")</f>
        <v>tanjyoubi:"2008/11/27"</v>
      </c>
      <c r="H293" t="str" cm="1">
        <f t="array" aca="1" ref="H293" ca="1">CONCATENATE(INDIRECT(ADDRESS(1,6,1,0,"KeySet"),0),":","""",TEXT(valueMaker!H293,"yyyy/m/d"),"""")</f>
        <v>tanjyoubi:"2010/11/27"</v>
      </c>
      <c r="I293" t="str" cm="1">
        <f t="array" aca="1" ref="I293" ca="1">CONCATENATE(INDIRECT(ADDRESS(1,9,1,0,"KeySet"),0),":","""",valueMaker!I293,"""")</f>
        <v>denwaBangou:"090-4185-1442"</v>
      </c>
      <c r="J293" t="str" cm="1">
        <f t="array" aca="1" ref="J293" ca="1">CONCATENATE(INDIRECT(ADDRESS(1,10,1,0,"KeySet"),0),":","""",valueMaker!J293,"""")</f>
        <v>mailAddress:"Xu_Yi_Ge_39779@outlook.jp.co"</v>
      </c>
      <c r="K293" t="str" cm="1">
        <f t="array" aca="1" ref="K293" ca="1">CONCATENATE(INDIRECT(ADDRESS(1,11,1,0,"KeySet"),0),":","""",valueMaker!K293,"""")</f>
        <v>kaninSyubetu:"普通"</v>
      </c>
      <c r="L293" t="str" cm="1">
        <f t="array" aca="1" ref="L293" ca="1">CONCATENATE(INDIRECT(ADDRESS(1,12,1,0,"KeySet"),0),":","""",valueMaker!L293,"""")</f>
        <v>kaninKengenWB:"-"</v>
      </c>
      <c r="M293" t="str" cm="1">
        <f t="array" aca="1" ref="M293" ca="1">CONCATENATE(INDIRECT(ADDRESS(1,13,1,0,"KeySet"),0),":","""",valueMaker!M293,"""")</f>
        <v>wakibiri:"-"</v>
      </c>
      <c r="N293" t="str" cm="1">
        <f t="array" aca="1" ref="N293" ca="1">CONCATENATE(INDIRECT(ADDRESS(1,14,1,0,"KeySet"),0),":","""",valueMaker!N293,"""")</f>
        <v>kaninKengenPoint:"有り"</v>
      </c>
      <c r="O293" t="str" cm="1">
        <f t="array" aca="1" ref="O293" ca="1">CONCATENATE(INDIRECT(ADDRESS(1,15,1,0,"KeySet"),0),":","""",valueMaker!O293,"""")</f>
        <v>point:"66"</v>
      </c>
      <c r="P293" t="str" cm="1">
        <f t="array" aca="1" ref="P293" ca="1">CONCATENATE(INDIRECT(ADDRESS(1,16,1,0,"KeySet"),0),":","""",valueMaker!P293,"""")</f>
        <v>bikou:""</v>
      </c>
    </row>
    <row r="294" spans="1:16">
      <c r="A294" t="str" cm="1">
        <f t="array" aca="1" ref="A294" ca="1">CONCATENATE(INDIRECT(ADDRESS(1,1,1,0,"KeySet"),0),":","""",valueMaker!A294,"""")</f>
        <v>kainBangou:"TD10293"</v>
      </c>
      <c r="B294" t="str" cm="1">
        <f t="array" aca="1" ref="B294" ca="1">CONCATENATE(INDIRECT(ADDRESS(1,2,1,0,"KeySet"),0),":","""",valueMaker!B294,"""")</f>
        <v>kainMeiKanji:"孫泓聽"</v>
      </c>
      <c r="C294" t="str" cm="1">
        <f t="array" aca="1" ref="C294" ca="1">CONCATENATE(INDIRECT(ADDRESS(1,3,1,0,"KeySet"),0),":","""",valueMaker!C294,"""")</f>
        <v>kainMeiKana:"ｽｩﾝ ﾎｰﾝ ﾃｨｰﾝ"</v>
      </c>
      <c r="D294" t="str" cm="1">
        <f t="array" aca="1" ref="D294" ca="1">CONCATENATE(INDIRECT(ADDRESS(1,4,1,0,"KeySet"),0),":","""",valueMaker!D294,"""")</f>
        <v>kainMeiEn:"Sun Hong Ting"</v>
      </c>
      <c r="E294" t="str" cm="1">
        <f t="array" aca="1" ref="E294" ca="1">CONCATENATE(INDIRECT(ADDRESS(1,5,1,0,"KeySet"),0),":","""",valueMaker!E294,"""")</f>
        <v>kainGender:"女性"</v>
      </c>
      <c r="F294" t="str" cm="1">
        <f t="array" aca="1" ref="F294" ca="1">CONCATENATE(INDIRECT(ADDRESS(1,6,1,0,"KeySet"),0),":","""",TEXT(valueMaker!F294,"yyyy/m/d"),"""")</f>
        <v>tanjyoubi:"1991/12/8"</v>
      </c>
      <c r="G294" t="str" cm="1">
        <f t="array" aca="1" ref="G294" ca="1">CONCATENATE(INDIRECT(ADDRESS(1,6,1,0,"KeySet"),0),":","""",TEXT(valueMaker!G294,"yyyy/m/d"),"""")</f>
        <v>tanjyoubi:"2022/12/24"</v>
      </c>
      <c r="H294" t="str" cm="1">
        <f t="array" aca="1" ref="H294" ca="1">CONCATENATE(INDIRECT(ADDRESS(1,6,1,0,"KeySet"),0),":","""",TEXT(valueMaker!H294,"yyyy/m/d"),"""")</f>
        <v>tanjyoubi:"2023/12/24"</v>
      </c>
      <c r="I294" t="str" cm="1">
        <f t="array" aca="1" ref="I294" ca="1">CONCATENATE(INDIRECT(ADDRESS(1,9,1,0,"KeySet"),0),":","""",valueMaker!I294,"""")</f>
        <v>denwaBangou:"090-3020-3873"</v>
      </c>
      <c r="J294" t="str" cm="1">
        <f t="array" aca="1" ref="J294" ca="1">CONCATENATE(INDIRECT(ADDRESS(1,10,1,0,"KeySet"),0),":","""",valueMaker!J294,"""")</f>
        <v>mailAddress:"Sun_Hong_Ting_44919@outlook.jp.co"</v>
      </c>
      <c r="K294" t="str" cm="1">
        <f t="array" aca="1" ref="K294" ca="1">CONCATENATE(INDIRECT(ADDRESS(1,11,1,0,"KeySet"),0),":","""",valueMaker!K294,"""")</f>
        <v>kaninSyubetu:"高級"</v>
      </c>
      <c r="L294" t="str" cm="1">
        <f t="array" aca="1" ref="L294" ca="1">CONCATENATE(INDIRECT(ADDRESS(1,12,1,0,"KeySet"),0),":","""",valueMaker!L294,"""")</f>
        <v>kaninKengenWB:"有り"</v>
      </c>
      <c r="M294" t="str" cm="1">
        <f t="array" aca="1" ref="M294" ca="1">CONCATENATE(INDIRECT(ADDRESS(1,13,1,0,"KeySet"),0),":","""",valueMaker!M294,"""")</f>
        <v>wakibiri:"10%"</v>
      </c>
      <c r="N294" t="str" cm="1">
        <f t="array" aca="1" ref="N294" ca="1">CONCATENATE(INDIRECT(ADDRESS(1,14,1,0,"KeySet"),0),":","""",valueMaker!N294,"""")</f>
        <v>kaninKengenPoint:"有り"</v>
      </c>
      <c r="O294" t="str" cm="1">
        <f t="array" aca="1" ref="O294" ca="1">CONCATENATE(INDIRECT(ADDRESS(1,15,1,0,"KeySet"),0),":","""",valueMaker!O294,"""")</f>
        <v>point:"995"</v>
      </c>
      <c r="P294" t="str" cm="1">
        <f t="array" aca="1" ref="P294" ca="1">CONCATENATE(INDIRECT(ADDRESS(1,16,1,0,"KeySet"),0),":","""",valueMaker!P294,"""")</f>
        <v>bikou:""</v>
      </c>
    </row>
    <row r="295" spans="1:16">
      <c r="A295" t="str" cm="1">
        <f t="array" aca="1" ref="A295" ca="1">CONCATENATE(INDIRECT(ADDRESS(1,1,1,0,"KeySet"),0),":","""",valueMaker!A295,"""")</f>
        <v>kainBangou:"TD10294"</v>
      </c>
      <c r="B295" t="str" cm="1">
        <f t="array" aca="1" ref="B295" ca="1">CONCATENATE(INDIRECT(ADDRESS(1,2,1,0,"KeySet"),0),":","""",valueMaker!B295,"""")</f>
        <v>kainMeiKanji:"朱品夢"</v>
      </c>
      <c r="C295" t="str" cm="1">
        <f t="array" aca="1" ref="C295" ca="1">CONCATENATE(INDIRECT(ADDRESS(1,3,1,0,"KeySet"),0),":","""",valueMaker!C295,"""")</f>
        <v>kainMeiKana:"ｼﾞｭｳ ﾋﾟﾝ ﾑｵﾝ"</v>
      </c>
      <c r="D295" t="str" cm="1">
        <f t="array" aca="1" ref="D295" ca="1">CONCATENATE(INDIRECT(ADDRESS(1,4,1,0,"KeySet"),0),":","""",valueMaker!D295,"""")</f>
        <v>kainMeiEn:"Zhu Pin Meng"</v>
      </c>
      <c r="E295" t="str" cm="1">
        <f t="array" aca="1" ref="E295" ca="1">CONCATENATE(INDIRECT(ADDRESS(1,5,1,0,"KeySet"),0),":","""",valueMaker!E295,"""")</f>
        <v>kainGender:"女性"</v>
      </c>
      <c r="F295" t="str" cm="1">
        <f t="array" aca="1" ref="F295" ca="1">CONCATENATE(INDIRECT(ADDRESS(1,6,1,0,"KeySet"),0),":","""",TEXT(valueMaker!F295,"yyyy/m/d"),"""")</f>
        <v>tanjyoubi:"2003/11/5"</v>
      </c>
      <c r="G295" t="str" cm="1">
        <f t="array" aca="1" ref="G295" ca="1">CONCATENATE(INDIRECT(ADDRESS(1,6,1,0,"KeySet"),0),":","""",TEXT(valueMaker!G295,"yyyy/m/d"),"""")</f>
        <v>tanjyoubi:"2024/3/13"</v>
      </c>
      <c r="H295" t="str" cm="1">
        <f t="array" aca="1" ref="H295" ca="1">CONCATENATE(INDIRECT(ADDRESS(1,6,1,0,"KeySet"),0),":","""",TEXT(valueMaker!H295,"yyyy/m/d"),"""")</f>
        <v>tanjyoubi:"2025/3/13"</v>
      </c>
      <c r="I295" t="str" cm="1">
        <f t="array" aca="1" ref="I295" ca="1">CONCATENATE(INDIRECT(ADDRESS(1,9,1,0,"KeySet"),0),":","""",valueMaker!I295,"""")</f>
        <v>denwaBangou:"090-4101-5337"</v>
      </c>
      <c r="J295" t="str" cm="1">
        <f t="array" aca="1" ref="J295" ca="1">CONCATENATE(INDIRECT(ADDRESS(1,10,1,0,"KeySet"),0),":","""",valueMaker!J295,"""")</f>
        <v>mailAddress:"Zhu_Pin_Meng_45364@outlook.jp.co"</v>
      </c>
      <c r="K295" t="str" cm="1">
        <f t="array" aca="1" ref="K295" ca="1">CONCATENATE(INDIRECT(ADDRESS(1,11,1,0,"KeySet"),0),":","""",valueMaker!K295,"""")</f>
        <v>kaninSyubetu:"普通"</v>
      </c>
      <c r="L295" t="str" cm="1">
        <f t="array" aca="1" ref="L295" ca="1">CONCATENATE(INDIRECT(ADDRESS(1,12,1,0,"KeySet"),0),":","""",valueMaker!L295,"""")</f>
        <v>kaninKengenWB:"-"</v>
      </c>
      <c r="M295" t="str" cm="1">
        <f t="array" aca="1" ref="M295" ca="1">CONCATENATE(INDIRECT(ADDRESS(1,13,1,0,"KeySet"),0),":","""",valueMaker!M295,"""")</f>
        <v>wakibiri:"-"</v>
      </c>
      <c r="N295" t="str" cm="1">
        <f t="array" aca="1" ref="N295" ca="1">CONCATENATE(INDIRECT(ADDRESS(1,14,1,0,"KeySet"),0),":","""",valueMaker!N295,"""")</f>
        <v>kaninKengenPoint:"有り"</v>
      </c>
      <c r="O295" t="str" cm="1">
        <f t="array" aca="1" ref="O295" ca="1">CONCATENATE(INDIRECT(ADDRESS(1,15,1,0,"KeySet"),0),":","""",valueMaker!O295,"""")</f>
        <v>point:"964"</v>
      </c>
      <c r="P295" t="str" cm="1">
        <f t="array" aca="1" ref="P295" ca="1">CONCATENATE(INDIRECT(ADDRESS(1,16,1,0,"KeySet"),0),":","""",valueMaker!P295,"""")</f>
        <v>bikou:""</v>
      </c>
    </row>
    <row r="296" spans="1:16">
      <c r="A296" t="str" cm="1">
        <f t="array" aca="1" ref="A296" ca="1">CONCATENATE(INDIRECT(ADDRESS(1,1,1,0,"KeySet"),0),":","""",valueMaker!A296,"""")</f>
        <v>kainBangou:"TD10295"</v>
      </c>
      <c r="B296" t="str" cm="1">
        <f t="array" aca="1" ref="B296" ca="1">CONCATENATE(INDIRECT(ADDRESS(1,2,1,0,"KeySet"),0),":","""",valueMaker!B296,"""")</f>
        <v>kainMeiKanji:"王樂萊"</v>
      </c>
      <c r="C296" t="str" cm="1">
        <f t="array" aca="1" ref="C296" ca="1">CONCATENATE(INDIRECT(ADDRESS(1,3,1,0,"KeySet"),0),":","""",valueMaker!C296,"""")</f>
        <v>kainMeiKana:"ﾜｰﾝ ﾛｰｧ ﾗｲ"</v>
      </c>
      <c r="D296" t="str" cm="1">
        <f t="array" aca="1" ref="D296" ca="1">CONCATENATE(INDIRECT(ADDRESS(1,4,1,0,"KeySet"),0),":","""",valueMaker!D296,"""")</f>
        <v>kainMeiEn:"Wang Le Lai"</v>
      </c>
      <c r="E296" t="str" cm="1">
        <f t="array" aca="1" ref="E296" ca="1">CONCATENATE(INDIRECT(ADDRESS(1,5,1,0,"KeySet"),0),":","""",valueMaker!E296,"""")</f>
        <v>kainGender:"男性"</v>
      </c>
      <c r="F296" t="str" cm="1">
        <f t="array" aca="1" ref="F296" ca="1">CONCATENATE(INDIRECT(ADDRESS(1,6,1,0,"KeySet"),0),":","""",TEXT(valueMaker!F296,"yyyy/m/d"),"""")</f>
        <v>tanjyoubi:"2001/3/25"</v>
      </c>
      <c r="G296" t="str" cm="1">
        <f t="array" aca="1" ref="G296" ca="1">CONCATENATE(INDIRECT(ADDRESS(1,6,1,0,"KeySet"),0),":","""",TEXT(valueMaker!G296,"yyyy/m/d"),"""")</f>
        <v>tanjyoubi:"2023/4/16"</v>
      </c>
      <c r="H296" t="str" cm="1">
        <f t="array" aca="1" ref="H296" ca="1">CONCATENATE(INDIRECT(ADDRESS(1,6,1,0,"KeySet"),0),":","""",TEXT(valueMaker!H296,"yyyy/m/d"),"""")</f>
        <v>tanjyoubi:"2025/4/15"</v>
      </c>
      <c r="I296" t="str" cm="1">
        <f t="array" aca="1" ref="I296" ca="1">CONCATENATE(INDIRECT(ADDRESS(1,9,1,0,"KeySet"),0),":","""",valueMaker!I296,"""")</f>
        <v>denwaBangou:"090-3596-5586"</v>
      </c>
      <c r="J296" t="str" cm="1">
        <f t="array" aca="1" ref="J296" ca="1">CONCATENATE(INDIRECT(ADDRESS(1,10,1,0,"KeySet"),0),":","""",valueMaker!J296,"""")</f>
        <v>mailAddress:"Wang_Le Lai_45032@outlook.jp.co"</v>
      </c>
      <c r="K296" t="str" cm="1">
        <f t="array" aca="1" ref="K296" ca="1">CONCATENATE(INDIRECT(ADDRESS(1,11,1,0,"KeySet"),0),":","""",valueMaker!K296,"""")</f>
        <v>kaninSyubetu:"普通"</v>
      </c>
      <c r="L296" t="str" cm="1">
        <f t="array" aca="1" ref="L296" ca="1">CONCATENATE(INDIRECT(ADDRESS(1,12,1,0,"KeySet"),0),":","""",valueMaker!L296,"""")</f>
        <v>kaninKengenWB:"-"</v>
      </c>
      <c r="M296" t="str" cm="1">
        <f t="array" aca="1" ref="M296" ca="1">CONCATENATE(INDIRECT(ADDRESS(1,13,1,0,"KeySet"),0),":","""",valueMaker!M296,"""")</f>
        <v>wakibiri:"-"</v>
      </c>
      <c r="N296" t="str" cm="1">
        <f t="array" aca="1" ref="N296" ca="1">CONCATENATE(INDIRECT(ADDRESS(1,14,1,0,"KeySet"),0),":","""",valueMaker!N296,"""")</f>
        <v>kaninKengenPoint:"有り"</v>
      </c>
      <c r="O296" t="str" cm="1">
        <f t="array" aca="1" ref="O296" ca="1">CONCATENATE(INDIRECT(ADDRESS(1,15,1,0,"KeySet"),0),":","""",valueMaker!O296,"""")</f>
        <v>point:"855"</v>
      </c>
      <c r="P296" t="str" cm="1">
        <f t="array" aca="1" ref="P296" ca="1">CONCATENATE(INDIRECT(ADDRESS(1,16,1,0,"KeySet"),0),":","""",valueMaker!P296,"""")</f>
        <v>bikou:""</v>
      </c>
    </row>
    <row r="297" spans="1:16">
      <c r="A297" t="str" cm="1">
        <f t="array" aca="1" ref="A297" ca="1">CONCATENATE(INDIRECT(ADDRESS(1,1,1,0,"KeySet"),0),":","""",valueMaker!A297,"""")</f>
        <v>kainBangou:"TD10296"</v>
      </c>
      <c r="B297" t="str" cm="1">
        <f t="array" aca="1" ref="B297" ca="1">CONCATENATE(INDIRECT(ADDRESS(1,2,1,0,"KeySet"),0),":","""",valueMaker!B297,"""")</f>
        <v>kainMeiKanji:"朱悅協"</v>
      </c>
      <c r="C297" t="str" cm="1">
        <f t="array" aca="1" ref="C297" ca="1">CONCATENATE(INDIRECT(ADDRESS(1,3,1,0,"KeySet"),0),":","""",valueMaker!C297,"""")</f>
        <v>kainMeiKana:"ｼﾞｭｳ ﾕｴ ｼｴ"</v>
      </c>
      <c r="D297" t="str" cm="1">
        <f t="array" aca="1" ref="D297" ca="1">CONCATENATE(INDIRECT(ADDRESS(1,4,1,0,"KeySet"),0),":","""",valueMaker!D297,"""")</f>
        <v>kainMeiEn:"Zhu Yue Xie"</v>
      </c>
      <c r="E297" t="str" cm="1">
        <f t="array" aca="1" ref="E297" ca="1">CONCATENATE(INDIRECT(ADDRESS(1,5,1,0,"KeySet"),0),":","""",valueMaker!E297,"""")</f>
        <v>kainGender:"男性"</v>
      </c>
      <c r="F297" t="str" cm="1">
        <f t="array" aca="1" ref="F297" ca="1">CONCATENATE(INDIRECT(ADDRESS(1,6,1,0,"KeySet"),0),":","""",TEXT(valueMaker!F297,"yyyy/m/d"),"""")</f>
        <v>tanjyoubi:"1970/9/25"</v>
      </c>
      <c r="G297" t="str" cm="1">
        <f t="array" aca="1" ref="G297" ca="1">CONCATENATE(INDIRECT(ADDRESS(1,6,1,0,"KeySet"),0),":","""",TEXT(valueMaker!G297,"yyyy/m/d"),"""")</f>
        <v>tanjyoubi:"2002/4/19"</v>
      </c>
      <c r="H297" t="str" cm="1">
        <f t="array" aca="1" ref="H297" ca="1">CONCATENATE(INDIRECT(ADDRESS(1,6,1,0,"KeySet"),0),":","""",TEXT(valueMaker!H297,"yyyy/m/d"),"""")</f>
        <v>tanjyoubi:"2004/4/18"</v>
      </c>
      <c r="I297" t="str" cm="1">
        <f t="array" aca="1" ref="I297" ca="1">CONCATENATE(INDIRECT(ADDRESS(1,9,1,0,"KeySet"),0),":","""",valueMaker!I297,"""")</f>
        <v>denwaBangou:"090-6500-9255"</v>
      </c>
      <c r="J297" t="str" cm="1">
        <f t="array" aca="1" ref="J297" ca="1">CONCATENATE(INDIRECT(ADDRESS(1,10,1,0,"KeySet"),0),":","""",valueMaker!J297,"""")</f>
        <v>mailAddress:"Zhu_Yue_Xie_37365@outlook.jp.co"</v>
      </c>
      <c r="K297" t="str" cm="1">
        <f t="array" aca="1" ref="K297" ca="1">CONCATENATE(INDIRECT(ADDRESS(1,11,1,0,"KeySet"),0),":","""",valueMaker!K297,"""")</f>
        <v>kaninSyubetu:"普通"</v>
      </c>
      <c r="L297" t="str" cm="1">
        <f t="array" aca="1" ref="L297" ca="1">CONCATENATE(INDIRECT(ADDRESS(1,12,1,0,"KeySet"),0),":","""",valueMaker!L297,"""")</f>
        <v>kaninKengenWB:"有り"</v>
      </c>
      <c r="M297" t="str" cm="1">
        <f t="array" aca="1" ref="M297" ca="1">CONCATENATE(INDIRECT(ADDRESS(1,13,1,0,"KeySet"),0),":","""",valueMaker!M297,"""")</f>
        <v>wakibiri:"5%"</v>
      </c>
      <c r="N297" t="str" cm="1">
        <f t="array" aca="1" ref="N297" ca="1">CONCATENATE(INDIRECT(ADDRESS(1,14,1,0,"KeySet"),0),":","""",valueMaker!N297,"""")</f>
        <v>kaninKengenPoint:"有り"</v>
      </c>
      <c r="O297" t="str" cm="1">
        <f t="array" aca="1" ref="O297" ca="1">CONCATENATE(INDIRECT(ADDRESS(1,15,1,0,"KeySet"),0),":","""",valueMaker!O297,"""")</f>
        <v>point:"571"</v>
      </c>
      <c r="P297" t="str" cm="1">
        <f t="array" aca="1" ref="P297" ca="1">CONCATENATE(INDIRECT(ADDRESS(1,16,1,0,"KeySet"),0),":","""",valueMaker!P297,"""")</f>
        <v>bikou:""</v>
      </c>
    </row>
    <row r="298" spans="1:16">
      <c r="A298" t="str" cm="1">
        <f t="array" aca="1" ref="A298" ca="1">CONCATENATE(INDIRECT(ADDRESS(1,1,1,0,"KeySet"),0),":","""",valueMaker!A298,"""")</f>
        <v>kainBangou:"TD10297"</v>
      </c>
      <c r="B298" t="str" cm="1">
        <f t="array" aca="1" ref="B298" ca="1">CONCATENATE(INDIRECT(ADDRESS(1,2,1,0,"KeySet"),0),":","""",valueMaker!B298,"""")</f>
        <v>kainMeiKanji:"趙忠博"</v>
      </c>
      <c r="C298" t="str" cm="1">
        <f t="array" aca="1" ref="C298" ca="1">CONCATENATE(INDIRECT(ADDRESS(1,3,1,0,"KeySet"),0),":","""",valueMaker!C298,"""")</f>
        <v>kainMeiKana:"ｼﾞｬｵ ｼﾞｮｰﾝ ﾎﾞｰ"</v>
      </c>
      <c r="D298" t="str" cm="1">
        <f t="array" aca="1" ref="D298" ca="1">CONCATENATE(INDIRECT(ADDRESS(1,4,1,0,"KeySet"),0),":","""",valueMaker!D298,"""")</f>
        <v>kainMeiEn:"Zhao Zhong Bo"</v>
      </c>
      <c r="E298" t="str" cm="1">
        <f t="array" aca="1" ref="E298" ca="1">CONCATENATE(INDIRECT(ADDRESS(1,5,1,0,"KeySet"),0),":","""",valueMaker!E298,"""")</f>
        <v>kainGender:"女性"</v>
      </c>
      <c r="F298" t="str" cm="1">
        <f t="array" aca="1" ref="F298" ca="1">CONCATENATE(INDIRECT(ADDRESS(1,6,1,0,"KeySet"),0),":","""",TEXT(valueMaker!F298,"yyyy/m/d"),"""")</f>
        <v>tanjyoubi:"1983/10/11"</v>
      </c>
      <c r="G298" t="str" cm="1">
        <f t="array" aca="1" ref="G298" ca="1">CONCATENATE(INDIRECT(ADDRESS(1,6,1,0,"KeySet"),0),":","""",TEXT(valueMaker!G298,"yyyy/m/d"),"""")</f>
        <v>tanjyoubi:"2020/11/13"</v>
      </c>
      <c r="H298" t="str" cm="1">
        <f t="array" aca="1" ref="H298" ca="1">CONCATENATE(INDIRECT(ADDRESS(1,6,1,0,"KeySet"),0),":","""",TEXT(valueMaker!H298,"yyyy/m/d"),"""")</f>
        <v>tanjyoubi:"2023/11/13"</v>
      </c>
      <c r="I298" t="str" cm="1">
        <f t="array" aca="1" ref="I298" ca="1">CONCATENATE(INDIRECT(ADDRESS(1,9,1,0,"KeySet"),0),":","""",valueMaker!I298,"""")</f>
        <v>denwaBangou:"090-1287-4113"</v>
      </c>
      <c r="J298" t="str" cm="1">
        <f t="array" aca="1" ref="J298" ca="1">CONCATENATE(INDIRECT(ADDRESS(1,10,1,0,"KeySet"),0),":","""",valueMaker!J298,"""")</f>
        <v>mailAddress:"Zhao_Zhong_Bo_44148@outlook.jp.co"</v>
      </c>
      <c r="K298" t="str" cm="1">
        <f t="array" aca="1" ref="K298" ca="1">CONCATENATE(INDIRECT(ADDRESS(1,11,1,0,"KeySet"),0),":","""",valueMaker!K298,"""")</f>
        <v>kaninSyubetu:"高級"</v>
      </c>
      <c r="L298" t="str" cm="1">
        <f t="array" aca="1" ref="L298" ca="1">CONCATENATE(INDIRECT(ADDRESS(1,12,1,0,"KeySet"),0),":","""",valueMaker!L298,"""")</f>
        <v>kaninKengenWB:"-"</v>
      </c>
      <c r="M298" t="str" cm="1">
        <f t="array" aca="1" ref="M298" ca="1">CONCATENATE(INDIRECT(ADDRESS(1,13,1,0,"KeySet"),0),":","""",valueMaker!M298,"""")</f>
        <v>wakibiri:"-"</v>
      </c>
      <c r="N298" t="str" cm="1">
        <f t="array" aca="1" ref="N298" ca="1">CONCATENATE(INDIRECT(ADDRESS(1,14,1,0,"KeySet"),0),":","""",valueMaker!N298,"""")</f>
        <v>kaninKengenPoint:"有り"</v>
      </c>
      <c r="O298" t="str" cm="1">
        <f t="array" aca="1" ref="O298" ca="1">CONCATENATE(INDIRECT(ADDRESS(1,15,1,0,"KeySet"),0),":","""",valueMaker!O298,"""")</f>
        <v>point:"450"</v>
      </c>
      <c r="P298" t="str" cm="1">
        <f t="array" aca="1" ref="P298" ca="1">CONCATENATE(INDIRECT(ADDRESS(1,16,1,0,"KeySet"),0),":","""",valueMaker!P298,"""")</f>
        <v>bikou:""</v>
      </c>
    </row>
    <row r="299" spans="1:16">
      <c r="A299" t="str" cm="1">
        <f t="array" aca="1" ref="A299" ca="1">CONCATENATE(INDIRECT(ADDRESS(1,1,1,0,"KeySet"),0),":","""",valueMaker!A299,"""")</f>
        <v>kainBangou:"TD10298"</v>
      </c>
      <c r="B299" t="str" cm="1">
        <f t="array" aca="1" ref="B299" ca="1">CONCATENATE(INDIRECT(ADDRESS(1,2,1,0,"KeySet"),0),":","""",valueMaker!B299,"""")</f>
        <v>kainMeiKanji:"黃吉可"</v>
      </c>
      <c r="C299" t="str" cm="1">
        <f t="array" aca="1" ref="C299" ca="1">CONCATENATE(INDIRECT(ADDRESS(1,3,1,0,"KeySet"),0),":","""",valueMaker!C299,"""")</f>
        <v>kainMeiKana:"ﾎﾜｰﾝ ｼﾞｰ ｺｰｧ"</v>
      </c>
      <c r="D299" t="str" cm="1">
        <f t="array" aca="1" ref="D299" ca="1">CONCATENATE(INDIRECT(ADDRESS(1,4,1,0,"KeySet"),0),":","""",valueMaker!D299,"""")</f>
        <v>kainMeiEn:"Huang Ji Ke"</v>
      </c>
      <c r="E299" t="str" cm="1">
        <f t="array" aca="1" ref="E299" ca="1">CONCATENATE(INDIRECT(ADDRESS(1,5,1,0,"KeySet"),0),":","""",valueMaker!E299,"""")</f>
        <v>kainGender:"-"</v>
      </c>
      <c r="F299" t="str" cm="1">
        <f t="array" aca="1" ref="F299" ca="1">CONCATENATE(INDIRECT(ADDRESS(1,6,1,0,"KeySet"),0),":","""",TEXT(valueMaker!F299,"yyyy/m/d"),"""")</f>
        <v>tanjyoubi:"1961/9/26"</v>
      </c>
      <c r="G299" t="str" cm="1">
        <f t="array" aca="1" ref="G299" ca="1">CONCATENATE(INDIRECT(ADDRESS(1,6,1,0,"KeySet"),0),":","""",TEXT(valueMaker!G299,"yyyy/m/d"),"""")</f>
        <v>tanjyoubi:"2010/12/29"</v>
      </c>
      <c r="H299" t="str" cm="1">
        <f t="array" aca="1" ref="H299" ca="1">CONCATENATE(INDIRECT(ADDRESS(1,6,1,0,"KeySet"),0),":","""",TEXT(valueMaker!H299,"yyyy/m/d"),"""")</f>
        <v>tanjyoubi:"2013/12/28"</v>
      </c>
      <c r="I299" t="str" cm="1">
        <f t="array" aca="1" ref="I299" ca="1">CONCATENATE(INDIRECT(ADDRESS(1,9,1,0,"KeySet"),0),":","""",valueMaker!I299,"""")</f>
        <v>denwaBangou:"090-5064-3872"</v>
      </c>
      <c r="J299" t="str" cm="1">
        <f t="array" aca="1" ref="J299" ca="1">CONCATENATE(INDIRECT(ADDRESS(1,10,1,0,"KeySet"),0),":","""",valueMaker!J299,"""")</f>
        <v>mailAddress:"Huang_Ji_Ke_40541@outlook.jp.co"</v>
      </c>
      <c r="K299" t="str" cm="1">
        <f t="array" aca="1" ref="K299" ca="1">CONCATENATE(INDIRECT(ADDRESS(1,11,1,0,"KeySet"),0),":","""",valueMaker!K299,"""")</f>
        <v>kaninSyubetu:"高級"</v>
      </c>
      <c r="L299" t="str" cm="1">
        <f t="array" aca="1" ref="L299" ca="1">CONCATENATE(INDIRECT(ADDRESS(1,12,1,0,"KeySet"),0),":","""",valueMaker!L299,"""")</f>
        <v>kaninKengenWB:"有り"</v>
      </c>
      <c r="M299" t="str" cm="1">
        <f t="array" aca="1" ref="M299" ca="1">CONCATENATE(INDIRECT(ADDRESS(1,13,1,0,"KeySet"),0),":","""",valueMaker!M299,"""")</f>
        <v>wakibiri:"10%"</v>
      </c>
      <c r="N299" t="str" cm="1">
        <f t="array" aca="1" ref="N299" ca="1">CONCATENATE(INDIRECT(ADDRESS(1,14,1,0,"KeySet"),0),":","""",valueMaker!N299,"""")</f>
        <v>kaninKengenPoint:"有り"</v>
      </c>
      <c r="O299" t="str" cm="1">
        <f t="array" aca="1" ref="O299" ca="1">CONCATENATE(INDIRECT(ADDRESS(1,15,1,0,"KeySet"),0),":","""",valueMaker!O299,"""")</f>
        <v>point:"259"</v>
      </c>
      <c r="P299" t="str" cm="1">
        <f t="array" aca="1" ref="P299" ca="1">CONCATENATE(INDIRECT(ADDRESS(1,16,1,0,"KeySet"),0),":","""",valueMaker!P299,"""")</f>
        <v>bikou:""</v>
      </c>
    </row>
    <row r="300" spans="1:16">
      <c r="A300" t="str" cm="1">
        <f t="array" aca="1" ref="A300" ca="1">CONCATENATE(INDIRECT(ADDRESS(1,1,1,0,"KeySet"),0),":","""",valueMaker!A300,"""")</f>
        <v>kainBangou:"TD10299"</v>
      </c>
      <c r="B300" t="str" cm="1">
        <f t="array" aca="1" ref="B300" ca="1">CONCATENATE(INDIRECT(ADDRESS(1,2,1,0,"KeySet"),0),":","""",valueMaker!B300,"""")</f>
        <v>kainMeiKanji:"徐含瑋"</v>
      </c>
      <c r="C300" t="str" cm="1">
        <f t="array" aca="1" ref="C300" ca="1">CONCATENATE(INDIRECT(ADDRESS(1,3,1,0,"KeySet"),0),":","""",valueMaker!C300,"""")</f>
        <v>kainMeiKana:"ｼｭｲ ﾊﾝ ｳｴｲ"</v>
      </c>
      <c r="D300" t="str" cm="1">
        <f t="array" aca="1" ref="D300" ca="1">CONCATENATE(INDIRECT(ADDRESS(1,4,1,0,"KeySet"),0),":","""",valueMaker!D300,"""")</f>
        <v>kainMeiEn:"Xu Han Wei"</v>
      </c>
      <c r="E300" t="str" cm="1">
        <f t="array" aca="1" ref="E300" ca="1">CONCATENATE(INDIRECT(ADDRESS(1,5,1,0,"KeySet"),0),":","""",valueMaker!E300,"""")</f>
        <v>kainGender:"女性"</v>
      </c>
      <c r="F300" t="str" cm="1">
        <f t="array" aca="1" ref="F300" ca="1">CONCATENATE(INDIRECT(ADDRESS(1,6,1,0,"KeySet"),0),":","""",TEXT(valueMaker!F300,"yyyy/m/d"),"""")</f>
        <v>tanjyoubi:"1977/11/8"</v>
      </c>
      <c r="G300" t="str" cm="1">
        <f t="array" aca="1" ref="G300" ca="1">CONCATENATE(INDIRECT(ADDRESS(1,6,1,0,"KeySet"),0),":","""",TEXT(valueMaker!G300,"yyyy/m/d"),"""")</f>
        <v>tanjyoubi:"2018/1/26"</v>
      </c>
      <c r="H300" t="str" cm="1">
        <f t="array" aca="1" ref="H300" ca="1">CONCATENATE(INDIRECT(ADDRESS(1,6,1,0,"KeySet"),0),":","""",TEXT(valueMaker!H300,"yyyy/m/d"),"""")</f>
        <v>tanjyoubi:"2021/1/25"</v>
      </c>
      <c r="I300" t="str" cm="1">
        <f t="array" aca="1" ref="I300" ca="1">CONCATENATE(INDIRECT(ADDRESS(1,9,1,0,"KeySet"),0),":","""",valueMaker!I300,"""")</f>
        <v>denwaBangou:"090-8983-9286"</v>
      </c>
      <c r="J300" t="str" cm="1">
        <f t="array" aca="1" ref="J300" ca="1">CONCATENATE(INDIRECT(ADDRESS(1,10,1,0,"KeySet"),0),":","""",valueMaker!J300,"""")</f>
        <v>mailAddress:"Xu_Han_Wei_43126@outlook.jp.co"</v>
      </c>
      <c r="K300" t="str" cm="1">
        <f t="array" aca="1" ref="K300" ca="1">CONCATENATE(INDIRECT(ADDRESS(1,11,1,0,"KeySet"),0),":","""",valueMaker!K300,"""")</f>
        <v>kaninSyubetu:"普通"</v>
      </c>
      <c r="L300" t="str" cm="1">
        <f t="array" aca="1" ref="L300" ca="1">CONCATENATE(INDIRECT(ADDRESS(1,12,1,0,"KeySet"),0),":","""",valueMaker!L300,"""")</f>
        <v>kaninKengenWB:"有り"</v>
      </c>
      <c r="M300" t="str" cm="1">
        <f t="array" aca="1" ref="M300" ca="1">CONCATENATE(INDIRECT(ADDRESS(1,13,1,0,"KeySet"),0),":","""",valueMaker!M300,"""")</f>
        <v>wakibiri:"5%"</v>
      </c>
      <c r="N300" t="str" cm="1">
        <f t="array" aca="1" ref="N300" ca="1">CONCATENATE(INDIRECT(ADDRESS(1,14,1,0,"KeySet"),0),":","""",valueMaker!N300,"""")</f>
        <v>kaninKengenPoint:"有り"</v>
      </c>
      <c r="O300" t="str" cm="1">
        <f t="array" aca="1" ref="O300" ca="1">CONCATENATE(INDIRECT(ADDRESS(1,15,1,0,"KeySet"),0),":","""",valueMaker!O300,"""")</f>
        <v>point:"524"</v>
      </c>
      <c r="P300" t="str" cm="1">
        <f t="array" aca="1" ref="P300" ca="1">CONCATENATE(INDIRECT(ADDRESS(1,16,1,0,"KeySet"),0),":","""",valueMaker!P300,"""")</f>
        <v>bikou:""</v>
      </c>
    </row>
    <row r="301" spans="1:16">
      <c r="A301" t="str" cm="1">
        <f t="array" aca="1" ref="A301" ca="1">CONCATENATE(INDIRECT(ADDRESS(1,1,1,0,"KeySet"),0),":","""",valueMaker!A301,"""")</f>
        <v>kainBangou:"TD10300"</v>
      </c>
      <c r="B301" t="str" cm="1">
        <f t="array" aca="1" ref="B301" ca="1">CONCATENATE(INDIRECT(ADDRESS(1,2,1,0,"KeySet"),0),":","""",valueMaker!B301,"""")</f>
        <v>kainMeiKanji:"王滋帆"</v>
      </c>
      <c r="C301" t="str" cm="1">
        <f t="array" aca="1" ref="C301" ca="1">CONCATENATE(INDIRECT(ADDRESS(1,3,1,0,"KeySet"),0),":","""",valueMaker!C301,"""")</f>
        <v>kainMeiKana:"ﾜｰﾝ ｽﾞｰ ﾌｧﾝ"</v>
      </c>
      <c r="D301" t="str" cm="1">
        <f t="array" aca="1" ref="D301" ca="1">CONCATENATE(INDIRECT(ADDRESS(1,4,1,0,"KeySet"),0),":","""",valueMaker!D301,"""")</f>
        <v>kainMeiEn:"Wang Zi Fan"</v>
      </c>
      <c r="E301" t="str" cm="1">
        <f t="array" aca="1" ref="E301" ca="1">CONCATENATE(INDIRECT(ADDRESS(1,5,1,0,"KeySet"),0),":","""",valueMaker!E301,"""")</f>
        <v>kainGender:"男性"</v>
      </c>
      <c r="F301" t="str" cm="1">
        <f t="array" aca="1" ref="F301" ca="1">CONCATENATE(INDIRECT(ADDRESS(1,6,1,0,"KeySet"),0),":","""",TEXT(valueMaker!F301,"yyyy/m/d"),"""")</f>
        <v>tanjyoubi:"1963/8/9"</v>
      </c>
      <c r="G301" t="str" cm="1">
        <f t="array" aca="1" ref="G301" ca="1">CONCATENATE(INDIRECT(ADDRESS(1,6,1,0,"KeySet"),0),":","""",TEXT(valueMaker!G301,"yyyy/m/d"),"""")</f>
        <v>tanjyoubi:"2008/7/26"</v>
      </c>
      <c r="H301" t="str" cm="1">
        <f t="array" aca="1" ref="H301" ca="1">CONCATENATE(INDIRECT(ADDRESS(1,6,1,0,"KeySet"),0),":","""",TEXT(valueMaker!H301,"yyyy/m/d"),"""")</f>
        <v>tanjyoubi:"2009/7/26"</v>
      </c>
      <c r="I301" t="str" cm="1">
        <f t="array" aca="1" ref="I301" ca="1">CONCATENATE(INDIRECT(ADDRESS(1,9,1,0,"KeySet"),0),":","""",valueMaker!I301,"""")</f>
        <v>denwaBangou:"090-1308-2952"</v>
      </c>
      <c r="J301" t="str" cm="1">
        <f t="array" aca="1" ref="J301" ca="1">CONCATENATE(INDIRECT(ADDRESS(1,10,1,0,"KeySet"),0),":","""",valueMaker!J301,"""")</f>
        <v>mailAddress:"Wang_Zi_Fan_39655@outlook.jp.co"</v>
      </c>
      <c r="K301" t="str" cm="1">
        <f t="array" aca="1" ref="K301" ca="1">CONCATENATE(INDIRECT(ADDRESS(1,11,1,0,"KeySet"),0),":","""",valueMaker!K301,"""")</f>
        <v>kaninSyubetu:"高級"</v>
      </c>
      <c r="L301" t="str" cm="1">
        <f t="array" aca="1" ref="L301" ca="1">CONCATENATE(INDIRECT(ADDRESS(1,12,1,0,"KeySet"),0),":","""",valueMaker!L301,"""")</f>
        <v>kaninKengenWB:"有り"</v>
      </c>
      <c r="M301" t="str" cm="1">
        <f t="array" aca="1" ref="M301" ca="1">CONCATENATE(INDIRECT(ADDRESS(1,13,1,0,"KeySet"),0),":","""",valueMaker!M301,"""")</f>
        <v>wakibiri:"10%"</v>
      </c>
      <c r="N301" t="str" cm="1">
        <f t="array" aca="1" ref="N301" ca="1">CONCATENATE(INDIRECT(ADDRESS(1,14,1,0,"KeySet"),0),":","""",valueMaker!N301,"""")</f>
        <v>kaninKengenPoint:"有り"</v>
      </c>
      <c r="O301" t="str" cm="1">
        <f t="array" aca="1" ref="O301" ca="1">CONCATENATE(INDIRECT(ADDRESS(1,15,1,0,"KeySet"),0),":","""",valueMaker!O301,"""")</f>
        <v>point:"614"</v>
      </c>
      <c r="P301" t="str" cm="1">
        <f t="array" aca="1" ref="P301" ca="1">CONCATENATE(INDIRECT(ADDRESS(1,16,1,0,"KeySet"),0),":","""",valueMaker!P301,"""")</f>
        <v>bikou:""</v>
      </c>
    </row>
    <row r="302" spans="1:16">
      <c r="A302" t="str" cm="1">
        <f t="array" aca="1" ref="A302" ca="1">CONCATENATE(INDIRECT(ADDRESS(1,1,1,0,"KeySet"),0),":","""",valueMaker!A302,"""")</f>
        <v>kainBangou:"TD10301"</v>
      </c>
      <c r="B302" t="str" cm="1">
        <f t="array" aca="1" ref="B302" ca="1">CONCATENATE(INDIRECT(ADDRESS(1,2,1,0,"KeySet"),0),":","""",valueMaker!B302,"""")</f>
        <v>kainMeiKanji:"謝萌至"</v>
      </c>
      <c r="C302" t="str" cm="1">
        <f t="array" aca="1" ref="C302" ca="1">CONCATENATE(INDIRECT(ADDRESS(1,3,1,0,"KeySet"),0),":","""",valueMaker!C302,"""")</f>
        <v>kainMeiKana:"ｼｴ ﾑｵﾝ ｼﾞｰ"</v>
      </c>
      <c r="D302" t="str" cm="1">
        <f t="array" aca="1" ref="D302" ca="1">CONCATENATE(INDIRECT(ADDRESS(1,4,1,0,"KeySet"),0),":","""",valueMaker!D302,"""")</f>
        <v>kainMeiEn:"Xie Meng Zhi"</v>
      </c>
      <c r="E302" t="str" cm="1">
        <f t="array" aca="1" ref="E302" ca="1">CONCATENATE(INDIRECT(ADDRESS(1,5,1,0,"KeySet"),0),":","""",valueMaker!E302,"""")</f>
        <v>kainGender:"男性"</v>
      </c>
      <c r="F302" t="str" cm="1">
        <f t="array" aca="1" ref="F302" ca="1">CONCATENATE(INDIRECT(ADDRESS(1,6,1,0,"KeySet"),0),":","""",TEXT(valueMaker!F302,"yyyy/m/d"),"""")</f>
        <v>tanjyoubi:"1999/1/25"</v>
      </c>
      <c r="G302" t="str" cm="1">
        <f t="array" aca="1" ref="G302" ca="1">CONCATENATE(INDIRECT(ADDRESS(1,6,1,0,"KeySet"),0),":","""",TEXT(valueMaker!G302,"yyyy/m/d"),"""")</f>
        <v>tanjyoubi:"2020/7/23"</v>
      </c>
      <c r="H302" t="str" cm="1">
        <f t="array" aca="1" ref="H302" ca="1">CONCATENATE(INDIRECT(ADDRESS(1,6,1,0,"KeySet"),0),":","""",TEXT(valueMaker!H302,"yyyy/m/d"),"""")</f>
        <v>tanjyoubi:"2022/7/23"</v>
      </c>
      <c r="I302" t="str" cm="1">
        <f t="array" aca="1" ref="I302" ca="1">CONCATENATE(INDIRECT(ADDRESS(1,9,1,0,"KeySet"),0),":","""",valueMaker!I302,"""")</f>
        <v>denwaBangou:"080-2124-7155"</v>
      </c>
      <c r="J302" t="str" cm="1">
        <f t="array" aca="1" ref="J302" ca="1">CONCATENATE(INDIRECT(ADDRESS(1,10,1,0,"KeySet"),0),":","""",valueMaker!J302,"""")</f>
        <v>mailAddress:"Xie_Meng_Zhi_44035@outlook.jp.co"</v>
      </c>
      <c r="K302" t="str" cm="1">
        <f t="array" aca="1" ref="K302" ca="1">CONCATENATE(INDIRECT(ADDRESS(1,11,1,0,"KeySet"),0),":","""",valueMaker!K302,"""")</f>
        <v>kaninSyubetu:"普通"</v>
      </c>
      <c r="L302" t="str" cm="1">
        <f t="array" aca="1" ref="L302" ca="1">CONCATENATE(INDIRECT(ADDRESS(1,12,1,0,"KeySet"),0),":","""",valueMaker!L302,"""")</f>
        <v>kaninKengenWB:"-"</v>
      </c>
      <c r="M302" t="str" cm="1">
        <f t="array" aca="1" ref="M302" ca="1">CONCATENATE(INDIRECT(ADDRESS(1,13,1,0,"KeySet"),0),":","""",valueMaker!M302,"""")</f>
        <v>wakibiri:"-"</v>
      </c>
      <c r="N302" t="str" cm="1">
        <f t="array" aca="1" ref="N302" ca="1">CONCATENATE(INDIRECT(ADDRESS(1,14,1,0,"KeySet"),0),":","""",valueMaker!N302,"""")</f>
        <v>kaninKengenPoint:"有り"</v>
      </c>
      <c r="O302" t="str" cm="1">
        <f t="array" aca="1" ref="O302" ca="1">CONCATENATE(INDIRECT(ADDRESS(1,15,1,0,"KeySet"),0),":","""",valueMaker!O302,"""")</f>
        <v>point:"66"</v>
      </c>
      <c r="P302" t="str" cm="1">
        <f t="array" aca="1" ref="P302" ca="1">CONCATENATE(INDIRECT(ADDRESS(1,16,1,0,"KeySet"),0),":","""",valueMaker!P302,"""")</f>
        <v>bikou:""</v>
      </c>
    </row>
    <row r="303" spans="1:16">
      <c r="A303" t="str" cm="1">
        <f t="array" aca="1" ref="A303" ca="1">CONCATENATE(INDIRECT(ADDRESS(1,1,1,0,"KeySet"),0),":","""",valueMaker!A303,"""")</f>
        <v>kainBangou:"TD10302"</v>
      </c>
      <c r="B303" t="str" cm="1">
        <f t="array" aca="1" ref="B303" ca="1">CONCATENATE(INDIRECT(ADDRESS(1,2,1,0,"KeySet"),0),":","""",valueMaker!B303,"""")</f>
        <v>kainMeiKanji:"李網聰"</v>
      </c>
      <c r="C303" t="str" cm="1">
        <f t="array" aca="1" ref="C303" ca="1">CONCATENATE(INDIRECT(ADDRESS(1,3,1,0,"KeySet"),0),":","""",valueMaker!C303,"""")</f>
        <v>kainMeiKana:"ﾘｰ ﾜｰﾝ ｯｵｰﾝ"</v>
      </c>
      <c r="D303" t="str" cm="1">
        <f t="array" aca="1" ref="D303" ca="1">CONCATENATE(INDIRECT(ADDRESS(1,4,1,0,"KeySet"),0),":","""",valueMaker!D303,"""")</f>
        <v>kainMeiEn:"Li Wang Cong"</v>
      </c>
      <c r="E303" t="str" cm="1">
        <f t="array" aca="1" ref="E303" ca="1">CONCATENATE(INDIRECT(ADDRESS(1,5,1,0,"KeySet"),0),":","""",valueMaker!E303,"""")</f>
        <v>kainGender:"女性"</v>
      </c>
      <c r="F303" t="str" cm="1">
        <f t="array" aca="1" ref="F303" ca="1">CONCATENATE(INDIRECT(ADDRESS(1,6,1,0,"KeySet"),0),":","""",TEXT(valueMaker!F303,"yyyy/m/d"),"""")</f>
        <v>tanjyoubi:"1992/1/26"</v>
      </c>
      <c r="G303" t="str" cm="1">
        <f t="array" aca="1" ref="G303" ca="1">CONCATENATE(INDIRECT(ADDRESS(1,6,1,0,"KeySet"),0),":","""",TEXT(valueMaker!G303,"yyyy/m/d"),"""")</f>
        <v>tanjyoubi:"2020/4/23"</v>
      </c>
      <c r="H303" t="str" cm="1">
        <f t="array" aca="1" ref="H303" ca="1">CONCATENATE(INDIRECT(ADDRESS(1,6,1,0,"KeySet"),0),":","""",TEXT(valueMaker!H303,"yyyy/m/d"),"""")</f>
        <v>tanjyoubi:"2021/4/23"</v>
      </c>
      <c r="I303" t="str" cm="1">
        <f t="array" aca="1" ref="I303" ca="1">CONCATENATE(INDIRECT(ADDRESS(1,9,1,0,"KeySet"),0),":","""",valueMaker!I303,"""")</f>
        <v>denwaBangou:"090-9149-2160"</v>
      </c>
      <c r="J303" t="str" cm="1">
        <f t="array" aca="1" ref="J303" ca="1">CONCATENATE(INDIRECT(ADDRESS(1,10,1,0,"KeySet"),0),":","""",valueMaker!J303,"""")</f>
        <v>mailAddress:"Li_Wang_Cong_43944@outlook.jp.co"</v>
      </c>
      <c r="K303" t="str" cm="1">
        <f t="array" aca="1" ref="K303" ca="1">CONCATENATE(INDIRECT(ADDRESS(1,11,1,0,"KeySet"),0),":","""",valueMaker!K303,"""")</f>
        <v>kaninSyubetu:"普通"</v>
      </c>
      <c r="L303" t="str" cm="1">
        <f t="array" aca="1" ref="L303" ca="1">CONCATENATE(INDIRECT(ADDRESS(1,12,1,0,"KeySet"),0),":","""",valueMaker!L303,"""")</f>
        <v>kaninKengenWB:"有り"</v>
      </c>
      <c r="M303" t="str" cm="1">
        <f t="array" aca="1" ref="M303" ca="1">CONCATENATE(INDIRECT(ADDRESS(1,13,1,0,"KeySet"),0),":","""",valueMaker!M303,"""")</f>
        <v>wakibiri:"5%"</v>
      </c>
      <c r="N303" t="str" cm="1">
        <f t="array" aca="1" ref="N303" ca="1">CONCATENATE(INDIRECT(ADDRESS(1,14,1,0,"KeySet"),0),":","""",valueMaker!N303,"""")</f>
        <v>kaninKengenPoint:"有り"</v>
      </c>
      <c r="O303" t="str" cm="1">
        <f t="array" aca="1" ref="O303" ca="1">CONCATENATE(INDIRECT(ADDRESS(1,15,1,0,"KeySet"),0),":","""",valueMaker!O303,"""")</f>
        <v>point:"6"</v>
      </c>
      <c r="P303" t="str" cm="1">
        <f t="array" aca="1" ref="P303" ca="1">CONCATENATE(INDIRECT(ADDRESS(1,16,1,0,"KeySet"),0),":","""",valueMaker!P303,"""")</f>
        <v>bikou:""</v>
      </c>
    </row>
    <row r="304" spans="1:16">
      <c r="A304" t="str" cm="1">
        <f t="array" aca="1" ref="A304" ca="1">CONCATENATE(INDIRECT(ADDRESS(1,1,1,0,"KeySet"),0),":","""",valueMaker!A304,"""")</f>
        <v>kainBangou:"TD10303"</v>
      </c>
      <c r="B304" t="str" cm="1">
        <f t="array" aca="1" ref="B304" ca="1">CONCATENATE(INDIRECT(ADDRESS(1,2,1,0,"KeySet"),0),":","""",valueMaker!B304,"""")</f>
        <v>kainMeiKanji:"宋朴雷"</v>
      </c>
      <c r="C304" t="str" cm="1">
        <f t="array" aca="1" ref="C304" ca="1">CONCATENATE(INDIRECT(ADDRESS(1,3,1,0,"KeySet"),0),":","""",valueMaker!C304,"""")</f>
        <v>kainMeiKana:"ｿｰﾝ ﾌﾟｩ ﾚｲ"</v>
      </c>
      <c r="D304" t="str" cm="1">
        <f t="array" aca="1" ref="D304" ca="1">CONCATENATE(INDIRECT(ADDRESS(1,4,1,0,"KeySet"),0),":","""",valueMaker!D304,"""")</f>
        <v>kainMeiEn:"Song Pu Lei"</v>
      </c>
      <c r="E304" t="str" cm="1">
        <f t="array" aca="1" ref="E304" ca="1">CONCATENATE(INDIRECT(ADDRESS(1,5,1,0,"KeySet"),0),":","""",valueMaker!E304,"""")</f>
        <v>kainGender:"-"</v>
      </c>
      <c r="F304" t="str" cm="1">
        <f t="array" aca="1" ref="F304" ca="1">CONCATENATE(INDIRECT(ADDRESS(1,6,1,0,"KeySet"),0),":","""",TEXT(valueMaker!F304,"yyyy/m/d"),"""")</f>
        <v>tanjyoubi:"2005/10/11"</v>
      </c>
      <c r="G304" t="str" cm="1">
        <f t="array" aca="1" ref="G304" ca="1">CONCATENATE(INDIRECT(ADDRESS(1,6,1,0,"KeySet"),0),":","""",TEXT(valueMaker!G304,"yyyy/m/d"),"""")</f>
        <v>tanjyoubi:"2023/12/14"</v>
      </c>
      <c r="H304" t="str" cm="1">
        <f t="array" aca="1" ref="H304" ca="1">CONCATENATE(INDIRECT(ADDRESS(1,6,1,0,"KeySet"),0),":","""",TEXT(valueMaker!H304,"yyyy/m/d"),"""")</f>
        <v>tanjyoubi:"2024/12/13"</v>
      </c>
      <c r="I304" t="str" cm="1">
        <f t="array" aca="1" ref="I304" ca="1">CONCATENATE(INDIRECT(ADDRESS(1,9,1,0,"KeySet"),0),":","""",valueMaker!I304,"""")</f>
        <v>denwaBangou:"080-9570-0149"</v>
      </c>
      <c r="J304" t="str" cm="1">
        <f t="array" aca="1" ref="J304" ca="1">CONCATENATE(INDIRECT(ADDRESS(1,10,1,0,"KeySet"),0),":","""",valueMaker!J304,"""")</f>
        <v>mailAddress:"Song_Pu Lei_45274@outlook.jp.co"</v>
      </c>
      <c r="K304" t="str" cm="1">
        <f t="array" aca="1" ref="K304" ca="1">CONCATENATE(INDIRECT(ADDRESS(1,11,1,0,"KeySet"),0),":","""",valueMaker!K304,"""")</f>
        <v>kaninSyubetu:"普通"</v>
      </c>
      <c r="L304" t="str" cm="1">
        <f t="array" aca="1" ref="L304" ca="1">CONCATENATE(INDIRECT(ADDRESS(1,12,1,0,"KeySet"),0),":","""",valueMaker!L304,"""")</f>
        <v>kaninKengenWB:"有り"</v>
      </c>
      <c r="M304" t="str" cm="1">
        <f t="array" aca="1" ref="M304" ca="1">CONCATENATE(INDIRECT(ADDRESS(1,13,1,0,"KeySet"),0),":","""",valueMaker!M304,"""")</f>
        <v>wakibiri:"5%"</v>
      </c>
      <c r="N304" t="str" cm="1">
        <f t="array" aca="1" ref="N304" ca="1">CONCATENATE(INDIRECT(ADDRESS(1,14,1,0,"KeySet"),0),":","""",valueMaker!N304,"""")</f>
        <v>kaninKengenPoint:"有り"</v>
      </c>
      <c r="O304" t="str" cm="1">
        <f t="array" aca="1" ref="O304" ca="1">CONCATENATE(INDIRECT(ADDRESS(1,15,1,0,"KeySet"),0),":","""",valueMaker!O304,"""")</f>
        <v>point:"297"</v>
      </c>
      <c r="P304" t="str" cm="1">
        <f t="array" aca="1" ref="P304" ca="1">CONCATENATE(INDIRECT(ADDRESS(1,16,1,0,"KeySet"),0),":","""",valueMaker!P304,"""")</f>
        <v>bikou:""</v>
      </c>
    </row>
    <row r="305" spans="1:16">
      <c r="A305" t="str" cm="1">
        <f t="array" aca="1" ref="A305" ca="1">CONCATENATE(INDIRECT(ADDRESS(1,1,1,0,"KeySet"),0),":","""",valueMaker!A305,"""")</f>
        <v>kainBangou:"TD10304"</v>
      </c>
      <c r="B305" t="str" cm="1">
        <f t="array" aca="1" ref="B305" ca="1">CONCATENATE(INDIRECT(ADDRESS(1,2,1,0,"KeySet"),0),":","""",valueMaker!B305,"""")</f>
        <v>kainMeiKanji:"何憶友"</v>
      </c>
      <c r="C305" t="str" cm="1">
        <f t="array" aca="1" ref="C305" ca="1">CONCATENATE(INDIRECT(ADDRESS(1,3,1,0,"KeySet"),0),":","""",valueMaker!C305,"""")</f>
        <v>kainMeiKana:"ﾎｰｧ ｲｰ ﾖｳ"</v>
      </c>
      <c r="D305" t="str" cm="1">
        <f t="array" aca="1" ref="D305" ca="1">CONCATENATE(INDIRECT(ADDRESS(1,4,1,0,"KeySet"),0),":","""",valueMaker!D305,"""")</f>
        <v>kainMeiEn:"He Yi You"</v>
      </c>
      <c r="E305" t="str" cm="1">
        <f t="array" aca="1" ref="E305" ca="1">CONCATENATE(INDIRECT(ADDRESS(1,5,1,0,"KeySet"),0),":","""",valueMaker!E305,"""")</f>
        <v>kainGender:"女性"</v>
      </c>
      <c r="F305" t="str" cm="1">
        <f t="array" aca="1" ref="F305" ca="1">CONCATENATE(INDIRECT(ADDRESS(1,6,1,0,"KeySet"),0),":","""",TEXT(valueMaker!F305,"yyyy/m/d"),"""")</f>
        <v>tanjyoubi:"1965/8/12"</v>
      </c>
      <c r="G305" t="str" cm="1">
        <f t="array" aca="1" ref="G305" ca="1">CONCATENATE(INDIRECT(ADDRESS(1,6,1,0,"KeySet"),0),":","""",TEXT(valueMaker!G305,"yyyy/m/d"),"""")</f>
        <v>tanjyoubi:"1994/10/2"</v>
      </c>
      <c r="H305" t="str" cm="1">
        <f t="array" aca="1" ref="H305" ca="1">CONCATENATE(INDIRECT(ADDRESS(1,6,1,0,"KeySet"),0),":","""",TEXT(valueMaker!H305,"yyyy/m/d"),"""")</f>
        <v>tanjyoubi:"1996/10/1"</v>
      </c>
      <c r="I305" t="str" cm="1">
        <f t="array" aca="1" ref="I305" ca="1">CONCATENATE(INDIRECT(ADDRESS(1,9,1,0,"KeySet"),0),":","""",valueMaker!I305,"""")</f>
        <v>denwaBangou:"080-7658-6781"</v>
      </c>
      <c r="J305" t="str" cm="1">
        <f t="array" aca="1" ref="J305" ca="1">CONCATENATE(INDIRECT(ADDRESS(1,10,1,0,"KeySet"),0),":","""",valueMaker!J305,"""")</f>
        <v>mailAddress:"He_Yi_You_34609@outlook.jp.co"</v>
      </c>
      <c r="K305" t="str" cm="1">
        <f t="array" aca="1" ref="K305" ca="1">CONCATENATE(INDIRECT(ADDRESS(1,11,1,0,"KeySet"),0),":","""",valueMaker!K305,"""")</f>
        <v>kaninSyubetu:"普通"</v>
      </c>
      <c r="L305" t="str" cm="1">
        <f t="array" aca="1" ref="L305" ca="1">CONCATENATE(INDIRECT(ADDRESS(1,12,1,0,"KeySet"),0),":","""",valueMaker!L305,"""")</f>
        <v>kaninKengenWB:"-"</v>
      </c>
      <c r="M305" t="str" cm="1">
        <f t="array" aca="1" ref="M305" ca="1">CONCATENATE(INDIRECT(ADDRESS(1,13,1,0,"KeySet"),0),":","""",valueMaker!M305,"""")</f>
        <v>wakibiri:"-"</v>
      </c>
      <c r="N305" t="str" cm="1">
        <f t="array" aca="1" ref="N305" ca="1">CONCATENATE(INDIRECT(ADDRESS(1,14,1,0,"KeySet"),0),":","""",valueMaker!N305,"""")</f>
        <v>kaninKengenPoint:"有り"</v>
      </c>
      <c r="O305" t="str" cm="1">
        <f t="array" aca="1" ref="O305" ca="1">CONCATENATE(INDIRECT(ADDRESS(1,15,1,0,"KeySet"),0),":","""",valueMaker!O305,"""")</f>
        <v>point:"154"</v>
      </c>
      <c r="P305" t="str" cm="1">
        <f t="array" aca="1" ref="P305" ca="1">CONCATENATE(INDIRECT(ADDRESS(1,16,1,0,"KeySet"),0),":","""",valueMaker!P305,"""")</f>
        <v>bikou:""</v>
      </c>
    </row>
    <row r="306" spans="1:16">
      <c r="A306" t="str" cm="1">
        <f t="array" aca="1" ref="A306" ca="1">CONCATENATE(INDIRECT(ADDRESS(1,1,1,0,"KeySet"),0),":","""",valueMaker!A306,"""")</f>
        <v>kainBangou:"TD10305"</v>
      </c>
      <c r="B306" t="str" cm="1">
        <f t="array" aca="1" ref="B306" ca="1">CONCATENATE(INDIRECT(ADDRESS(1,2,1,0,"KeySet"),0),":","""",valueMaker!B306,"""")</f>
        <v>kainMeiKanji:"謝狂宗"</v>
      </c>
      <c r="C306" t="str" cm="1">
        <f t="array" aca="1" ref="C306" ca="1">CONCATENATE(INDIRECT(ADDRESS(1,3,1,0,"KeySet"),0),":","""",valueMaker!C306,"""")</f>
        <v>kainMeiKana:"ｼｴ ｸﾜｰﾝ ｿﾞｰﾝ"</v>
      </c>
      <c r="D306" t="str" cm="1">
        <f t="array" aca="1" ref="D306" ca="1">CONCATENATE(INDIRECT(ADDRESS(1,4,1,0,"KeySet"),0),":","""",valueMaker!D306,"""")</f>
        <v>kainMeiEn:"Xie Kuang Zong"</v>
      </c>
      <c r="E306" t="str" cm="1">
        <f t="array" aca="1" ref="E306" ca="1">CONCATENATE(INDIRECT(ADDRESS(1,5,1,0,"KeySet"),0),":","""",valueMaker!E306,"""")</f>
        <v>kainGender:"男性"</v>
      </c>
      <c r="F306" t="str" cm="1">
        <f t="array" aca="1" ref="F306" ca="1">CONCATENATE(INDIRECT(ADDRESS(1,6,1,0,"KeySet"),0),":","""",TEXT(valueMaker!F306,"yyyy/m/d"),"""")</f>
        <v>tanjyoubi:"1989/2/4"</v>
      </c>
      <c r="G306" t="str" cm="1">
        <f t="array" aca="1" ref="G306" ca="1">CONCATENATE(INDIRECT(ADDRESS(1,6,1,0,"KeySet"),0),":","""",TEXT(valueMaker!G306,"yyyy/m/d"),"""")</f>
        <v>tanjyoubi:"2023/7/24"</v>
      </c>
      <c r="H306" t="str" cm="1">
        <f t="array" aca="1" ref="H306" ca="1">CONCATENATE(INDIRECT(ADDRESS(1,6,1,0,"KeySet"),0),":","""",TEXT(valueMaker!H306,"yyyy/m/d"),"""")</f>
        <v>tanjyoubi:"2025/7/23"</v>
      </c>
      <c r="I306" t="str" cm="1">
        <f t="array" aca="1" ref="I306" ca="1">CONCATENATE(INDIRECT(ADDRESS(1,9,1,0,"KeySet"),0),":","""",valueMaker!I306,"""")</f>
        <v>denwaBangou:"080-0617-6841"</v>
      </c>
      <c r="J306" t="str" cm="1">
        <f t="array" aca="1" ref="J306" ca="1">CONCATENATE(INDIRECT(ADDRESS(1,10,1,0,"KeySet"),0),":","""",valueMaker!J306,"""")</f>
        <v>mailAddress:"Xie_Kuang_Zong_45131@outlook.jp.co"</v>
      </c>
      <c r="K306" t="str" cm="1">
        <f t="array" aca="1" ref="K306" ca="1">CONCATENATE(INDIRECT(ADDRESS(1,11,1,0,"KeySet"),0),":","""",valueMaker!K306,"""")</f>
        <v>kaninSyubetu:"高級"</v>
      </c>
      <c r="L306" t="str" cm="1">
        <f t="array" aca="1" ref="L306" ca="1">CONCATENATE(INDIRECT(ADDRESS(1,12,1,0,"KeySet"),0),":","""",valueMaker!L306,"""")</f>
        <v>kaninKengenWB:"-"</v>
      </c>
      <c r="M306" t="str" cm="1">
        <f t="array" aca="1" ref="M306" ca="1">CONCATENATE(INDIRECT(ADDRESS(1,13,1,0,"KeySet"),0),":","""",valueMaker!M306,"""")</f>
        <v>wakibiri:"-"</v>
      </c>
      <c r="N306" t="str" cm="1">
        <f t="array" aca="1" ref="N306" ca="1">CONCATENATE(INDIRECT(ADDRESS(1,14,1,0,"KeySet"),0),":","""",valueMaker!N306,"""")</f>
        <v>kaninKengenPoint:"有り"</v>
      </c>
      <c r="O306" t="str" cm="1">
        <f t="array" aca="1" ref="O306" ca="1">CONCATENATE(INDIRECT(ADDRESS(1,15,1,0,"KeySet"),0),":","""",valueMaker!O306,"""")</f>
        <v>point:"740"</v>
      </c>
      <c r="P306" t="str" cm="1">
        <f t="array" aca="1" ref="P306" ca="1">CONCATENATE(INDIRECT(ADDRESS(1,16,1,0,"KeySet"),0),":","""",valueMaker!P306,"""")</f>
        <v>bikou:""</v>
      </c>
    </row>
    <row r="307" spans="1:16">
      <c r="A307" t="str" cm="1">
        <f t="array" aca="1" ref="A307" ca="1">CONCATENATE(INDIRECT(ADDRESS(1,1,1,0,"KeySet"),0),":","""",valueMaker!A307,"""")</f>
        <v>kainBangou:"TD10306"</v>
      </c>
      <c r="B307" t="str" cm="1">
        <f t="array" aca="1" ref="B307" ca="1">CONCATENATE(INDIRECT(ADDRESS(1,2,1,0,"KeySet"),0),":","""",valueMaker!B307,"""")</f>
        <v>kainMeiKanji:"劉潤頓"</v>
      </c>
      <c r="C307" t="str" cm="1">
        <f t="array" aca="1" ref="C307" ca="1">CONCATENATE(INDIRECT(ADDRESS(1,3,1,0,"KeySet"),0),":","""",valueMaker!C307,"""")</f>
        <v>kainMeiKana:"ﾘｳ ｩﾙﾝ ﾄﾞｩﾝ"</v>
      </c>
      <c r="D307" t="str" cm="1">
        <f t="array" aca="1" ref="D307" ca="1">CONCATENATE(INDIRECT(ADDRESS(1,4,1,0,"KeySet"),0),":","""",valueMaker!D307,"""")</f>
        <v>kainMeiEn:"Liu Run Dun"</v>
      </c>
      <c r="E307" t="str" cm="1">
        <f t="array" aca="1" ref="E307" ca="1">CONCATENATE(INDIRECT(ADDRESS(1,5,1,0,"KeySet"),0),":","""",valueMaker!E307,"""")</f>
        <v>kainGender:"女性"</v>
      </c>
      <c r="F307" t="str" cm="1">
        <f t="array" aca="1" ref="F307" ca="1">CONCATENATE(INDIRECT(ADDRESS(1,6,1,0,"KeySet"),0),":","""",TEXT(valueMaker!F307,"yyyy/m/d"),"""")</f>
        <v>tanjyoubi:"1973/5/27"</v>
      </c>
      <c r="G307" t="str" cm="1">
        <f t="array" aca="1" ref="G307" ca="1">CONCATENATE(INDIRECT(ADDRESS(1,6,1,0,"KeySet"),0),":","""",TEXT(valueMaker!G307,"yyyy/m/d"),"""")</f>
        <v>tanjyoubi:"2018/9/18"</v>
      </c>
      <c r="H307" t="str" cm="1">
        <f t="array" aca="1" ref="H307" ca="1">CONCATENATE(INDIRECT(ADDRESS(1,6,1,0,"KeySet"),0),":","""",TEXT(valueMaker!H307,"yyyy/m/d"),"""")</f>
        <v>tanjyoubi:"2020/9/17"</v>
      </c>
      <c r="I307" t="str" cm="1">
        <f t="array" aca="1" ref="I307" ca="1">CONCATENATE(INDIRECT(ADDRESS(1,9,1,0,"KeySet"),0),":","""",valueMaker!I307,"""")</f>
        <v>denwaBangou:"090-6641-6951"</v>
      </c>
      <c r="J307" t="str" cm="1">
        <f t="array" aca="1" ref="J307" ca="1">CONCATENATE(INDIRECT(ADDRESS(1,10,1,0,"KeySet"),0),":","""",valueMaker!J307,"""")</f>
        <v>mailAddress:"Liu_Run Dun_43361@outlook.jp.co"</v>
      </c>
      <c r="K307" t="str" cm="1">
        <f t="array" aca="1" ref="K307" ca="1">CONCATENATE(INDIRECT(ADDRESS(1,11,1,0,"KeySet"),0),":","""",valueMaker!K307,"""")</f>
        <v>kaninSyubetu:"高級"</v>
      </c>
      <c r="L307" t="str" cm="1">
        <f t="array" aca="1" ref="L307" ca="1">CONCATENATE(INDIRECT(ADDRESS(1,12,1,0,"KeySet"),0),":","""",valueMaker!L307,"""")</f>
        <v>kaninKengenWB:"有り"</v>
      </c>
      <c r="M307" t="str" cm="1">
        <f t="array" aca="1" ref="M307" ca="1">CONCATENATE(INDIRECT(ADDRESS(1,13,1,0,"KeySet"),0),":","""",valueMaker!M307,"""")</f>
        <v>wakibiri:"10%"</v>
      </c>
      <c r="N307" t="str" cm="1">
        <f t="array" aca="1" ref="N307" ca="1">CONCATENATE(INDIRECT(ADDRESS(1,14,1,0,"KeySet"),0),":","""",valueMaker!N307,"""")</f>
        <v>kaninKengenPoint:"有り"</v>
      </c>
      <c r="O307" t="str" cm="1">
        <f t="array" aca="1" ref="O307" ca="1">CONCATENATE(INDIRECT(ADDRESS(1,15,1,0,"KeySet"),0),":","""",valueMaker!O307,"""")</f>
        <v>point:"995"</v>
      </c>
      <c r="P307" t="str" cm="1">
        <f t="array" aca="1" ref="P307" ca="1">CONCATENATE(INDIRECT(ADDRESS(1,16,1,0,"KeySet"),0),":","""",valueMaker!P307,"""")</f>
        <v>bikou:""</v>
      </c>
    </row>
    <row r="308" spans="1:16">
      <c r="A308" t="str" cm="1">
        <f t="array" aca="1" ref="A308" ca="1">CONCATENATE(INDIRECT(ADDRESS(1,1,1,0,"KeySet"),0),":","""",valueMaker!A308,"""")</f>
        <v>kainBangou:"TD10307"</v>
      </c>
      <c r="B308" t="str" cm="1">
        <f t="array" aca="1" ref="B308" ca="1">CONCATENATE(INDIRECT(ADDRESS(1,2,1,0,"KeySet"),0),":","""",valueMaker!B308,"""")</f>
        <v>kainMeiKanji:"胡貴昂"</v>
      </c>
      <c r="C308" t="str" cm="1">
        <f t="array" aca="1" ref="C308" ca="1">CONCATENATE(INDIRECT(ADDRESS(1,3,1,0,"KeySet"),0),":","""",valueMaker!C308,"""")</f>
        <v>kainMeiKana:"ﾎｩ ｸﾞｲ ｱｰﾝ"</v>
      </c>
      <c r="D308" t="str" cm="1">
        <f t="array" aca="1" ref="D308" ca="1">CONCATENATE(INDIRECT(ADDRESS(1,4,1,0,"KeySet"),0),":","""",valueMaker!D308,"""")</f>
        <v>kainMeiEn:"Hu Gui Ang"</v>
      </c>
      <c r="E308" t="str" cm="1">
        <f t="array" aca="1" ref="E308" ca="1">CONCATENATE(INDIRECT(ADDRESS(1,5,1,0,"KeySet"),0),":","""",valueMaker!E308,"""")</f>
        <v>kainGender:"女性"</v>
      </c>
      <c r="F308" t="str" cm="1">
        <f t="array" aca="1" ref="F308" ca="1">CONCATENATE(INDIRECT(ADDRESS(1,6,1,0,"KeySet"),0),":","""",TEXT(valueMaker!F308,"yyyy/m/d"),"""")</f>
        <v>tanjyoubi:"1962/1/26"</v>
      </c>
      <c r="G308" t="str" cm="1">
        <f t="array" aca="1" ref="G308" ca="1">CONCATENATE(INDIRECT(ADDRESS(1,6,1,0,"KeySet"),0),":","""",TEXT(valueMaker!G308,"yyyy/m/d"),"""")</f>
        <v>tanjyoubi:"1998/6/2"</v>
      </c>
      <c r="H308" t="str" cm="1">
        <f t="array" aca="1" ref="H308" ca="1">CONCATENATE(INDIRECT(ADDRESS(1,6,1,0,"KeySet"),0),":","""",TEXT(valueMaker!H308,"yyyy/m/d"),"""")</f>
        <v>tanjyoubi:"2000/6/1"</v>
      </c>
      <c r="I308" t="str" cm="1">
        <f t="array" aca="1" ref="I308" ca="1">CONCATENATE(INDIRECT(ADDRESS(1,9,1,0,"KeySet"),0),":","""",valueMaker!I308,"""")</f>
        <v>denwaBangou:"080-5579-3523"</v>
      </c>
      <c r="J308" t="str" cm="1">
        <f t="array" aca="1" ref="J308" ca="1">CONCATENATE(INDIRECT(ADDRESS(1,10,1,0,"KeySet"),0),":","""",valueMaker!J308,"""")</f>
        <v>mailAddress:"Hu_Gui_Ang_35948@outlook.jp.co"</v>
      </c>
      <c r="K308" t="str" cm="1">
        <f t="array" aca="1" ref="K308" ca="1">CONCATENATE(INDIRECT(ADDRESS(1,11,1,0,"KeySet"),0),":","""",valueMaker!K308,"""")</f>
        <v>kaninSyubetu:"普通"</v>
      </c>
      <c r="L308" t="str" cm="1">
        <f t="array" aca="1" ref="L308" ca="1">CONCATENATE(INDIRECT(ADDRESS(1,12,1,0,"KeySet"),0),":","""",valueMaker!L308,"""")</f>
        <v>kaninKengenWB:"-"</v>
      </c>
      <c r="M308" t="str" cm="1">
        <f t="array" aca="1" ref="M308" ca="1">CONCATENATE(INDIRECT(ADDRESS(1,13,1,0,"KeySet"),0),":","""",valueMaker!M308,"""")</f>
        <v>wakibiri:"-"</v>
      </c>
      <c r="N308" t="str" cm="1">
        <f t="array" aca="1" ref="N308" ca="1">CONCATENATE(INDIRECT(ADDRESS(1,14,1,0,"KeySet"),0),":","""",valueMaker!N308,"""")</f>
        <v>kaninKengenPoint:"有り"</v>
      </c>
      <c r="O308" t="str" cm="1">
        <f t="array" aca="1" ref="O308" ca="1">CONCATENATE(INDIRECT(ADDRESS(1,15,1,0,"KeySet"),0),":","""",valueMaker!O308,"""")</f>
        <v>point:"411"</v>
      </c>
      <c r="P308" t="str" cm="1">
        <f t="array" aca="1" ref="P308" ca="1">CONCATENATE(INDIRECT(ADDRESS(1,16,1,0,"KeySet"),0),":","""",valueMaker!P308,"""")</f>
        <v>bikou:""</v>
      </c>
    </row>
    <row r="309" spans="1:16">
      <c r="A309" t="str" cm="1">
        <f t="array" aca="1" ref="A309" ca="1">CONCATENATE(INDIRECT(ADDRESS(1,1,1,0,"KeySet"),0),":","""",valueMaker!A309,"""")</f>
        <v>kainBangou:"TD10308"</v>
      </c>
      <c r="B309" t="str" cm="1">
        <f t="array" aca="1" ref="B309" ca="1">CONCATENATE(INDIRECT(ADDRESS(1,2,1,0,"KeySet"),0),":","""",valueMaker!B309,"""")</f>
        <v>kainMeiKanji:"王泉紀"</v>
      </c>
      <c r="C309" t="str" cm="1">
        <f t="array" aca="1" ref="C309" ca="1">CONCATENATE(INDIRECT(ADDRESS(1,3,1,0,"KeySet"),0),":","""",valueMaker!C309,"""")</f>
        <v>kainMeiKana:"ﾜｰﾝ ﾁｭｴﾝ ｼﾞｰ"</v>
      </c>
      <c r="D309" t="str" cm="1">
        <f t="array" aca="1" ref="D309" ca="1">CONCATENATE(INDIRECT(ADDRESS(1,4,1,0,"KeySet"),0),":","""",valueMaker!D309,"""")</f>
        <v>kainMeiEn:"Wang Quan Ji"</v>
      </c>
      <c r="E309" t="str" cm="1">
        <f t="array" aca="1" ref="E309" ca="1">CONCATENATE(INDIRECT(ADDRESS(1,5,1,0,"KeySet"),0),":","""",valueMaker!E309,"""")</f>
        <v>kainGender:"男性"</v>
      </c>
      <c r="F309" t="str" cm="1">
        <f t="array" aca="1" ref="F309" ca="1">CONCATENATE(INDIRECT(ADDRESS(1,6,1,0,"KeySet"),0),":","""",TEXT(valueMaker!F309,"yyyy/m/d"),"""")</f>
        <v>tanjyoubi:"1998/11/22"</v>
      </c>
      <c r="G309" t="str" cm="1">
        <f t="array" aca="1" ref="G309" ca="1">CONCATENATE(INDIRECT(ADDRESS(1,6,1,0,"KeySet"),0),":","""",TEXT(valueMaker!G309,"yyyy/m/d"),"""")</f>
        <v>tanjyoubi:"2020/10/23"</v>
      </c>
      <c r="H309" t="str" cm="1">
        <f t="array" aca="1" ref="H309" ca="1">CONCATENATE(INDIRECT(ADDRESS(1,6,1,0,"KeySet"),0),":","""",TEXT(valueMaker!H309,"yyyy/m/d"),"""")</f>
        <v>tanjyoubi:"2022/10/23"</v>
      </c>
      <c r="I309" t="str" cm="1">
        <f t="array" aca="1" ref="I309" ca="1">CONCATENATE(INDIRECT(ADDRESS(1,9,1,0,"KeySet"),0),":","""",valueMaker!I309,"""")</f>
        <v>denwaBangou:"090-8619-3056"</v>
      </c>
      <c r="J309" t="str" cm="1">
        <f t="array" aca="1" ref="J309" ca="1">CONCATENATE(INDIRECT(ADDRESS(1,10,1,0,"KeySet"),0),":","""",valueMaker!J309,"""")</f>
        <v>mailAddress:"Wang_Quan_Ji_44127@outlook.jp.co"</v>
      </c>
      <c r="K309" t="str" cm="1">
        <f t="array" aca="1" ref="K309" ca="1">CONCATENATE(INDIRECT(ADDRESS(1,11,1,0,"KeySet"),0),":","""",valueMaker!K309,"""")</f>
        <v>kaninSyubetu:"普通"</v>
      </c>
      <c r="L309" t="str" cm="1">
        <f t="array" aca="1" ref="L309" ca="1">CONCATENATE(INDIRECT(ADDRESS(1,12,1,0,"KeySet"),0),":","""",valueMaker!L309,"""")</f>
        <v>kaninKengenWB:"有り"</v>
      </c>
      <c r="M309" t="str" cm="1">
        <f t="array" aca="1" ref="M309" ca="1">CONCATENATE(INDIRECT(ADDRESS(1,13,1,0,"KeySet"),0),":","""",valueMaker!M309,"""")</f>
        <v>wakibiri:"5%"</v>
      </c>
      <c r="N309" t="str" cm="1">
        <f t="array" aca="1" ref="N309" ca="1">CONCATENATE(INDIRECT(ADDRESS(1,14,1,0,"KeySet"),0),":","""",valueMaker!N309,"""")</f>
        <v>kaninKengenPoint:"有り"</v>
      </c>
      <c r="O309" t="str" cm="1">
        <f t="array" aca="1" ref="O309" ca="1">CONCATENATE(INDIRECT(ADDRESS(1,15,1,0,"KeySet"),0),":","""",valueMaker!O309,"""")</f>
        <v>point:"959"</v>
      </c>
      <c r="P309" t="str" cm="1">
        <f t="array" aca="1" ref="P309" ca="1">CONCATENATE(INDIRECT(ADDRESS(1,16,1,0,"KeySet"),0),":","""",valueMaker!P309,"""")</f>
        <v>bikou:""</v>
      </c>
    </row>
    <row r="310" spans="1:16">
      <c r="A310" t="str" cm="1">
        <f t="array" aca="1" ref="A310" ca="1">CONCATENATE(INDIRECT(ADDRESS(1,1,1,0,"KeySet"),0),":","""",valueMaker!A310,"""")</f>
        <v>kainBangou:"TD10309"</v>
      </c>
      <c r="B310" t="str" cm="1">
        <f t="array" aca="1" ref="B310" ca="1">CONCATENATE(INDIRECT(ADDRESS(1,2,1,0,"KeySet"),0),":","""",valueMaker!B310,"""")</f>
        <v>kainMeiKanji:"黃賢界"</v>
      </c>
      <c r="C310" t="str" cm="1">
        <f t="array" aca="1" ref="C310" ca="1">CONCATENATE(INDIRECT(ADDRESS(1,3,1,0,"KeySet"),0),":","""",valueMaker!C310,"""")</f>
        <v>kainMeiKana:"ﾎﾜｰﾝ ｼｴﾝ ｼﾞｴ"</v>
      </c>
      <c r="D310" t="str" cm="1">
        <f t="array" aca="1" ref="D310" ca="1">CONCATENATE(INDIRECT(ADDRESS(1,4,1,0,"KeySet"),0),":","""",valueMaker!D310,"""")</f>
        <v>kainMeiEn:"Huang Xian Jie"</v>
      </c>
      <c r="E310" t="str" cm="1">
        <f t="array" aca="1" ref="E310" ca="1">CONCATENATE(INDIRECT(ADDRESS(1,5,1,0,"KeySet"),0),":","""",valueMaker!E310,"""")</f>
        <v>kainGender:"男性"</v>
      </c>
      <c r="F310" t="str" cm="1">
        <f t="array" aca="1" ref="F310" ca="1">CONCATENATE(INDIRECT(ADDRESS(1,6,1,0,"KeySet"),0),":","""",TEXT(valueMaker!F310,"yyyy/m/d"),"""")</f>
        <v>tanjyoubi:"1996/3/4"</v>
      </c>
      <c r="G310" t="str" cm="1">
        <f t="array" aca="1" ref="G310" ca="1">CONCATENATE(INDIRECT(ADDRESS(1,6,1,0,"KeySet"),0),":","""",TEXT(valueMaker!G310,"yyyy/m/d"),"""")</f>
        <v>tanjyoubi:"2021/5/17"</v>
      </c>
      <c r="H310" t="str" cm="1">
        <f t="array" aca="1" ref="H310" ca="1">CONCATENATE(INDIRECT(ADDRESS(1,6,1,0,"KeySet"),0),":","""",TEXT(valueMaker!H310,"yyyy/m/d"),"""")</f>
        <v>tanjyoubi:"2022/5/17"</v>
      </c>
      <c r="I310" t="str" cm="1">
        <f t="array" aca="1" ref="I310" ca="1">CONCATENATE(INDIRECT(ADDRESS(1,9,1,0,"KeySet"),0),":","""",valueMaker!I310,"""")</f>
        <v>denwaBangou:"080-0297-2507"</v>
      </c>
      <c r="J310" t="str" cm="1">
        <f t="array" aca="1" ref="J310" ca="1">CONCATENATE(INDIRECT(ADDRESS(1,10,1,0,"KeySet"),0),":","""",valueMaker!J310,"""")</f>
        <v>mailAddress:"Huang_Xian_Jie_44333@outlook.jp.co"</v>
      </c>
      <c r="K310" t="str" cm="1">
        <f t="array" aca="1" ref="K310" ca="1">CONCATENATE(INDIRECT(ADDRESS(1,11,1,0,"KeySet"),0),":","""",valueMaker!K310,"""")</f>
        <v>kaninSyubetu:"普通"</v>
      </c>
      <c r="L310" t="str" cm="1">
        <f t="array" aca="1" ref="L310" ca="1">CONCATENATE(INDIRECT(ADDRESS(1,12,1,0,"KeySet"),0),":","""",valueMaker!L310,"""")</f>
        <v>kaninKengenWB:"有り"</v>
      </c>
      <c r="M310" t="str" cm="1">
        <f t="array" aca="1" ref="M310" ca="1">CONCATENATE(INDIRECT(ADDRESS(1,13,1,0,"KeySet"),0),":","""",valueMaker!M310,"""")</f>
        <v>wakibiri:"5%"</v>
      </c>
      <c r="N310" t="str" cm="1">
        <f t="array" aca="1" ref="N310" ca="1">CONCATENATE(INDIRECT(ADDRESS(1,14,1,0,"KeySet"),0),":","""",valueMaker!N310,"""")</f>
        <v>kaninKengenPoint:"有り"</v>
      </c>
      <c r="O310" t="str" cm="1">
        <f t="array" aca="1" ref="O310" ca="1">CONCATENATE(INDIRECT(ADDRESS(1,15,1,0,"KeySet"),0),":","""",valueMaker!O310,"""")</f>
        <v>point:"673"</v>
      </c>
      <c r="P310" t="str" cm="1">
        <f t="array" aca="1" ref="P310" ca="1">CONCATENATE(INDIRECT(ADDRESS(1,16,1,0,"KeySet"),0),":","""",valueMaker!P310,"""")</f>
        <v>bikou:""</v>
      </c>
    </row>
    <row r="311" spans="1:16">
      <c r="A311" t="str" cm="1">
        <f t="array" aca="1" ref="A311" ca="1">CONCATENATE(INDIRECT(ADDRESS(1,1,1,0,"KeySet"),0),":","""",valueMaker!A311,"""")</f>
        <v>kainBangou:"TD10310"</v>
      </c>
      <c r="B311" t="str" cm="1">
        <f t="array" aca="1" ref="B311" ca="1">CONCATENATE(INDIRECT(ADDRESS(1,2,1,0,"KeySet"),0),":","""",valueMaker!B311,"""")</f>
        <v>kainMeiKanji:"林鳳梅"</v>
      </c>
      <c r="C311" t="str" cm="1">
        <f t="array" aca="1" ref="C311" ca="1">CONCATENATE(INDIRECT(ADDRESS(1,3,1,0,"KeySet"),0),":","""",valueMaker!C311,"""")</f>
        <v>kainMeiKana:"ﾘﾝ ﾌｵﾝ ﾒｲ"</v>
      </c>
      <c r="D311" t="str" cm="1">
        <f t="array" aca="1" ref="D311" ca="1">CONCATENATE(INDIRECT(ADDRESS(1,4,1,0,"KeySet"),0),":","""",valueMaker!D311,"""")</f>
        <v>kainMeiEn:"Lin Feng Mei"</v>
      </c>
      <c r="E311" t="str" cm="1">
        <f t="array" aca="1" ref="E311" ca="1">CONCATENATE(INDIRECT(ADDRESS(1,5,1,0,"KeySet"),0),":","""",valueMaker!E311,"""")</f>
        <v>kainGender:"男性"</v>
      </c>
      <c r="F311" t="str" cm="1">
        <f t="array" aca="1" ref="F311" ca="1">CONCATENATE(INDIRECT(ADDRESS(1,6,1,0,"KeySet"),0),":","""",TEXT(valueMaker!F311,"yyyy/m/d"),"""")</f>
        <v>tanjyoubi:"1964/3/31"</v>
      </c>
      <c r="G311" t="str" cm="1">
        <f t="array" aca="1" ref="G311" ca="1">CONCATENATE(INDIRECT(ADDRESS(1,6,1,0,"KeySet"),0),":","""",TEXT(valueMaker!G311,"yyyy/m/d"),"""")</f>
        <v>tanjyoubi:"2008/8/13"</v>
      </c>
      <c r="H311" t="str" cm="1">
        <f t="array" aca="1" ref="H311" ca="1">CONCATENATE(INDIRECT(ADDRESS(1,6,1,0,"KeySet"),0),":","""",TEXT(valueMaker!H311,"yyyy/m/d"),"""")</f>
        <v>tanjyoubi:"2009/8/13"</v>
      </c>
      <c r="I311" t="str" cm="1">
        <f t="array" aca="1" ref="I311" ca="1">CONCATENATE(INDIRECT(ADDRESS(1,9,1,0,"KeySet"),0),":","""",valueMaker!I311,"""")</f>
        <v>denwaBangou:"090-6171-0211"</v>
      </c>
      <c r="J311" t="str" cm="1">
        <f t="array" aca="1" ref="J311" ca="1">CONCATENATE(INDIRECT(ADDRESS(1,10,1,0,"KeySet"),0),":","""",valueMaker!J311,"""")</f>
        <v>mailAddress:"Lin_Feng_Mei_39673@outlook.jp.co"</v>
      </c>
      <c r="K311" t="str" cm="1">
        <f t="array" aca="1" ref="K311" ca="1">CONCATENATE(INDIRECT(ADDRESS(1,11,1,0,"KeySet"),0),":","""",valueMaker!K311,"""")</f>
        <v>kaninSyubetu:"普通"</v>
      </c>
      <c r="L311" t="str" cm="1">
        <f t="array" aca="1" ref="L311" ca="1">CONCATENATE(INDIRECT(ADDRESS(1,12,1,0,"KeySet"),0),":","""",valueMaker!L311,"""")</f>
        <v>kaninKengenWB:"有り"</v>
      </c>
      <c r="M311" t="str" cm="1">
        <f t="array" aca="1" ref="M311" ca="1">CONCATENATE(INDIRECT(ADDRESS(1,13,1,0,"KeySet"),0),":","""",valueMaker!M311,"""")</f>
        <v>wakibiri:"5%"</v>
      </c>
      <c r="N311" t="str" cm="1">
        <f t="array" aca="1" ref="N311" ca="1">CONCATENATE(INDIRECT(ADDRESS(1,14,1,0,"KeySet"),0),":","""",valueMaker!N311,"""")</f>
        <v>kaninKengenPoint:"有り"</v>
      </c>
      <c r="O311" t="str" cm="1">
        <f t="array" aca="1" ref="O311" ca="1">CONCATENATE(INDIRECT(ADDRESS(1,15,1,0,"KeySet"),0),":","""",valueMaker!O311,"""")</f>
        <v>point:"765"</v>
      </c>
      <c r="P311" t="str" cm="1">
        <f t="array" aca="1" ref="P311" ca="1">CONCATENATE(INDIRECT(ADDRESS(1,16,1,0,"KeySet"),0),":","""",valueMaker!P311,"""")</f>
        <v>bikou:""</v>
      </c>
    </row>
    <row r="312" spans="1:16">
      <c r="A312" t="str" cm="1">
        <f t="array" aca="1" ref="A312" ca="1">CONCATENATE(INDIRECT(ADDRESS(1,1,1,0,"KeySet"),0),":","""",valueMaker!A312,"""")</f>
        <v>kainBangou:"TD10311"</v>
      </c>
      <c r="B312" t="str" cm="1">
        <f t="array" aca="1" ref="B312" ca="1">CONCATENATE(INDIRECT(ADDRESS(1,2,1,0,"KeySet"),0),":","""",valueMaker!B312,"""")</f>
        <v>kainMeiKanji:"于緣杭"</v>
      </c>
      <c r="C312" t="str" cm="1">
        <f t="array" aca="1" ref="C312" ca="1">CONCATENATE(INDIRECT(ADDRESS(1,3,1,0,"KeySet"),0),":","""",valueMaker!C312,"""")</f>
        <v>kainMeiKana:"ﾕｲ ﾕｴﾝ ﾊｰﾝ"</v>
      </c>
      <c r="D312" t="str" cm="1">
        <f t="array" aca="1" ref="D312" ca="1">CONCATENATE(INDIRECT(ADDRESS(1,4,1,0,"KeySet"),0),":","""",valueMaker!D312,"""")</f>
        <v>kainMeiEn:"Yu Yuan Hang"</v>
      </c>
      <c r="E312" t="str" cm="1">
        <f t="array" aca="1" ref="E312" ca="1">CONCATENATE(INDIRECT(ADDRESS(1,5,1,0,"KeySet"),0),":","""",valueMaker!E312,"""")</f>
        <v>kainGender:"女性"</v>
      </c>
      <c r="F312" t="str" cm="1">
        <f t="array" aca="1" ref="F312" ca="1">CONCATENATE(INDIRECT(ADDRESS(1,6,1,0,"KeySet"),0),":","""",TEXT(valueMaker!F312,"yyyy/m/d"),"""")</f>
        <v>tanjyoubi:"1995/9/27"</v>
      </c>
      <c r="G312" t="str" cm="1">
        <f t="array" aca="1" ref="G312" ca="1">CONCATENATE(INDIRECT(ADDRESS(1,6,1,0,"KeySet"),0),":","""",TEXT(valueMaker!G312,"yyyy/m/d"),"""")</f>
        <v>tanjyoubi:"2021/1/26"</v>
      </c>
      <c r="H312" t="str" cm="1">
        <f t="array" aca="1" ref="H312" ca="1">CONCATENATE(INDIRECT(ADDRESS(1,6,1,0,"KeySet"),0),":","""",TEXT(valueMaker!H312,"yyyy/m/d"),"""")</f>
        <v>tanjyoubi:"2023/1/26"</v>
      </c>
      <c r="I312" t="str" cm="1">
        <f t="array" aca="1" ref="I312" ca="1">CONCATENATE(INDIRECT(ADDRESS(1,9,1,0,"KeySet"),0),":","""",valueMaker!I312,"""")</f>
        <v>denwaBangou:"090-3204-6329"</v>
      </c>
      <c r="J312" t="str" cm="1">
        <f t="array" aca="1" ref="J312" ca="1">CONCATENATE(INDIRECT(ADDRESS(1,10,1,0,"KeySet"),0),":","""",valueMaker!J312,"""")</f>
        <v>mailAddress:"Yu_Yuan_Hang_44222@outlook.jp.co"</v>
      </c>
      <c r="K312" t="str" cm="1">
        <f t="array" aca="1" ref="K312" ca="1">CONCATENATE(INDIRECT(ADDRESS(1,11,1,0,"KeySet"),0),":","""",valueMaker!K312,"""")</f>
        <v>kaninSyubetu:"普通"</v>
      </c>
      <c r="L312" t="str" cm="1">
        <f t="array" aca="1" ref="L312" ca="1">CONCATENATE(INDIRECT(ADDRESS(1,12,1,0,"KeySet"),0),":","""",valueMaker!L312,"""")</f>
        <v>kaninKengenWB:"有り"</v>
      </c>
      <c r="M312" t="str" cm="1">
        <f t="array" aca="1" ref="M312" ca="1">CONCATENATE(INDIRECT(ADDRESS(1,13,1,0,"KeySet"),0),":","""",valueMaker!M312,"""")</f>
        <v>wakibiri:"5%"</v>
      </c>
      <c r="N312" t="str" cm="1">
        <f t="array" aca="1" ref="N312" ca="1">CONCATENATE(INDIRECT(ADDRESS(1,14,1,0,"KeySet"),0),":","""",valueMaker!N312,"""")</f>
        <v>kaninKengenPoint:"有り"</v>
      </c>
      <c r="O312" t="str" cm="1">
        <f t="array" aca="1" ref="O312" ca="1">CONCATENATE(INDIRECT(ADDRESS(1,15,1,0,"KeySet"),0),":","""",valueMaker!O312,"""")</f>
        <v>point:"122"</v>
      </c>
      <c r="P312" t="str" cm="1">
        <f t="array" aca="1" ref="P312" ca="1">CONCATENATE(INDIRECT(ADDRESS(1,16,1,0,"KeySet"),0),":","""",valueMaker!P312,"""")</f>
        <v>bikou:""</v>
      </c>
    </row>
    <row r="313" spans="1:16">
      <c r="A313" t="str" cm="1">
        <f t="array" aca="1" ref="A313" ca="1">CONCATENATE(INDIRECT(ADDRESS(1,1,1,0,"KeySet"),0),":","""",valueMaker!A313,"""")</f>
        <v>kainBangou:"TD10312"</v>
      </c>
      <c r="B313" t="str" cm="1">
        <f t="array" aca="1" ref="B313" ca="1">CONCATENATE(INDIRECT(ADDRESS(1,2,1,0,"KeySet"),0),":","""",valueMaker!B313,"""")</f>
        <v>kainMeiKanji:"黃系迅"</v>
      </c>
      <c r="C313" t="str" cm="1">
        <f t="array" aca="1" ref="C313" ca="1">CONCATENATE(INDIRECT(ADDRESS(1,3,1,0,"KeySet"),0),":","""",valueMaker!C313,"""")</f>
        <v>kainMeiKana:"ﾎﾜｰﾝ ｼｲ ｼｭｲﾝ"</v>
      </c>
      <c r="D313" t="str" cm="1">
        <f t="array" aca="1" ref="D313" ca="1">CONCATENATE(INDIRECT(ADDRESS(1,4,1,0,"KeySet"),0),":","""",valueMaker!D313,"""")</f>
        <v>kainMeiEn:"Huang Xi Xun"</v>
      </c>
      <c r="E313" t="str" cm="1">
        <f t="array" aca="1" ref="E313" ca="1">CONCATENATE(INDIRECT(ADDRESS(1,5,1,0,"KeySet"),0),":","""",valueMaker!E313,"""")</f>
        <v>kainGender:"女性"</v>
      </c>
      <c r="F313" t="str" cm="1">
        <f t="array" aca="1" ref="F313" ca="1">CONCATENATE(INDIRECT(ADDRESS(1,6,1,0,"KeySet"),0),":","""",TEXT(valueMaker!F313,"yyyy/m/d"),"""")</f>
        <v>tanjyoubi:"1990/9/30"</v>
      </c>
      <c r="G313" t="str" cm="1">
        <f t="array" aca="1" ref="G313" ca="1">CONCATENATE(INDIRECT(ADDRESS(1,6,1,0,"KeySet"),0),":","""",TEXT(valueMaker!G313,"yyyy/m/d"),"""")</f>
        <v>tanjyoubi:"2013/10/11"</v>
      </c>
      <c r="H313" t="str" cm="1">
        <f t="array" aca="1" ref="H313" ca="1">CONCATENATE(INDIRECT(ADDRESS(1,6,1,0,"KeySet"),0),":","""",TEXT(valueMaker!H313,"yyyy/m/d"),"""")</f>
        <v>tanjyoubi:"2015/10/11"</v>
      </c>
      <c r="I313" t="str" cm="1">
        <f t="array" aca="1" ref="I313" ca="1">CONCATENATE(INDIRECT(ADDRESS(1,9,1,0,"KeySet"),0),":","""",valueMaker!I313,"""")</f>
        <v>denwaBangou:"090-3800-4884"</v>
      </c>
      <c r="J313" t="str" cm="1">
        <f t="array" aca="1" ref="J313" ca="1">CONCATENATE(INDIRECT(ADDRESS(1,10,1,0,"KeySet"),0),":","""",valueMaker!J313,"""")</f>
        <v>mailAddress:"Huang_Xi Xun_41558@outlook.jp.co"</v>
      </c>
      <c r="K313" t="str" cm="1">
        <f t="array" aca="1" ref="K313" ca="1">CONCATENATE(INDIRECT(ADDRESS(1,11,1,0,"KeySet"),0),":","""",valueMaker!K313,"""")</f>
        <v>kaninSyubetu:"高級"</v>
      </c>
      <c r="L313" t="str" cm="1">
        <f t="array" aca="1" ref="L313" ca="1">CONCATENATE(INDIRECT(ADDRESS(1,12,1,0,"KeySet"),0),":","""",valueMaker!L313,"""")</f>
        <v>kaninKengenWB:"有り"</v>
      </c>
      <c r="M313" t="str" cm="1">
        <f t="array" aca="1" ref="M313" ca="1">CONCATENATE(INDIRECT(ADDRESS(1,13,1,0,"KeySet"),0),":","""",valueMaker!M313,"""")</f>
        <v>wakibiri:"10%"</v>
      </c>
      <c r="N313" t="str" cm="1">
        <f t="array" aca="1" ref="N313" ca="1">CONCATENATE(INDIRECT(ADDRESS(1,14,1,0,"KeySet"),0),":","""",valueMaker!N313,"""")</f>
        <v>kaninKengenPoint:"有り"</v>
      </c>
      <c r="O313" t="str" cm="1">
        <f t="array" aca="1" ref="O313" ca="1">CONCATENATE(INDIRECT(ADDRESS(1,15,1,0,"KeySet"),0),":","""",valueMaker!O313,"""")</f>
        <v>point:"0"</v>
      </c>
      <c r="P313" t="str" cm="1">
        <f t="array" aca="1" ref="P313" ca="1">CONCATENATE(INDIRECT(ADDRESS(1,16,1,0,"KeySet"),0),":","""",valueMaker!P313,"""")</f>
        <v>bikou:""</v>
      </c>
    </row>
    <row r="314" spans="1:16">
      <c r="A314" t="str" cm="1">
        <f t="array" aca="1" ref="A314" ca="1">CONCATENATE(INDIRECT(ADDRESS(1,1,1,0,"KeySet"),0),":","""",valueMaker!A314,"""")</f>
        <v>kainBangou:"TD10313"</v>
      </c>
      <c r="B314" t="str" cm="1">
        <f t="array" aca="1" ref="B314" ca="1">CONCATENATE(INDIRECT(ADDRESS(1,2,1,0,"KeySet"),0),":","""",valueMaker!B314,"""")</f>
        <v>kainMeiKanji:"高泓索"</v>
      </c>
      <c r="C314" t="str" cm="1">
        <f t="array" aca="1" ref="C314" ca="1">CONCATENATE(INDIRECT(ADDRESS(1,3,1,0,"KeySet"),0),":","""",valueMaker!C314,"""")</f>
        <v>kainMeiKana:"ｶﾞｵ ﾎｰﾝ ｽｩｵ"</v>
      </c>
      <c r="D314" t="str" cm="1">
        <f t="array" aca="1" ref="D314" ca="1">CONCATENATE(INDIRECT(ADDRESS(1,4,1,0,"KeySet"),0),":","""",valueMaker!D314,"""")</f>
        <v>kainMeiEn:"Gao Hong Suo"</v>
      </c>
      <c r="E314" t="str" cm="1">
        <f t="array" aca="1" ref="E314" ca="1">CONCATENATE(INDIRECT(ADDRESS(1,5,1,0,"KeySet"),0),":","""",valueMaker!E314,"""")</f>
        <v>kainGender:"男性"</v>
      </c>
      <c r="F314" t="str" cm="1">
        <f t="array" aca="1" ref="F314" ca="1">CONCATENATE(INDIRECT(ADDRESS(1,6,1,0,"KeySet"),0),":","""",TEXT(valueMaker!F314,"yyyy/m/d"),"""")</f>
        <v>tanjyoubi:"1981/1/20"</v>
      </c>
      <c r="G314" t="str" cm="1">
        <f t="array" aca="1" ref="G314" ca="1">CONCATENATE(INDIRECT(ADDRESS(1,6,1,0,"KeySet"),0),":","""",TEXT(valueMaker!G314,"yyyy/m/d"),"""")</f>
        <v>tanjyoubi:"2008/5/25"</v>
      </c>
      <c r="H314" t="str" cm="1">
        <f t="array" aca="1" ref="H314" ca="1">CONCATENATE(INDIRECT(ADDRESS(1,6,1,0,"KeySet"),0),":","""",TEXT(valueMaker!H314,"yyyy/m/d"),"""")</f>
        <v>tanjyoubi:"2010/5/25"</v>
      </c>
      <c r="I314" t="str" cm="1">
        <f t="array" aca="1" ref="I314" ca="1">CONCATENATE(INDIRECT(ADDRESS(1,9,1,0,"KeySet"),0),":","""",valueMaker!I314,"""")</f>
        <v>denwaBangou:"080-8587-9719"</v>
      </c>
      <c r="J314" t="str" cm="1">
        <f t="array" aca="1" ref="J314" ca="1">CONCATENATE(INDIRECT(ADDRESS(1,10,1,0,"KeySet"),0),":","""",valueMaker!J314,"""")</f>
        <v>mailAddress:"Gao_Hong_Suo_39593@outlook.jp.co"</v>
      </c>
      <c r="K314" t="str" cm="1">
        <f t="array" aca="1" ref="K314" ca="1">CONCATENATE(INDIRECT(ADDRESS(1,11,1,0,"KeySet"),0),":","""",valueMaker!K314,"""")</f>
        <v>kaninSyubetu:"高級"</v>
      </c>
      <c r="L314" t="str" cm="1">
        <f t="array" aca="1" ref="L314" ca="1">CONCATENATE(INDIRECT(ADDRESS(1,12,1,0,"KeySet"),0),":","""",valueMaker!L314,"""")</f>
        <v>kaninKengenWB:"有り"</v>
      </c>
      <c r="M314" t="str" cm="1">
        <f t="array" aca="1" ref="M314" ca="1">CONCATENATE(INDIRECT(ADDRESS(1,13,1,0,"KeySet"),0),":","""",valueMaker!M314,"""")</f>
        <v>wakibiri:"10%"</v>
      </c>
      <c r="N314" t="str" cm="1">
        <f t="array" aca="1" ref="N314" ca="1">CONCATENATE(INDIRECT(ADDRESS(1,14,1,0,"KeySet"),0),":","""",valueMaker!N314,"""")</f>
        <v>kaninKengenPoint:"有り"</v>
      </c>
      <c r="O314" t="str" cm="1">
        <f t="array" aca="1" ref="O314" ca="1">CONCATENATE(INDIRECT(ADDRESS(1,15,1,0,"KeySet"),0),":","""",valueMaker!O314,"""")</f>
        <v>point:"544"</v>
      </c>
      <c r="P314" t="str" cm="1">
        <f t="array" aca="1" ref="P314" ca="1">CONCATENATE(INDIRECT(ADDRESS(1,16,1,0,"KeySet"),0),":","""",valueMaker!P314,"""")</f>
        <v>bikou:""</v>
      </c>
    </row>
    <row r="315" spans="1:16">
      <c r="A315" t="str" cm="1">
        <f t="array" aca="1" ref="A315" ca="1">CONCATENATE(INDIRECT(ADDRESS(1,1,1,0,"KeySet"),0),":","""",valueMaker!A315,"""")</f>
        <v>kainBangou:"TD10314"</v>
      </c>
      <c r="B315" t="str" cm="1">
        <f t="array" aca="1" ref="B315" ca="1">CONCATENATE(INDIRECT(ADDRESS(1,2,1,0,"KeySet"),0),":","""",valueMaker!B315,"""")</f>
        <v>kainMeiKanji:"吳軒荒"</v>
      </c>
      <c r="C315" t="str" cm="1">
        <f t="array" aca="1" ref="C315" ca="1">CONCATENATE(INDIRECT(ADDRESS(1,3,1,0,"KeySet"),0),":","""",valueMaker!C315,"""")</f>
        <v>kainMeiKana:"ｳｰ ｼｭｴﾝ ﾎﾜｰﾝ"</v>
      </c>
      <c r="D315" t="str" cm="1">
        <f t="array" aca="1" ref="D315" ca="1">CONCATENATE(INDIRECT(ADDRESS(1,4,1,0,"KeySet"),0),":","""",valueMaker!D315,"""")</f>
        <v>kainMeiEn:"Wu Xuan Huang"</v>
      </c>
      <c r="E315" t="str" cm="1">
        <f t="array" aca="1" ref="E315" ca="1">CONCATENATE(INDIRECT(ADDRESS(1,5,1,0,"KeySet"),0),":","""",valueMaker!E315,"""")</f>
        <v>kainGender:"男性"</v>
      </c>
      <c r="F315" t="str" cm="1">
        <f t="array" aca="1" ref="F315" ca="1">CONCATENATE(INDIRECT(ADDRESS(1,6,1,0,"KeySet"),0),":","""",TEXT(valueMaker!F315,"yyyy/m/d"),"""")</f>
        <v>tanjyoubi:"1999/12/26"</v>
      </c>
      <c r="G315" t="str" cm="1">
        <f t="array" aca="1" ref="G315" ca="1">CONCATENATE(INDIRECT(ADDRESS(1,6,1,0,"KeySet"),0),":","""",TEXT(valueMaker!G315,"yyyy/m/d"),"""")</f>
        <v>tanjyoubi:"2022/3/4"</v>
      </c>
      <c r="H315" t="str" cm="1">
        <f t="array" aca="1" ref="H315" ca="1">CONCATENATE(INDIRECT(ADDRESS(1,6,1,0,"KeySet"),0),":","""",TEXT(valueMaker!H315,"yyyy/m/d"),"""")</f>
        <v>tanjyoubi:"2024/3/3"</v>
      </c>
      <c r="I315" t="str" cm="1">
        <f t="array" aca="1" ref="I315" ca="1">CONCATENATE(INDIRECT(ADDRESS(1,9,1,0,"KeySet"),0),":","""",valueMaker!I315,"""")</f>
        <v>denwaBangou:"080-6564-3048"</v>
      </c>
      <c r="J315" t="str" cm="1">
        <f t="array" aca="1" ref="J315" ca="1">CONCATENATE(INDIRECT(ADDRESS(1,10,1,0,"KeySet"),0),":","""",valueMaker!J315,"""")</f>
        <v>mailAddress:"Wu_Xuan_Huang_44624@outlook.jp.co"</v>
      </c>
      <c r="K315" t="str" cm="1">
        <f t="array" aca="1" ref="K315" ca="1">CONCATENATE(INDIRECT(ADDRESS(1,11,1,0,"KeySet"),0),":","""",valueMaker!K315,"""")</f>
        <v>kaninSyubetu:"高級"</v>
      </c>
      <c r="L315" t="str" cm="1">
        <f t="array" aca="1" ref="L315" ca="1">CONCATENATE(INDIRECT(ADDRESS(1,12,1,0,"KeySet"),0),":","""",valueMaker!L315,"""")</f>
        <v>kaninKengenWB:"有り"</v>
      </c>
      <c r="M315" t="str" cm="1">
        <f t="array" aca="1" ref="M315" ca="1">CONCATENATE(INDIRECT(ADDRESS(1,13,1,0,"KeySet"),0),":","""",valueMaker!M315,"""")</f>
        <v>wakibiri:"10%"</v>
      </c>
      <c r="N315" t="str" cm="1">
        <f t="array" aca="1" ref="N315" ca="1">CONCATENATE(INDIRECT(ADDRESS(1,14,1,0,"KeySet"),0),":","""",valueMaker!N315,"""")</f>
        <v>kaninKengenPoint:"有り"</v>
      </c>
      <c r="O315" t="str" cm="1">
        <f t="array" aca="1" ref="O315" ca="1">CONCATENATE(INDIRECT(ADDRESS(1,15,1,0,"KeySet"),0),":","""",valueMaker!O315,"""")</f>
        <v>point:"248"</v>
      </c>
      <c r="P315" t="str" cm="1">
        <f t="array" aca="1" ref="P315" ca="1">CONCATENATE(INDIRECT(ADDRESS(1,16,1,0,"KeySet"),0),":","""",valueMaker!P315,"""")</f>
        <v>bikou:""</v>
      </c>
    </row>
    <row r="316" spans="1:16">
      <c r="A316" t="str" cm="1">
        <f t="array" aca="1" ref="A316" ca="1">CONCATENATE(INDIRECT(ADDRESS(1,1,1,0,"KeySet"),0),":","""",valueMaker!A316,"""")</f>
        <v>kainBangou:"TD10315"</v>
      </c>
      <c r="B316" t="str" cm="1">
        <f t="array" aca="1" ref="B316" ca="1">CONCATENATE(INDIRECT(ADDRESS(1,2,1,0,"KeySet"),0),":","""",valueMaker!B316,"""")</f>
        <v>kainMeiKanji:"宋美貿"</v>
      </c>
      <c r="C316" t="str" cm="1">
        <f t="array" aca="1" ref="C316" ca="1">CONCATENATE(INDIRECT(ADDRESS(1,3,1,0,"KeySet"),0),":","""",valueMaker!C316,"""")</f>
        <v>kainMeiKana:"ｿｰﾝ ﾒｲ ﾏｵ"</v>
      </c>
      <c r="D316" t="str" cm="1">
        <f t="array" aca="1" ref="D316" ca="1">CONCATENATE(INDIRECT(ADDRESS(1,4,1,0,"KeySet"),0),":","""",valueMaker!D316,"""")</f>
        <v>kainMeiEn:"Song Mei Mao"</v>
      </c>
      <c r="E316" t="str" cm="1">
        <f t="array" aca="1" ref="E316" ca="1">CONCATENATE(INDIRECT(ADDRESS(1,5,1,0,"KeySet"),0),":","""",valueMaker!E316,"""")</f>
        <v>kainGender:"女性"</v>
      </c>
      <c r="F316" t="str" cm="1">
        <f t="array" aca="1" ref="F316" ca="1">CONCATENATE(INDIRECT(ADDRESS(1,6,1,0,"KeySet"),0),":","""",TEXT(valueMaker!F316,"yyyy/m/d"),"""")</f>
        <v>tanjyoubi:"1963/3/31"</v>
      </c>
      <c r="G316" t="str" cm="1">
        <f t="array" aca="1" ref="G316" ca="1">CONCATENATE(INDIRECT(ADDRESS(1,6,1,0,"KeySet"),0),":","""",TEXT(valueMaker!G316,"yyyy/m/d"),"""")</f>
        <v>tanjyoubi:"2023/8/5"</v>
      </c>
      <c r="H316" t="str" cm="1">
        <f t="array" aca="1" ref="H316" ca="1">CONCATENATE(INDIRECT(ADDRESS(1,6,1,0,"KeySet"),0),":","""",TEXT(valueMaker!H316,"yyyy/m/d"),"""")</f>
        <v>tanjyoubi:"2025/8/4"</v>
      </c>
      <c r="I316" t="str" cm="1">
        <f t="array" aca="1" ref="I316" ca="1">CONCATENATE(INDIRECT(ADDRESS(1,9,1,0,"KeySet"),0),":","""",valueMaker!I316,"""")</f>
        <v>denwaBangou:"090-6539-1994"</v>
      </c>
      <c r="J316" t="str" cm="1">
        <f t="array" aca="1" ref="J316" ca="1">CONCATENATE(INDIRECT(ADDRESS(1,10,1,0,"KeySet"),0),":","""",valueMaker!J316,"""")</f>
        <v>mailAddress:"Song_Mei_Mao_45143@outlook.jp.co"</v>
      </c>
      <c r="K316" t="str" cm="1">
        <f t="array" aca="1" ref="K316" ca="1">CONCATENATE(INDIRECT(ADDRESS(1,11,1,0,"KeySet"),0),":","""",valueMaker!K316,"""")</f>
        <v>kaninSyubetu:"高級"</v>
      </c>
      <c r="L316" t="str" cm="1">
        <f t="array" aca="1" ref="L316" ca="1">CONCATENATE(INDIRECT(ADDRESS(1,12,1,0,"KeySet"),0),":","""",valueMaker!L316,"""")</f>
        <v>kaninKengenWB:"有り"</v>
      </c>
      <c r="M316" t="str" cm="1">
        <f t="array" aca="1" ref="M316" ca="1">CONCATENATE(INDIRECT(ADDRESS(1,13,1,0,"KeySet"),0),":","""",valueMaker!M316,"""")</f>
        <v>wakibiri:"10%"</v>
      </c>
      <c r="N316" t="str" cm="1">
        <f t="array" aca="1" ref="N316" ca="1">CONCATENATE(INDIRECT(ADDRESS(1,14,1,0,"KeySet"),0),":","""",valueMaker!N316,"""")</f>
        <v>kaninKengenPoint:"有り"</v>
      </c>
      <c r="O316" t="str" cm="1">
        <f t="array" aca="1" ref="O316" ca="1">CONCATENATE(INDIRECT(ADDRESS(1,15,1,0,"KeySet"),0),":","""",valueMaker!O316,"""")</f>
        <v>point:"238"</v>
      </c>
      <c r="P316" t="str" cm="1">
        <f t="array" aca="1" ref="P316" ca="1">CONCATENATE(INDIRECT(ADDRESS(1,16,1,0,"KeySet"),0),":","""",valueMaker!P316,"""")</f>
        <v>bikou:""</v>
      </c>
    </row>
    <row r="317" spans="1:16">
      <c r="A317" t="str" cm="1">
        <f t="array" aca="1" ref="A317" ca="1">CONCATENATE(INDIRECT(ADDRESS(1,1,1,0,"KeySet"),0),":","""",valueMaker!A317,"""")</f>
        <v>kainBangou:"TD10316"</v>
      </c>
      <c r="B317" t="str" cm="1">
        <f t="array" aca="1" ref="B317" ca="1">CONCATENATE(INDIRECT(ADDRESS(1,2,1,0,"KeySet"),0),":","""",valueMaker!B317,"""")</f>
        <v>kainMeiKanji:"羅茂韋"</v>
      </c>
      <c r="C317" t="str" cm="1">
        <f t="array" aca="1" ref="C317" ca="1">CONCATENATE(INDIRECT(ADDRESS(1,3,1,0,"KeySet"),0),":","""",valueMaker!C317,"""")</f>
        <v>kainMeiKana:"ﾙｵ ﾏｵ ｳｴｲ"</v>
      </c>
      <c r="D317" t="str" cm="1">
        <f t="array" aca="1" ref="D317" ca="1">CONCATENATE(INDIRECT(ADDRESS(1,4,1,0,"KeySet"),0),":","""",valueMaker!D317,"""")</f>
        <v>kainMeiEn:"Luo Mao Wei"</v>
      </c>
      <c r="E317" t="str" cm="1">
        <f t="array" aca="1" ref="E317" ca="1">CONCATENATE(INDIRECT(ADDRESS(1,5,1,0,"KeySet"),0),":","""",valueMaker!E317,"""")</f>
        <v>kainGender:"男性"</v>
      </c>
      <c r="F317" t="str" cm="1">
        <f t="array" aca="1" ref="F317" ca="1">CONCATENATE(INDIRECT(ADDRESS(1,6,1,0,"KeySet"),0),":","""",TEXT(valueMaker!F317,"yyyy/m/d"),"""")</f>
        <v>tanjyoubi:"2006/4/5"</v>
      </c>
      <c r="G317" t="str" cm="1">
        <f t="array" aca="1" ref="G317" ca="1">CONCATENATE(INDIRECT(ADDRESS(1,6,1,0,"KeySet"),0),":","""",TEXT(valueMaker!G317,"yyyy/m/d"),"""")</f>
        <v>tanjyoubi:"2024/6/7"</v>
      </c>
      <c r="H317" t="str" cm="1">
        <f t="array" aca="1" ref="H317" ca="1">CONCATENATE(INDIRECT(ADDRESS(1,6,1,0,"KeySet"),0),":","""",TEXT(valueMaker!H317,"yyyy/m/d"),"""")</f>
        <v>tanjyoubi:"2025/6/7"</v>
      </c>
      <c r="I317" t="str" cm="1">
        <f t="array" aca="1" ref="I317" ca="1">CONCATENATE(INDIRECT(ADDRESS(1,9,1,0,"KeySet"),0),":","""",valueMaker!I317,"""")</f>
        <v>denwaBangou:"080-4611-3438"</v>
      </c>
      <c r="J317" t="str" cm="1">
        <f t="array" aca="1" ref="J317" ca="1">CONCATENATE(INDIRECT(ADDRESS(1,10,1,0,"KeySet"),0),":","""",valueMaker!J317,"""")</f>
        <v>mailAddress:"Luo_Mao_Wei_45450@outlook.jp.co"</v>
      </c>
      <c r="K317" t="str" cm="1">
        <f t="array" aca="1" ref="K317" ca="1">CONCATENATE(INDIRECT(ADDRESS(1,11,1,0,"KeySet"),0),":","""",valueMaker!K317,"""")</f>
        <v>kaninSyubetu:"高級"</v>
      </c>
      <c r="L317" t="str" cm="1">
        <f t="array" aca="1" ref="L317" ca="1">CONCATENATE(INDIRECT(ADDRESS(1,12,1,0,"KeySet"),0),":","""",valueMaker!L317,"""")</f>
        <v>kaninKengenWB:"有り"</v>
      </c>
      <c r="M317" t="str" cm="1">
        <f t="array" aca="1" ref="M317" ca="1">CONCATENATE(INDIRECT(ADDRESS(1,13,1,0,"KeySet"),0),":","""",valueMaker!M317,"""")</f>
        <v>wakibiri:"10%"</v>
      </c>
      <c r="N317" t="str" cm="1">
        <f t="array" aca="1" ref="N317" ca="1">CONCATENATE(INDIRECT(ADDRESS(1,14,1,0,"KeySet"),0),":","""",valueMaker!N317,"""")</f>
        <v>kaninKengenPoint:"有り"</v>
      </c>
      <c r="O317" t="str" cm="1">
        <f t="array" aca="1" ref="O317" ca="1">CONCATENATE(INDIRECT(ADDRESS(1,15,1,0,"KeySet"),0),":","""",valueMaker!O317,"""")</f>
        <v>point:"289"</v>
      </c>
      <c r="P317" t="str" cm="1">
        <f t="array" aca="1" ref="P317" ca="1">CONCATENATE(INDIRECT(ADDRESS(1,16,1,0,"KeySet"),0),":","""",valueMaker!P317,"""")</f>
        <v>bikou:""</v>
      </c>
    </row>
    <row r="318" spans="1:16">
      <c r="A318" t="str" cm="1">
        <f t="array" aca="1" ref="A318" ca="1">CONCATENATE(INDIRECT(ADDRESS(1,1,1,0,"KeySet"),0),":","""",valueMaker!A318,"""")</f>
        <v>kainBangou:"TD10317"</v>
      </c>
      <c r="B318" t="str" cm="1">
        <f t="array" aca="1" ref="B318" ca="1">CONCATENATE(INDIRECT(ADDRESS(1,2,1,0,"KeySet"),0),":","""",valueMaker!B318,"""")</f>
        <v>kainMeiKanji:"楊木學"</v>
      </c>
      <c r="C318" t="str" cm="1">
        <f t="array" aca="1" ref="C318" ca="1">CONCATENATE(INDIRECT(ADDRESS(1,3,1,0,"KeySet"),0),":","""",valueMaker!C318,"""")</f>
        <v>kainMeiKana:"ﾔｰﾝ ﾑｩ ｼｭｴ"</v>
      </c>
      <c r="D318" t="str" cm="1">
        <f t="array" aca="1" ref="D318" ca="1">CONCATENATE(INDIRECT(ADDRESS(1,4,1,0,"KeySet"),0),":","""",valueMaker!D318,"""")</f>
        <v>kainMeiEn:"Yang Mu Xue"</v>
      </c>
      <c r="E318" t="str" cm="1">
        <f t="array" aca="1" ref="E318" ca="1">CONCATENATE(INDIRECT(ADDRESS(1,5,1,0,"KeySet"),0),":","""",valueMaker!E318,"""")</f>
        <v>kainGender:"女性"</v>
      </c>
      <c r="F318" t="str" cm="1">
        <f t="array" aca="1" ref="F318" ca="1">CONCATENATE(INDIRECT(ADDRESS(1,6,1,0,"KeySet"),0),":","""",TEXT(valueMaker!F318,"yyyy/m/d"),"""")</f>
        <v>tanjyoubi:"1993/3/7"</v>
      </c>
      <c r="G318" t="str" cm="1">
        <f t="array" aca="1" ref="G318" ca="1">CONCATENATE(INDIRECT(ADDRESS(1,6,1,0,"KeySet"),0),":","""",TEXT(valueMaker!G318,"yyyy/m/d"),"""")</f>
        <v>tanjyoubi:"2013/10/3"</v>
      </c>
      <c r="H318" t="str" cm="1">
        <f t="array" aca="1" ref="H318" ca="1">CONCATENATE(INDIRECT(ADDRESS(1,6,1,0,"KeySet"),0),":","""",TEXT(valueMaker!H318,"yyyy/m/d"),"""")</f>
        <v>tanjyoubi:"2014/10/3"</v>
      </c>
      <c r="I318" t="str" cm="1">
        <f t="array" aca="1" ref="I318" ca="1">CONCATENATE(INDIRECT(ADDRESS(1,9,1,0,"KeySet"),0),":","""",valueMaker!I318,"""")</f>
        <v>denwaBangou:"090-5947-7534"</v>
      </c>
      <c r="J318" t="str" cm="1">
        <f t="array" aca="1" ref="J318" ca="1">CONCATENATE(INDIRECT(ADDRESS(1,10,1,0,"KeySet"),0),":","""",valueMaker!J318,"""")</f>
        <v>mailAddress:"Yang_Mu_Xue_41550@outlook.jp.co"</v>
      </c>
      <c r="K318" t="str" cm="1">
        <f t="array" aca="1" ref="K318" ca="1">CONCATENATE(INDIRECT(ADDRESS(1,11,1,0,"KeySet"),0),":","""",valueMaker!K318,"""")</f>
        <v>kaninSyubetu:"普通"</v>
      </c>
      <c r="L318" t="str" cm="1">
        <f t="array" aca="1" ref="L318" ca="1">CONCATENATE(INDIRECT(ADDRESS(1,12,1,0,"KeySet"),0),":","""",valueMaker!L318,"""")</f>
        <v>kaninKengenWB:"有り"</v>
      </c>
      <c r="M318" t="str" cm="1">
        <f t="array" aca="1" ref="M318" ca="1">CONCATENATE(INDIRECT(ADDRESS(1,13,1,0,"KeySet"),0),":","""",valueMaker!M318,"""")</f>
        <v>wakibiri:"5%"</v>
      </c>
      <c r="N318" t="str" cm="1">
        <f t="array" aca="1" ref="N318" ca="1">CONCATENATE(INDIRECT(ADDRESS(1,14,1,0,"KeySet"),0),":","""",valueMaker!N318,"""")</f>
        <v>kaninKengenPoint:"-"</v>
      </c>
      <c r="O318" t="str" cm="1">
        <f t="array" aca="1" ref="O318" ca="1">CONCATENATE(INDIRECT(ADDRESS(1,15,1,0,"KeySet"),0),":","""",valueMaker!O318,"""")</f>
        <v>point:"-"</v>
      </c>
      <c r="P318" t="str" cm="1">
        <f t="array" aca="1" ref="P318" ca="1">CONCATENATE(INDIRECT(ADDRESS(1,16,1,0,"KeySet"),0),":","""",valueMaker!P318,"""")</f>
        <v>bikou:""</v>
      </c>
    </row>
    <row r="319" spans="1:16">
      <c r="A319" t="str" cm="1">
        <f t="array" aca="1" ref="A319" ca="1">CONCATENATE(INDIRECT(ADDRESS(1,1,1,0,"KeySet"),0),":","""",valueMaker!A319,"""")</f>
        <v>kainBangou:"TD10318"</v>
      </c>
      <c r="B319" t="str" cm="1">
        <f t="array" aca="1" ref="B319" ca="1">CONCATENATE(INDIRECT(ADDRESS(1,2,1,0,"KeySet"),0),":","""",valueMaker!B319,"""")</f>
        <v>kainMeiKanji:"何林會"</v>
      </c>
      <c r="C319" t="str" cm="1">
        <f t="array" aca="1" ref="C319" ca="1">CONCATENATE(INDIRECT(ADDRESS(1,3,1,0,"KeySet"),0),":","""",valueMaker!C319,"""")</f>
        <v>kainMeiKana:"ﾎｰｧ ﾘﾝ ﾎｩｲ"</v>
      </c>
      <c r="D319" t="str" cm="1">
        <f t="array" aca="1" ref="D319" ca="1">CONCATENATE(INDIRECT(ADDRESS(1,4,1,0,"KeySet"),0),":","""",valueMaker!D319,"""")</f>
        <v>kainMeiEn:"He Lin Hui"</v>
      </c>
      <c r="E319" t="str" cm="1">
        <f t="array" aca="1" ref="E319" ca="1">CONCATENATE(INDIRECT(ADDRESS(1,5,1,0,"KeySet"),0),":","""",valueMaker!E319,"""")</f>
        <v>kainGender:"女性"</v>
      </c>
      <c r="F319" t="str" cm="1">
        <f t="array" aca="1" ref="F319" ca="1">CONCATENATE(INDIRECT(ADDRESS(1,6,1,0,"KeySet"),0),":","""",TEXT(valueMaker!F319,"yyyy/m/d"),"""")</f>
        <v>tanjyoubi:"2003/6/12"</v>
      </c>
      <c r="G319" t="str" cm="1">
        <f t="array" aca="1" ref="G319" ca="1">CONCATENATE(INDIRECT(ADDRESS(1,6,1,0,"KeySet"),0),":","""",TEXT(valueMaker!G319,"yyyy/m/d"),"""")</f>
        <v>tanjyoubi:"2023/10/5"</v>
      </c>
      <c r="H319" t="str" cm="1">
        <f t="array" aca="1" ref="H319" ca="1">CONCATENATE(INDIRECT(ADDRESS(1,6,1,0,"KeySet"),0),":","""",TEXT(valueMaker!H319,"yyyy/m/d"),"""")</f>
        <v>tanjyoubi:"2025/10/4"</v>
      </c>
      <c r="I319" t="str" cm="1">
        <f t="array" aca="1" ref="I319" ca="1">CONCATENATE(INDIRECT(ADDRESS(1,9,1,0,"KeySet"),0),":","""",valueMaker!I319,"""")</f>
        <v>denwaBangou:"090-0749-4924"</v>
      </c>
      <c r="J319" t="str" cm="1">
        <f t="array" aca="1" ref="J319" ca="1">CONCATENATE(INDIRECT(ADDRESS(1,10,1,0,"KeySet"),0),":","""",valueMaker!J319,"""")</f>
        <v>mailAddress:"He_Lin Hui_45204@outlook.jp.co"</v>
      </c>
      <c r="K319" t="str" cm="1">
        <f t="array" aca="1" ref="K319" ca="1">CONCATENATE(INDIRECT(ADDRESS(1,11,1,0,"KeySet"),0),":","""",valueMaker!K319,"""")</f>
        <v>kaninSyubetu:"普通"</v>
      </c>
      <c r="L319" t="str" cm="1">
        <f t="array" aca="1" ref="L319" ca="1">CONCATENATE(INDIRECT(ADDRESS(1,12,1,0,"KeySet"),0),":","""",valueMaker!L319,"""")</f>
        <v>kaninKengenWB:"有り"</v>
      </c>
      <c r="M319" t="str" cm="1">
        <f t="array" aca="1" ref="M319" ca="1">CONCATENATE(INDIRECT(ADDRESS(1,13,1,0,"KeySet"),0),":","""",valueMaker!M319,"""")</f>
        <v>wakibiri:"5%"</v>
      </c>
      <c r="N319" t="str" cm="1">
        <f t="array" aca="1" ref="N319" ca="1">CONCATENATE(INDIRECT(ADDRESS(1,14,1,0,"KeySet"),0),":","""",valueMaker!N319,"""")</f>
        <v>kaninKengenPoint:"有り"</v>
      </c>
      <c r="O319" t="str" cm="1">
        <f t="array" aca="1" ref="O319" ca="1">CONCATENATE(INDIRECT(ADDRESS(1,15,1,0,"KeySet"),0),":","""",valueMaker!O319,"""")</f>
        <v>point:"476"</v>
      </c>
      <c r="P319" t="str" cm="1">
        <f t="array" aca="1" ref="P319" ca="1">CONCATENATE(INDIRECT(ADDRESS(1,16,1,0,"KeySet"),0),":","""",valueMaker!P319,"""")</f>
        <v>bikou:""</v>
      </c>
    </row>
    <row r="320" spans="1:16">
      <c r="A320" t="str" cm="1">
        <f t="array" aca="1" ref="A320" ca="1">CONCATENATE(INDIRECT(ADDRESS(1,1,1,0,"KeySet"),0),":","""",valueMaker!A320,"""")</f>
        <v>kainBangou:"TD10319"</v>
      </c>
      <c r="B320" t="str" cm="1">
        <f t="array" aca="1" ref="B320" ca="1">CONCATENATE(INDIRECT(ADDRESS(1,2,1,0,"KeySet"),0),":","""",valueMaker!B320,"""")</f>
        <v>kainMeiKanji:"梁心禹"</v>
      </c>
      <c r="C320" t="str" cm="1">
        <f t="array" aca="1" ref="C320" ca="1">CONCATENATE(INDIRECT(ADDRESS(1,3,1,0,"KeySet"),0),":","""",valueMaker!C320,"""")</f>
        <v>kainMeiKana:"ﾘﾔｰﾝ ｼﾝ ﾕｲ"</v>
      </c>
      <c r="D320" t="str" cm="1">
        <f t="array" aca="1" ref="D320" ca="1">CONCATENATE(INDIRECT(ADDRESS(1,4,1,0,"KeySet"),0),":","""",valueMaker!D320,"""")</f>
        <v>kainMeiEn:"Liang Xin Yu"</v>
      </c>
      <c r="E320" t="str" cm="1">
        <f t="array" aca="1" ref="E320" ca="1">CONCATENATE(INDIRECT(ADDRESS(1,5,1,0,"KeySet"),0),":","""",valueMaker!E320,"""")</f>
        <v>kainGender:"女性"</v>
      </c>
      <c r="F320" t="str" cm="1">
        <f t="array" aca="1" ref="F320" ca="1">CONCATENATE(INDIRECT(ADDRESS(1,6,1,0,"KeySet"),0),":","""",TEXT(valueMaker!F320,"yyyy/m/d"),"""")</f>
        <v>tanjyoubi:"2002/3/20"</v>
      </c>
      <c r="G320" t="str" cm="1">
        <f t="array" aca="1" ref="G320" ca="1">CONCATENATE(INDIRECT(ADDRESS(1,6,1,0,"KeySet"),0),":","""",TEXT(valueMaker!G320,"yyyy/m/d"),"""")</f>
        <v>tanjyoubi:"2023/2/16"</v>
      </c>
      <c r="H320" t="str" cm="1">
        <f t="array" aca="1" ref="H320" ca="1">CONCATENATE(INDIRECT(ADDRESS(1,6,1,0,"KeySet"),0),":","""",TEXT(valueMaker!H320,"yyyy/m/d"),"""")</f>
        <v>tanjyoubi:"2026/2/15"</v>
      </c>
      <c r="I320" t="str" cm="1">
        <f t="array" aca="1" ref="I320" ca="1">CONCATENATE(INDIRECT(ADDRESS(1,9,1,0,"KeySet"),0),":","""",valueMaker!I320,"""")</f>
        <v>denwaBangou:"080-7192-4906"</v>
      </c>
      <c r="J320" t="str" cm="1">
        <f t="array" aca="1" ref="J320" ca="1">CONCATENATE(INDIRECT(ADDRESS(1,10,1,0,"KeySet"),0),":","""",valueMaker!J320,"""")</f>
        <v>mailAddress:"Liang_Xin_Yu_44973@outlook.jp.co"</v>
      </c>
      <c r="K320" t="str" cm="1">
        <f t="array" aca="1" ref="K320" ca="1">CONCATENATE(INDIRECT(ADDRESS(1,11,1,0,"KeySet"),0),":","""",valueMaker!K320,"""")</f>
        <v>kaninSyubetu:"普通"</v>
      </c>
      <c r="L320" t="str" cm="1">
        <f t="array" aca="1" ref="L320" ca="1">CONCATENATE(INDIRECT(ADDRESS(1,12,1,0,"KeySet"),0),":","""",valueMaker!L320,"""")</f>
        <v>kaninKengenWB:"有り"</v>
      </c>
      <c r="M320" t="str" cm="1">
        <f t="array" aca="1" ref="M320" ca="1">CONCATENATE(INDIRECT(ADDRESS(1,13,1,0,"KeySet"),0),":","""",valueMaker!M320,"""")</f>
        <v>wakibiri:"5%"</v>
      </c>
      <c r="N320" t="str" cm="1">
        <f t="array" aca="1" ref="N320" ca="1">CONCATENATE(INDIRECT(ADDRESS(1,14,1,0,"KeySet"),0),":","""",valueMaker!N320,"""")</f>
        <v>kaninKengenPoint:"有り"</v>
      </c>
      <c r="O320" t="str" cm="1">
        <f t="array" aca="1" ref="O320" ca="1">CONCATENATE(INDIRECT(ADDRESS(1,15,1,0,"KeySet"),0),":","""",valueMaker!O320,"""")</f>
        <v>point:"50"</v>
      </c>
      <c r="P320" t="str" cm="1">
        <f t="array" aca="1" ref="P320" ca="1">CONCATENATE(INDIRECT(ADDRESS(1,16,1,0,"KeySet"),0),":","""",valueMaker!P320,"""")</f>
        <v>bikou:""</v>
      </c>
    </row>
    <row r="321" spans="1:16">
      <c r="A321" t="str" cm="1">
        <f t="array" aca="1" ref="A321" ca="1">CONCATENATE(INDIRECT(ADDRESS(1,1,1,0,"KeySet"),0),":","""",valueMaker!A321,"""")</f>
        <v>kainBangou:"TD10320"</v>
      </c>
      <c r="B321" t="str" cm="1">
        <f t="array" aca="1" ref="B321" ca="1">CONCATENATE(INDIRECT(ADDRESS(1,2,1,0,"KeySet"),0),":","""",valueMaker!B321,"""")</f>
        <v>kainMeiKanji:"徐驕健"</v>
      </c>
      <c r="C321" t="str" cm="1">
        <f t="array" aca="1" ref="C321" ca="1">CONCATENATE(INDIRECT(ADDRESS(1,3,1,0,"KeySet"),0),":","""",valueMaker!C321,"""")</f>
        <v>kainMeiKana:"ｼｭｲ ｼﾞｱｵ ｼﾞｴﾝ"</v>
      </c>
      <c r="D321" t="str" cm="1">
        <f t="array" aca="1" ref="D321" ca="1">CONCATENATE(INDIRECT(ADDRESS(1,4,1,0,"KeySet"),0),":","""",valueMaker!D321,"""")</f>
        <v>kainMeiEn:"Xu Jiao Jian"</v>
      </c>
      <c r="E321" t="str" cm="1">
        <f t="array" aca="1" ref="E321" ca="1">CONCATENATE(INDIRECT(ADDRESS(1,5,1,0,"KeySet"),0),":","""",valueMaker!E321,"""")</f>
        <v>kainGender:"男性"</v>
      </c>
      <c r="F321" t="str" cm="1">
        <f t="array" aca="1" ref="F321" ca="1">CONCATENATE(INDIRECT(ADDRESS(1,6,1,0,"KeySet"),0),":","""",TEXT(valueMaker!F321,"yyyy/m/d"),"""")</f>
        <v>tanjyoubi:"1974/11/25"</v>
      </c>
      <c r="G321" t="str" cm="1">
        <f t="array" aca="1" ref="G321" ca="1">CONCATENATE(INDIRECT(ADDRESS(1,6,1,0,"KeySet"),0),":","""",TEXT(valueMaker!G321,"yyyy/m/d"),"""")</f>
        <v>tanjyoubi:"1994/9/24"</v>
      </c>
      <c r="H321" t="str" cm="1">
        <f t="array" aca="1" ref="H321" ca="1">CONCATENATE(INDIRECT(ADDRESS(1,6,1,0,"KeySet"),0),":","""",TEXT(valueMaker!H321,"yyyy/m/d"),"""")</f>
        <v>tanjyoubi:"1995/9/24"</v>
      </c>
      <c r="I321" t="str" cm="1">
        <f t="array" aca="1" ref="I321" ca="1">CONCATENATE(INDIRECT(ADDRESS(1,9,1,0,"KeySet"),0),":","""",valueMaker!I321,"""")</f>
        <v>denwaBangou:"080-9947-2181"</v>
      </c>
      <c r="J321" t="str" cm="1">
        <f t="array" aca="1" ref="J321" ca="1">CONCATENATE(INDIRECT(ADDRESS(1,10,1,0,"KeySet"),0),":","""",valueMaker!J321,"""")</f>
        <v>mailAddress:"Xu_Jiao_Jian_34601@outlook.jp.co"</v>
      </c>
      <c r="K321" t="str" cm="1">
        <f t="array" aca="1" ref="K321" ca="1">CONCATENATE(INDIRECT(ADDRESS(1,11,1,0,"KeySet"),0),":","""",valueMaker!K321,"""")</f>
        <v>kaninSyubetu:"普通"</v>
      </c>
      <c r="L321" t="str" cm="1">
        <f t="array" aca="1" ref="L321" ca="1">CONCATENATE(INDIRECT(ADDRESS(1,12,1,0,"KeySet"),0),":","""",valueMaker!L321,"""")</f>
        <v>kaninKengenWB:"有り"</v>
      </c>
      <c r="M321" t="str" cm="1">
        <f t="array" aca="1" ref="M321" ca="1">CONCATENATE(INDIRECT(ADDRESS(1,13,1,0,"KeySet"),0),":","""",valueMaker!M321,"""")</f>
        <v>wakibiri:"5%"</v>
      </c>
      <c r="N321" t="str" cm="1">
        <f t="array" aca="1" ref="N321" ca="1">CONCATENATE(INDIRECT(ADDRESS(1,14,1,0,"KeySet"),0),":","""",valueMaker!N321,"""")</f>
        <v>kaninKengenPoint:"-"</v>
      </c>
      <c r="O321" t="str" cm="1">
        <f t="array" aca="1" ref="O321" ca="1">CONCATENATE(INDIRECT(ADDRESS(1,15,1,0,"KeySet"),0),":","""",valueMaker!O321,"""")</f>
        <v>point:"-"</v>
      </c>
      <c r="P321" t="str" cm="1">
        <f t="array" aca="1" ref="P321" ca="1">CONCATENATE(INDIRECT(ADDRESS(1,16,1,0,"KeySet"),0),":","""",valueMaker!P321,"""")</f>
        <v>bikou:""</v>
      </c>
    </row>
    <row r="322" spans="1:16">
      <c r="A322" t="str" cm="1">
        <f t="array" aca="1" ref="A322" ca="1">CONCATENATE(INDIRECT(ADDRESS(1,1,1,0,"KeySet"),0),":","""",valueMaker!A322,"""")</f>
        <v>kainBangou:"TD10321"</v>
      </c>
      <c r="B322" t="str" cm="1">
        <f t="array" aca="1" ref="B322" ca="1">CONCATENATE(INDIRECT(ADDRESS(1,2,1,0,"KeySet"),0),":","""",valueMaker!B322,"""")</f>
        <v>kainMeiKanji:"郭寧金"</v>
      </c>
      <c r="C322" t="str" cm="1">
        <f t="array" aca="1" ref="C322" ca="1">CONCATENATE(INDIRECT(ADDRESS(1,3,1,0,"KeySet"),0),":","""",valueMaker!C322,"""")</f>
        <v>kainMeiKana:"ｸﾞｵ ﾆｰﾝ ｼﾞﾝ"</v>
      </c>
      <c r="D322" t="str" cm="1">
        <f t="array" aca="1" ref="D322" ca="1">CONCATENATE(INDIRECT(ADDRESS(1,4,1,0,"KeySet"),0),":","""",valueMaker!D322,"""")</f>
        <v>kainMeiEn:"Guo Ning Jin"</v>
      </c>
      <c r="E322" t="str" cm="1">
        <f t="array" aca="1" ref="E322" ca="1">CONCATENATE(INDIRECT(ADDRESS(1,5,1,0,"KeySet"),0),":","""",valueMaker!E322,"""")</f>
        <v>kainGender:"男性"</v>
      </c>
      <c r="F322" t="str" cm="1">
        <f t="array" aca="1" ref="F322" ca="1">CONCATENATE(INDIRECT(ADDRESS(1,6,1,0,"KeySet"),0),":","""",TEXT(valueMaker!F322,"yyyy/m/d"),"""")</f>
        <v>tanjyoubi:"1984/2/9"</v>
      </c>
      <c r="G322" t="str" cm="1">
        <f t="array" aca="1" ref="G322" ca="1">CONCATENATE(INDIRECT(ADDRESS(1,6,1,0,"KeySet"),0),":","""",TEXT(valueMaker!G322,"yyyy/m/d"),"""")</f>
        <v>tanjyoubi:"2008/3/27"</v>
      </c>
      <c r="H322" t="str" cm="1">
        <f t="array" aca="1" ref="H322" ca="1">CONCATENATE(INDIRECT(ADDRESS(1,6,1,0,"KeySet"),0),":","""",TEXT(valueMaker!H322,"yyyy/m/d"),"""")</f>
        <v>tanjyoubi:"2011/3/27"</v>
      </c>
      <c r="I322" t="str" cm="1">
        <f t="array" aca="1" ref="I322" ca="1">CONCATENATE(INDIRECT(ADDRESS(1,9,1,0,"KeySet"),0),":","""",valueMaker!I322,"""")</f>
        <v>denwaBangou:"080-4353-7856"</v>
      </c>
      <c r="J322" t="str" cm="1">
        <f t="array" aca="1" ref="J322" ca="1">CONCATENATE(INDIRECT(ADDRESS(1,10,1,0,"KeySet"),0),":","""",valueMaker!J322,"""")</f>
        <v>mailAddress:"Guo_Ning_Jin_39534@outlook.jp.co"</v>
      </c>
      <c r="K322" t="str" cm="1">
        <f t="array" aca="1" ref="K322" ca="1">CONCATENATE(INDIRECT(ADDRESS(1,11,1,0,"KeySet"),0),":","""",valueMaker!K322,"""")</f>
        <v>kaninSyubetu:"普通"</v>
      </c>
      <c r="L322" t="str" cm="1">
        <f t="array" aca="1" ref="L322" ca="1">CONCATENATE(INDIRECT(ADDRESS(1,12,1,0,"KeySet"),0),":","""",valueMaker!L322,"""")</f>
        <v>kaninKengenWB:"有り"</v>
      </c>
      <c r="M322" t="str" cm="1">
        <f t="array" aca="1" ref="M322" ca="1">CONCATENATE(INDIRECT(ADDRESS(1,13,1,0,"KeySet"),0),":","""",valueMaker!M322,"""")</f>
        <v>wakibiri:"5%"</v>
      </c>
      <c r="N322" t="str" cm="1">
        <f t="array" aca="1" ref="N322" ca="1">CONCATENATE(INDIRECT(ADDRESS(1,14,1,0,"KeySet"),0),":","""",valueMaker!N322,"""")</f>
        <v>kaninKengenPoint:"有り"</v>
      </c>
      <c r="O322" t="str" cm="1">
        <f t="array" aca="1" ref="O322" ca="1">CONCATENATE(INDIRECT(ADDRESS(1,15,1,0,"KeySet"),0),":","""",valueMaker!O322,"""")</f>
        <v>point:"145"</v>
      </c>
      <c r="P322" t="str" cm="1">
        <f t="array" aca="1" ref="P322" ca="1">CONCATENATE(INDIRECT(ADDRESS(1,16,1,0,"KeySet"),0),":","""",valueMaker!P322,"""")</f>
        <v>bikou:""</v>
      </c>
    </row>
    <row r="323" spans="1:16">
      <c r="A323" t="str" cm="1">
        <f t="array" aca="1" ref="A323" ca="1">CONCATENATE(INDIRECT(ADDRESS(1,1,1,0,"KeySet"),0),":","""",valueMaker!A323,"""")</f>
        <v>kainBangou:"TD10322"</v>
      </c>
      <c r="B323" t="str" cm="1">
        <f t="array" aca="1" ref="B323" ca="1">CONCATENATE(INDIRECT(ADDRESS(1,2,1,0,"KeySet"),0),":","""",valueMaker!B323,"""")</f>
        <v>kainMeiKanji:"徐騰瑞"</v>
      </c>
      <c r="C323" t="str" cm="1">
        <f t="array" aca="1" ref="C323" ca="1">CONCATENATE(INDIRECT(ADDRESS(1,3,1,0,"KeySet"),0),":","""",valueMaker!C323,"""")</f>
        <v>kainMeiKana:"ｼｭｲ ﾄｩｵﾝ ｩﾙｲ"</v>
      </c>
      <c r="D323" t="str" cm="1">
        <f t="array" aca="1" ref="D323" ca="1">CONCATENATE(INDIRECT(ADDRESS(1,4,1,0,"KeySet"),0),":","""",valueMaker!D323,"""")</f>
        <v>kainMeiEn:"Xu Teng Rui"</v>
      </c>
      <c r="E323" t="str" cm="1">
        <f t="array" aca="1" ref="E323" ca="1">CONCATENATE(INDIRECT(ADDRESS(1,5,1,0,"KeySet"),0),":","""",valueMaker!E323,"""")</f>
        <v>kainGender:"男性"</v>
      </c>
      <c r="F323" t="str" cm="1">
        <f t="array" aca="1" ref="F323" ca="1">CONCATENATE(INDIRECT(ADDRESS(1,6,1,0,"KeySet"),0),":","""",TEXT(valueMaker!F323,"yyyy/m/d"),"""")</f>
        <v>tanjyoubi:"1980/1/22"</v>
      </c>
      <c r="G323" t="str" cm="1">
        <f t="array" aca="1" ref="G323" ca="1">CONCATENATE(INDIRECT(ADDRESS(1,6,1,0,"KeySet"),0),":","""",TEXT(valueMaker!G323,"yyyy/m/d"),"""")</f>
        <v>tanjyoubi:"2015/8/8"</v>
      </c>
      <c r="H323" t="str" cm="1">
        <f t="array" aca="1" ref="H323" ca="1">CONCATENATE(INDIRECT(ADDRESS(1,6,1,0,"KeySet"),0),":","""",TEXT(valueMaker!H323,"yyyy/m/d"),"""")</f>
        <v>tanjyoubi:"2016/8/7"</v>
      </c>
      <c r="I323" t="str" cm="1">
        <f t="array" aca="1" ref="I323" ca="1">CONCATENATE(INDIRECT(ADDRESS(1,9,1,0,"KeySet"),0),":","""",valueMaker!I323,"""")</f>
        <v>denwaBangou:"090-6542-3048"</v>
      </c>
      <c r="J323" t="str" cm="1">
        <f t="array" aca="1" ref="J323" ca="1">CONCATENATE(INDIRECT(ADDRESS(1,10,1,0,"KeySet"),0),":","""",valueMaker!J323,"""")</f>
        <v>mailAddress:"Xu_Teng_Rui_42224@outlook.jp.co"</v>
      </c>
      <c r="K323" t="str" cm="1">
        <f t="array" aca="1" ref="K323" ca="1">CONCATENATE(INDIRECT(ADDRESS(1,11,1,0,"KeySet"),0),":","""",valueMaker!K323,"""")</f>
        <v>kaninSyubetu:"普通"</v>
      </c>
      <c r="L323" t="str" cm="1">
        <f t="array" aca="1" ref="L323" ca="1">CONCATENATE(INDIRECT(ADDRESS(1,12,1,0,"KeySet"),0),":","""",valueMaker!L323,"""")</f>
        <v>kaninKengenWB:"有り"</v>
      </c>
      <c r="M323" t="str" cm="1">
        <f t="array" aca="1" ref="M323" ca="1">CONCATENATE(INDIRECT(ADDRESS(1,13,1,0,"KeySet"),0),":","""",valueMaker!M323,"""")</f>
        <v>wakibiri:"5%"</v>
      </c>
      <c r="N323" t="str" cm="1">
        <f t="array" aca="1" ref="N323" ca="1">CONCATENATE(INDIRECT(ADDRESS(1,14,1,0,"KeySet"),0),":","""",valueMaker!N323,"""")</f>
        <v>kaninKengenPoint:"有り"</v>
      </c>
      <c r="O323" t="str" cm="1">
        <f t="array" aca="1" ref="O323" ca="1">CONCATENATE(INDIRECT(ADDRESS(1,15,1,0,"KeySet"),0),":","""",valueMaker!O323,"""")</f>
        <v>point:"329"</v>
      </c>
      <c r="P323" t="str" cm="1">
        <f t="array" aca="1" ref="P323" ca="1">CONCATENATE(INDIRECT(ADDRESS(1,16,1,0,"KeySet"),0),":","""",valueMaker!P323,"""")</f>
        <v>bikou:""</v>
      </c>
    </row>
    <row r="324" spans="1:16">
      <c r="A324" t="str" cm="1">
        <f t="array" aca="1" ref="A324" ca="1">CONCATENATE(INDIRECT(ADDRESS(1,1,1,0,"KeySet"),0),":","""",valueMaker!A324,"""")</f>
        <v>kainBangou:"TD10323"</v>
      </c>
      <c r="B324" t="str" cm="1">
        <f t="array" aca="1" ref="B324" ca="1">CONCATENATE(INDIRECT(ADDRESS(1,2,1,0,"KeySet"),0),":","""",valueMaker!B324,"""")</f>
        <v>kainMeiKanji:"陳濤泉"</v>
      </c>
      <c r="C324" t="str" cm="1">
        <f t="array" aca="1" ref="C324" ca="1">CONCATENATE(INDIRECT(ADDRESS(1,3,1,0,"KeySet"),0),":","""",valueMaker!C324,"""")</f>
        <v>kainMeiKana:"ﾁｪﾝ ﾀｵ ﾁｭｴﾝ"</v>
      </c>
      <c r="D324" t="str" cm="1">
        <f t="array" aca="1" ref="D324" ca="1">CONCATENATE(INDIRECT(ADDRESS(1,4,1,0,"KeySet"),0),":","""",valueMaker!D324,"""")</f>
        <v>kainMeiEn:"Chen Tao Quan"</v>
      </c>
      <c r="E324" t="str" cm="1">
        <f t="array" aca="1" ref="E324" ca="1">CONCATENATE(INDIRECT(ADDRESS(1,5,1,0,"KeySet"),0),":","""",valueMaker!E324,"""")</f>
        <v>kainGender:"女性"</v>
      </c>
      <c r="F324" t="str" cm="1">
        <f t="array" aca="1" ref="F324" ca="1">CONCATENATE(INDIRECT(ADDRESS(1,6,1,0,"KeySet"),0),":","""",TEXT(valueMaker!F324,"yyyy/m/d"),"""")</f>
        <v>tanjyoubi:"1984/7/24"</v>
      </c>
      <c r="G324" t="str" cm="1">
        <f t="array" aca="1" ref="G324" ca="1">CONCATENATE(INDIRECT(ADDRESS(1,6,1,0,"KeySet"),0),":","""",TEXT(valueMaker!G324,"yyyy/m/d"),"""")</f>
        <v>tanjyoubi:"2013/5/20"</v>
      </c>
      <c r="H324" t="str" cm="1">
        <f t="array" aca="1" ref="H324" ca="1">CONCATENATE(INDIRECT(ADDRESS(1,6,1,0,"KeySet"),0),":","""",TEXT(valueMaker!H324,"yyyy/m/d"),"""")</f>
        <v>tanjyoubi:"2016/5/19"</v>
      </c>
      <c r="I324" t="str" cm="1">
        <f t="array" aca="1" ref="I324" ca="1">CONCATENATE(INDIRECT(ADDRESS(1,9,1,0,"KeySet"),0),":","""",valueMaker!I324,"""")</f>
        <v>denwaBangou:"090-9173-6032"</v>
      </c>
      <c r="J324" t="str" cm="1">
        <f t="array" aca="1" ref="J324" ca="1">CONCATENATE(INDIRECT(ADDRESS(1,10,1,0,"KeySet"),0),":","""",valueMaker!J324,"""")</f>
        <v>mailAddress:"Chen_Tao_Quan_41414@outlook.jp.co"</v>
      </c>
      <c r="K324" t="str" cm="1">
        <f t="array" aca="1" ref="K324" ca="1">CONCATENATE(INDIRECT(ADDRESS(1,11,1,0,"KeySet"),0),":","""",valueMaker!K324,"""")</f>
        <v>kaninSyubetu:"普通"</v>
      </c>
      <c r="L324" t="str" cm="1">
        <f t="array" aca="1" ref="L324" ca="1">CONCATENATE(INDIRECT(ADDRESS(1,12,1,0,"KeySet"),0),":","""",valueMaker!L324,"""")</f>
        <v>kaninKengenWB:"有り"</v>
      </c>
      <c r="M324" t="str" cm="1">
        <f t="array" aca="1" ref="M324" ca="1">CONCATENATE(INDIRECT(ADDRESS(1,13,1,0,"KeySet"),0),":","""",valueMaker!M324,"""")</f>
        <v>wakibiri:"5%"</v>
      </c>
      <c r="N324" t="str" cm="1">
        <f t="array" aca="1" ref="N324" ca="1">CONCATENATE(INDIRECT(ADDRESS(1,14,1,0,"KeySet"),0),":","""",valueMaker!N324,"""")</f>
        <v>kaninKengenPoint:"有り"</v>
      </c>
      <c r="O324" t="str" cm="1">
        <f t="array" aca="1" ref="O324" ca="1">CONCATENATE(INDIRECT(ADDRESS(1,15,1,0,"KeySet"),0),":","""",valueMaker!O324,"""")</f>
        <v>point:"724"</v>
      </c>
      <c r="P324" t="str" cm="1">
        <f t="array" aca="1" ref="P324" ca="1">CONCATENATE(INDIRECT(ADDRESS(1,16,1,0,"KeySet"),0),":","""",valueMaker!P324,"""")</f>
        <v>bikou:""</v>
      </c>
    </row>
    <row r="325" spans="1:16">
      <c r="A325" t="str" cm="1">
        <f t="array" aca="1" ref="A325" ca="1">CONCATENATE(INDIRECT(ADDRESS(1,1,1,0,"KeySet"),0),":","""",valueMaker!A325,"""")</f>
        <v>kainBangou:"TD10324"</v>
      </c>
      <c r="B325" t="str" cm="1">
        <f t="array" aca="1" ref="B325" ca="1">CONCATENATE(INDIRECT(ADDRESS(1,2,1,0,"KeySet"),0),":","""",valueMaker!B325,"""")</f>
        <v>kainMeiKanji:"宋月心"</v>
      </c>
      <c r="C325" t="str" cm="1">
        <f t="array" aca="1" ref="C325" ca="1">CONCATENATE(INDIRECT(ADDRESS(1,3,1,0,"KeySet"),0),":","""",valueMaker!C325,"""")</f>
        <v>kainMeiKana:"ｿｰﾝ ﾕｴ ｼﾝ"</v>
      </c>
      <c r="D325" t="str" cm="1">
        <f t="array" aca="1" ref="D325" ca="1">CONCATENATE(INDIRECT(ADDRESS(1,4,1,0,"KeySet"),0),":","""",valueMaker!D325,"""")</f>
        <v>kainMeiEn:"Song Yue Xin"</v>
      </c>
      <c r="E325" t="str" cm="1">
        <f t="array" aca="1" ref="E325" ca="1">CONCATENATE(INDIRECT(ADDRESS(1,5,1,0,"KeySet"),0),":","""",valueMaker!E325,"""")</f>
        <v>kainGender:"男性"</v>
      </c>
      <c r="F325" t="str" cm="1">
        <f t="array" aca="1" ref="F325" ca="1">CONCATENATE(INDIRECT(ADDRESS(1,6,1,0,"KeySet"),0),":","""",TEXT(valueMaker!F325,"yyyy/m/d"),"""")</f>
        <v>tanjyoubi:"1995/8/23"</v>
      </c>
      <c r="G325" t="str" cm="1">
        <f t="array" aca="1" ref="G325" ca="1">CONCATENATE(INDIRECT(ADDRESS(1,6,1,0,"KeySet"),0),":","""",TEXT(valueMaker!G325,"yyyy/m/d"),"""")</f>
        <v>tanjyoubi:"2013/10/28"</v>
      </c>
      <c r="H325" t="str" cm="1">
        <f t="array" aca="1" ref="H325" ca="1">CONCATENATE(INDIRECT(ADDRESS(1,6,1,0,"KeySet"),0),":","""",TEXT(valueMaker!H325,"yyyy/m/d"),"""")</f>
        <v>tanjyoubi:"2016/10/27"</v>
      </c>
      <c r="I325" t="str" cm="1">
        <f t="array" aca="1" ref="I325" ca="1">CONCATENATE(INDIRECT(ADDRESS(1,9,1,0,"KeySet"),0),":","""",valueMaker!I325,"""")</f>
        <v>denwaBangou:"090-2403-0458"</v>
      </c>
      <c r="J325" t="str" cm="1">
        <f t="array" aca="1" ref="J325" ca="1">CONCATENATE(INDIRECT(ADDRESS(1,10,1,0,"KeySet"),0),":","""",valueMaker!J325,"""")</f>
        <v>mailAddress:"Song_Yue_Xin_41575@outlook.jp.co"</v>
      </c>
      <c r="K325" t="str" cm="1">
        <f t="array" aca="1" ref="K325" ca="1">CONCATENATE(INDIRECT(ADDRESS(1,11,1,0,"KeySet"),0),":","""",valueMaker!K325,"""")</f>
        <v>kaninSyubetu:"高級"</v>
      </c>
      <c r="L325" t="str" cm="1">
        <f t="array" aca="1" ref="L325" ca="1">CONCATENATE(INDIRECT(ADDRESS(1,12,1,0,"KeySet"),0),":","""",valueMaker!L325,"""")</f>
        <v>kaninKengenWB:"有り"</v>
      </c>
      <c r="M325" t="str" cm="1">
        <f t="array" aca="1" ref="M325" ca="1">CONCATENATE(INDIRECT(ADDRESS(1,13,1,0,"KeySet"),0),":","""",valueMaker!M325,"""")</f>
        <v>wakibiri:"10%"</v>
      </c>
      <c r="N325" t="str" cm="1">
        <f t="array" aca="1" ref="N325" ca="1">CONCATENATE(INDIRECT(ADDRESS(1,14,1,0,"KeySet"),0),":","""",valueMaker!N325,"""")</f>
        <v>kaninKengenPoint:"有り"</v>
      </c>
      <c r="O325" t="str" cm="1">
        <f t="array" aca="1" ref="O325" ca="1">CONCATENATE(INDIRECT(ADDRESS(1,15,1,0,"KeySet"),0),":","""",valueMaker!O325,"""")</f>
        <v>point:"378"</v>
      </c>
      <c r="P325" t="str" cm="1">
        <f t="array" aca="1" ref="P325" ca="1">CONCATENATE(INDIRECT(ADDRESS(1,16,1,0,"KeySet"),0),":","""",valueMaker!P325,"""")</f>
        <v>bikou:""</v>
      </c>
    </row>
    <row r="326" spans="1:16">
      <c r="A326" t="str" cm="1">
        <f t="array" aca="1" ref="A326" ca="1">CONCATENATE(INDIRECT(ADDRESS(1,1,1,0,"KeySet"),0),":","""",valueMaker!A326,"""")</f>
        <v>kainBangou:"TD10325"</v>
      </c>
      <c r="B326" t="str" cm="1">
        <f t="array" aca="1" ref="B326" ca="1">CONCATENATE(INDIRECT(ADDRESS(1,2,1,0,"KeySet"),0),":","""",valueMaker!B326,"""")</f>
        <v>kainMeiKanji:"孫宇頃"</v>
      </c>
      <c r="C326" t="str" cm="1">
        <f t="array" aca="1" ref="C326" ca="1">CONCATENATE(INDIRECT(ADDRESS(1,3,1,0,"KeySet"),0),":","""",valueMaker!C326,"""")</f>
        <v>kainMeiKana:"ｽｩﾝ ﾕｲ ﾁｰﾝ"</v>
      </c>
      <c r="D326" t="str" cm="1">
        <f t="array" aca="1" ref="D326" ca="1">CONCATENATE(INDIRECT(ADDRESS(1,4,1,0,"KeySet"),0),":","""",valueMaker!D326,"""")</f>
        <v>kainMeiEn:"Sun Yu Qing"</v>
      </c>
      <c r="E326" t="str" cm="1">
        <f t="array" aca="1" ref="E326" ca="1">CONCATENATE(INDIRECT(ADDRESS(1,5,1,0,"KeySet"),0),":","""",valueMaker!E326,"""")</f>
        <v>kainGender:"男性"</v>
      </c>
      <c r="F326" t="str" cm="1">
        <f t="array" aca="1" ref="F326" ca="1">CONCATENATE(INDIRECT(ADDRESS(1,6,1,0,"KeySet"),0),":","""",TEXT(valueMaker!F326,"yyyy/m/d"),"""")</f>
        <v>tanjyoubi:"2005/7/24"</v>
      </c>
      <c r="G326" t="str" cm="1">
        <f t="array" aca="1" ref="G326" ca="1">CONCATENATE(INDIRECT(ADDRESS(1,6,1,0,"KeySet"),0),":","""",TEXT(valueMaker!G326,"yyyy/m/d"),"""")</f>
        <v>tanjyoubi:"2023/11/9"</v>
      </c>
      <c r="H326" t="str" cm="1">
        <f t="array" aca="1" ref="H326" ca="1">CONCATENATE(INDIRECT(ADDRESS(1,6,1,0,"KeySet"),0),":","""",TEXT(valueMaker!H326,"yyyy/m/d"),"""")</f>
        <v>tanjyoubi:"2025/11/8"</v>
      </c>
      <c r="I326" t="str" cm="1">
        <f t="array" aca="1" ref="I326" ca="1">CONCATENATE(INDIRECT(ADDRESS(1,9,1,0,"KeySet"),0),":","""",valueMaker!I326,"""")</f>
        <v>denwaBangou:"090-3710-1183"</v>
      </c>
      <c r="J326" t="str" cm="1">
        <f t="array" aca="1" ref="J326" ca="1">CONCATENATE(INDIRECT(ADDRESS(1,10,1,0,"KeySet"),0),":","""",valueMaker!J326,"""")</f>
        <v>mailAddress:"Sun_Yu_Qing_45239@outlook.jp.co"</v>
      </c>
      <c r="K326" t="str" cm="1">
        <f t="array" aca="1" ref="K326" ca="1">CONCATENATE(INDIRECT(ADDRESS(1,11,1,0,"KeySet"),0),":","""",valueMaker!K326,"""")</f>
        <v>kaninSyubetu:"普通"</v>
      </c>
      <c r="L326" t="str" cm="1">
        <f t="array" aca="1" ref="L326" ca="1">CONCATENATE(INDIRECT(ADDRESS(1,12,1,0,"KeySet"),0),":","""",valueMaker!L326,"""")</f>
        <v>kaninKengenWB:"-"</v>
      </c>
      <c r="M326" t="str" cm="1">
        <f t="array" aca="1" ref="M326" ca="1">CONCATENATE(INDIRECT(ADDRESS(1,13,1,0,"KeySet"),0),":","""",valueMaker!M326,"""")</f>
        <v>wakibiri:"-"</v>
      </c>
      <c r="N326" t="str" cm="1">
        <f t="array" aca="1" ref="N326" ca="1">CONCATENATE(INDIRECT(ADDRESS(1,14,1,0,"KeySet"),0),":","""",valueMaker!N326,"""")</f>
        <v>kaninKengenPoint:"有り"</v>
      </c>
      <c r="O326" t="str" cm="1">
        <f t="array" aca="1" ref="O326" ca="1">CONCATENATE(INDIRECT(ADDRESS(1,15,1,0,"KeySet"),0),":","""",valueMaker!O326,"""")</f>
        <v>point:"827"</v>
      </c>
      <c r="P326" t="str" cm="1">
        <f t="array" aca="1" ref="P326" ca="1">CONCATENATE(INDIRECT(ADDRESS(1,16,1,0,"KeySet"),0),":","""",valueMaker!P326,"""")</f>
        <v>bikou:""</v>
      </c>
    </row>
    <row r="327" spans="1:16">
      <c r="A327" t="str" cm="1">
        <f t="array" aca="1" ref="A327" ca="1">CONCATENATE(INDIRECT(ADDRESS(1,1,1,0,"KeySet"),0),":","""",valueMaker!A327,"""")</f>
        <v>kainBangou:"TD10326"</v>
      </c>
      <c r="B327" t="str" cm="1">
        <f t="array" aca="1" ref="B327" ca="1">CONCATENATE(INDIRECT(ADDRESS(1,2,1,0,"KeySet"),0),":","""",valueMaker!B327,"""")</f>
        <v>kainMeiKanji:"楊劍納"</v>
      </c>
      <c r="C327" t="str" cm="1">
        <f t="array" aca="1" ref="C327" ca="1">CONCATENATE(INDIRECT(ADDRESS(1,3,1,0,"KeySet"),0),":","""",valueMaker!C327,"""")</f>
        <v>kainMeiKana:"ﾔｰﾝ ｼﾞｴﾝ ﾅｰ"</v>
      </c>
      <c r="D327" t="str" cm="1">
        <f t="array" aca="1" ref="D327" ca="1">CONCATENATE(INDIRECT(ADDRESS(1,4,1,0,"KeySet"),0),":","""",valueMaker!D327,"""")</f>
        <v>kainMeiEn:"Yang Jian Na"</v>
      </c>
      <c r="E327" t="str" cm="1">
        <f t="array" aca="1" ref="E327" ca="1">CONCATENATE(INDIRECT(ADDRESS(1,5,1,0,"KeySet"),0),":","""",valueMaker!E327,"""")</f>
        <v>kainGender:"男性"</v>
      </c>
      <c r="F327" t="str" cm="1">
        <f t="array" aca="1" ref="F327" ca="1">CONCATENATE(INDIRECT(ADDRESS(1,6,1,0,"KeySet"),0),":","""",TEXT(valueMaker!F327,"yyyy/m/d"),"""")</f>
        <v>tanjyoubi:"2005/10/5"</v>
      </c>
      <c r="G327" t="str" cm="1">
        <f t="array" aca="1" ref="G327" ca="1">CONCATENATE(INDIRECT(ADDRESS(1,6,1,0,"KeySet"),0),":","""",TEXT(valueMaker!G327,"yyyy/m/d"),"""")</f>
        <v>tanjyoubi:"2024/4/27"</v>
      </c>
      <c r="H327" t="str" cm="1">
        <f t="array" aca="1" ref="H327" ca="1">CONCATENATE(INDIRECT(ADDRESS(1,6,1,0,"KeySet"),0),":","""",TEXT(valueMaker!H327,"yyyy/m/d"),"""")</f>
        <v>tanjyoubi:"2025/4/27"</v>
      </c>
      <c r="I327" t="str" cm="1">
        <f t="array" aca="1" ref="I327" ca="1">CONCATENATE(INDIRECT(ADDRESS(1,9,1,0,"KeySet"),0),":","""",valueMaker!I327,"""")</f>
        <v>denwaBangou:"090-0543-9261"</v>
      </c>
      <c r="J327" t="str" cm="1">
        <f t="array" aca="1" ref="J327" ca="1">CONCATENATE(INDIRECT(ADDRESS(1,10,1,0,"KeySet"),0),":","""",valueMaker!J327,"""")</f>
        <v>mailAddress:"Yang_Jian_Na_45409@outlook.jp.co"</v>
      </c>
      <c r="K327" t="str" cm="1">
        <f t="array" aca="1" ref="K327" ca="1">CONCATENATE(INDIRECT(ADDRESS(1,11,1,0,"KeySet"),0),":","""",valueMaker!K327,"""")</f>
        <v>kaninSyubetu:"高級"</v>
      </c>
      <c r="L327" t="str" cm="1">
        <f t="array" aca="1" ref="L327" ca="1">CONCATENATE(INDIRECT(ADDRESS(1,12,1,0,"KeySet"),0),":","""",valueMaker!L327,"""")</f>
        <v>kaninKengenWB:"有り"</v>
      </c>
      <c r="M327" t="str" cm="1">
        <f t="array" aca="1" ref="M327" ca="1">CONCATENATE(INDIRECT(ADDRESS(1,13,1,0,"KeySet"),0),":","""",valueMaker!M327,"""")</f>
        <v>wakibiri:"10%"</v>
      </c>
      <c r="N327" t="str" cm="1">
        <f t="array" aca="1" ref="N327" ca="1">CONCATENATE(INDIRECT(ADDRESS(1,14,1,0,"KeySet"),0),":","""",valueMaker!N327,"""")</f>
        <v>kaninKengenPoint:"有り"</v>
      </c>
      <c r="O327" t="str" cm="1">
        <f t="array" aca="1" ref="O327" ca="1">CONCATENATE(INDIRECT(ADDRESS(1,15,1,0,"KeySet"),0),":","""",valueMaker!O327,"""")</f>
        <v>point:"223"</v>
      </c>
      <c r="P327" t="str" cm="1">
        <f t="array" aca="1" ref="P327" ca="1">CONCATENATE(INDIRECT(ADDRESS(1,16,1,0,"KeySet"),0),":","""",valueMaker!P327,"""")</f>
        <v>bikou:""</v>
      </c>
    </row>
    <row r="328" spans="1:16">
      <c r="A328" t="str" cm="1">
        <f t="array" aca="1" ref="A328" ca="1">CONCATENATE(INDIRECT(ADDRESS(1,1,1,0,"KeySet"),0),":","""",valueMaker!A328,"""")</f>
        <v>kainBangou:"TD10327"</v>
      </c>
      <c r="B328" t="str" cm="1">
        <f t="array" aca="1" ref="B328" ca="1">CONCATENATE(INDIRECT(ADDRESS(1,2,1,0,"KeySet"),0),":","""",valueMaker!B328,"""")</f>
        <v>kainMeiKanji:"郭濤泉"</v>
      </c>
      <c r="C328" t="str" cm="1">
        <f t="array" aca="1" ref="C328" ca="1">CONCATENATE(INDIRECT(ADDRESS(1,3,1,0,"KeySet"),0),":","""",valueMaker!C328,"""")</f>
        <v>kainMeiKana:"ｸﾞｵ ﾀｵ ﾁｭｴﾝ"</v>
      </c>
      <c r="D328" t="str" cm="1">
        <f t="array" aca="1" ref="D328" ca="1">CONCATENATE(INDIRECT(ADDRESS(1,4,1,0,"KeySet"),0),":","""",valueMaker!D328,"""")</f>
        <v>kainMeiEn:"Guo Tao Quan"</v>
      </c>
      <c r="E328" t="str" cm="1">
        <f t="array" aca="1" ref="E328" ca="1">CONCATENATE(INDIRECT(ADDRESS(1,5,1,0,"KeySet"),0),":","""",valueMaker!E328,"""")</f>
        <v>kainGender:"男性"</v>
      </c>
      <c r="F328" t="str" cm="1">
        <f t="array" aca="1" ref="F328" ca="1">CONCATENATE(INDIRECT(ADDRESS(1,6,1,0,"KeySet"),0),":","""",TEXT(valueMaker!F328,"yyyy/m/d"),"""")</f>
        <v>tanjyoubi:"1979/6/15"</v>
      </c>
      <c r="G328" t="str" cm="1">
        <f t="array" aca="1" ref="G328" ca="1">CONCATENATE(INDIRECT(ADDRESS(1,6,1,0,"KeySet"),0),":","""",TEXT(valueMaker!G328,"yyyy/m/d"),"""")</f>
        <v>tanjyoubi:"2012/7/8"</v>
      </c>
      <c r="H328" t="str" cm="1">
        <f t="array" aca="1" ref="H328" ca="1">CONCATENATE(INDIRECT(ADDRESS(1,6,1,0,"KeySet"),0),":","""",TEXT(valueMaker!H328,"yyyy/m/d"),"""")</f>
        <v>tanjyoubi:"2014/7/8"</v>
      </c>
      <c r="I328" t="str" cm="1">
        <f t="array" aca="1" ref="I328" ca="1">CONCATENATE(INDIRECT(ADDRESS(1,9,1,0,"KeySet"),0),":","""",valueMaker!I328,"""")</f>
        <v>denwaBangou:"090-2337-9280"</v>
      </c>
      <c r="J328" t="str" cm="1">
        <f t="array" aca="1" ref="J328" ca="1">CONCATENATE(INDIRECT(ADDRESS(1,10,1,0,"KeySet"),0),":","""",valueMaker!J328,"""")</f>
        <v>mailAddress:"Guo_Tao_Quan_41098@outlook.jp.co"</v>
      </c>
      <c r="K328" t="str" cm="1">
        <f t="array" aca="1" ref="K328" ca="1">CONCATENATE(INDIRECT(ADDRESS(1,11,1,0,"KeySet"),0),":","""",valueMaker!K328,"""")</f>
        <v>kaninSyubetu:"普通"</v>
      </c>
      <c r="L328" t="str" cm="1">
        <f t="array" aca="1" ref="L328" ca="1">CONCATENATE(INDIRECT(ADDRESS(1,12,1,0,"KeySet"),0),":","""",valueMaker!L328,"""")</f>
        <v>kaninKengenWB:"-"</v>
      </c>
      <c r="M328" t="str" cm="1">
        <f t="array" aca="1" ref="M328" ca="1">CONCATENATE(INDIRECT(ADDRESS(1,13,1,0,"KeySet"),0),":","""",valueMaker!M328,"""")</f>
        <v>wakibiri:"-"</v>
      </c>
      <c r="N328" t="str" cm="1">
        <f t="array" aca="1" ref="N328" ca="1">CONCATENATE(INDIRECT(ADDRESS(1,14,1,0,"KeySet"),0),":","""",valueMaker!N328,"""")</f>
        <v>kaninKengenPoint:"-"</v>
      </c>
      <c r="O328" t="str" cm="1">
        <f t="array" aca="1" ref="O328" ca="1">CONCATENATE(INDIRECT(ADDRESS(1,15,1,0,"KeySet"),0),":","""",valueMaker!O328,"""")</f>
        <v>point:"-"</v>
      </c>
      <c r="P328" t="str" cm="1">
        <f t="array" aca="1" ref="P328" ca="1">CONCATENATE(INDIRECT(ADDRESS(1,16,1,0,"KeySet"),0),":","""",valueMaker!P328,"""")</f>
        <v>bikou:""</v>
      </c>
    </row>
    <row r="329" spans="1:16">
      <c r="A329" t="str" cm="1">
        <f t="array" aca="1" ref="A329" ca="1">CONCATENATE(INDIRECT(ADDRESS(1,1,1,0,"KeySet"),0),":","""",valueMaker!A329,"""")</f>
        <v>kainBangou:"TD10328"</v>
      </c>
      <c r="B329" t="str" cm="1">
        <f t="array" aca="1" ref="B329" ca="1">CONCATENATE(INDIRECT(ADDRESS(1,2,1,0,"KeySet"),0),":","""",valueMaker!B329,"""")</f>
        <v>kainMeiKanji:"陳木納"</v>
      </c>
      <c r="C329" t="str" cm="1">
        <f t="array" aca="1" ref="C329" ca="1">CONCATENATE(INDIRECT(ADDRESS(1,3,1,0,"KeySet"),0),":","""",valueMaker!C329,"""")</f>
        <v>kainMeiKana:"ﾁｪﾝ ﾑｩ ﾅｰ"</v>
      </c>
      <c r="D329" t="str" cm="1">
        <f t="array" aca="1" ref="D329" ca="1">CONCATENATE(INDIRECT(ADDRESS(1,4,1,0,"KeySet"),0),":","""",valueMaker!D329,"""")</f>
        <v>kainMeiEn:"Chen Mu Na"</v>
      </c>
      <c r="E329" t="str" cm="1">
        <f t="array" aca="1" ref="E329" ca="1">CONCATENATE(INDIRECT(ADDRESS(1,5,1,0,"KeySet"),0),":","""",valueMaker!E329,"""")</f>
        <v>kainGender:"男性"</v>
      </c>
      <c r="F329" t="str" cm="1">
        <f t="array" aca="1" ref="F329" ca="1">CONCATENATE(INDIRECT(ADDRESS(1,6,1,0,"KeySet"),0),":","""",TEXT(valueMaker!F329,"yyyy/m/d"),"""")</f>
        <v>tanjyoubi:"1962/2/24"</v>
      </c>
      <c r="G329" t="str" cm="1">
        <f t="array" aca="1" ref="G329" ca="1">CONCATENATE(INDIRECT(ADDRESS(1,6,1,0,"KeySet"),0),":","""",TEXT(valueMaker!G329,"yyyy/m/d"),"""")</f>
        <v>tanjyoubi:"1990/2/2"</v>
      </c>
      <c r="H329" t="str" cm="1">
        <f t="array" aca="1" ref="H329" ca="1">CONCATENATE(INDIRECT(ADDRESS(1,6,1,0,"KeySet"),0),":","""",TEXT(valueMaker!H329,"yyyy/m/d"),"""")</f>
        <v>tanjyoubi:"1993/2/1"</v>
      </c>
      <c r="I329" t="str" cm="1">
        <f t="array" aca="1" ref="I329" ca="1">CONCATENATE(INDIRECT(ADDRESS(1,9,1,0,"KeySet"),0),":","""",valueMaker!I329,"""")</f>
        <v>denwaBangou:"090-2893-0021"</v>
      </c>
      <c r="J329" t="str" cm="1">
        <f t="array" aca="1" ref="J329" ca="1">CONCATENATE(INDIRECT(ADDRESS(1,10,1,0,"KeySet"),0),":","""",valueMaker!J329,"""")</f>
        <v>mailAddress:"Chen_Mu_Na_32906@outlook.jp.co"</v>
      </c>
      <c r="K329" t="str" cm="1">
        <f t="array" aca="1" ref="K329" ca="1">CONCATENATE(INDIRECT(ADDRESS(1,11,1,0,"KeySet"),0),":","""",valueMaker!K329,"""")</f>
        <v>kaninSyubetu:"普通"</v>
      </c>
      <c r="L329" t="str" cm="1">
        <f t="array" aca="1" ref="L329" ca="1">CONCATENATE(INDIRECT(ADDRESS(1,12,1,0,"KeySet"),0),":","""",valueMaker!L329,"""")</f>
        <v>kaninKengenWB:"有り"</v>
      </c>
      <c r="M329" t="str" cm="1">
        <f t="array" aca="1" ref="M329" ca="1">CONCATENATE(INDIRECT(ADDRESS(1,13,1,0,"KeySet"),0),":","""",valueMaker!M329,"""")</f>
        <v>wakibiri:"5%"</v>
      </c>
      <c r="N329" t="str" cm="1">
        <f t="array" aca="1" ref="N329" ca="1">CONCATENATE(INDIRECT(ADDRESS(1,14,1,0,"KeySet"),0),":","""",valueMaker!N329,"""")</f>
        <v>kaninKengenPoint:"-"</v>
      </c>
      <c r="O329" t="str" cm="1">
        <f t="array" aca="1" ref="O329" ca="1">CONCATENATE(INDIRECT(ADDRESS(1,15,1,0,"KeySet"),0),":","""",valueMaker!O329,"""")</f>
        <v>point:"-"</v>
      </c>
      <c r="P329" t="str" cm="1">
        <f t="array" aca="1" ref="P329" ca="1">CONCATENATE(INDIRECT(ADDRESS(1,16,1,0,"KeySet"),0),":","""",valueMaker!P329,"""")</f>
        <v>bikou:""</v>
      </c>
    </row>
    <row r="330" spans="1:16">
      <c r="A330" t="str" cm="1">
        <f t="array" aca="1" ref="A330" ca="1">CONCATENATE(INDIRECT(ADDRESS(1,1,1,0,"KeySet"),0),":","""",valueMaker!A330,"""")</f>
        <v>kainBangou:"TD10329"</v>
      </c>
      <c r="B330" t="str" cm="1">
        <f t="array" aca="1" ref="B330" ca="1">CONCATENATE(INDIRECT(ADDRESS(1,2,1,0,"KeySet"),0),":","""",valueMaker!B330,"""")</f>
        <v>kainMeiKanji:"謝冠聆"</v>
      </c>
      <c r="C330" t="str" cm="1">
        <f t="array" aca="1" ref="C330" ca="1">CONCATENATE(INDIRECT(ADDRESS(1,3,1,0,"KeySet"),0),":","""",valueMaker!C330,"""")</f>
        <v>kainMeiKana:"ｼｴ ｸﾞﾜﾝ ﾘｰﾝ"</v>
      </c>
      <c r="D330" t="str" cm="1">
        <f t="array" aca="1" ref="D330" ca="1">CONCATENATE(INDIRECT(ADDRESS(1,4,1,0,"KeySet"),0),":","""",valueMaker!D330,"""")</f>
        <v>kainMeiEn:"Xie Guan Ling"</v>
      </c>
      <c r="E330" t="str" cm="1">
        <f t="array" aca="1" ref="E330" ca="1">CONCATENATE(INDIRECT(ADDRESS(1,5,1,0,"KeySet"),0),":","""",valueMaker!E330,"""")</f>
        <v>kainGender:"女性"</v>
      </c>
      <c r="F330" t="str" cm="1">
        <f t="array" aca="1" ref="F330" ca="1">CONCATENATE(INDIRECT(ADDRESS(1,6,1,0,"KeySet"),0),":","""",TEXT(valueMaker!F330,"yyyy/m/d"),"""")</f>
        <v>tanjyoubi:"1998/8/27"</v>
      </c>
      <c r="G330" t="str" cm="1">
        <f t="array" aca="1" ref="G330" ca="1">CONCATENATE(INDIRECT(ADDRESS(1,6,1,0,"KeySet"),0),":","""",TEXT(valueMaker!G330,"yyyy/m/d"),"""")</f>
        <v>tanjyoubi:"2023/4/7"</v>
      </c>
      <c r="H330" t="str" cm="1">
        <f t="array" aca="1" ref="H330" ca="1">CONCATENATE(INDIRECT(ADDRESS(1,6,1,0,"KeySet"),0),":","""",TEXT(valueMaker!H330,"yyyy/m/d"),"""")</f>
        <v>tanjyoubi:"2026/4/6"</v>
      </c>
      <c r="I330" t="str" cm="1">
        <f t="array" aca="1" ref="I330" ca="1">CONCATENATE(INDIRECT(ADDRESS(1,9,1,0,"KeySet"),0),":","""",valueMaker!I330,"""")</f>
        <v>denwaBangou:"080-2922-6312"</v>
      </c>
      <c r="J330" t="str" cm="1">
        <f t="array" aca="1" ref="J330" ca="1">CONCATENATE(INDIRECT(ADDRESS(1,10,1,0,"KeySet"),0),":","""",valueMaker!J330,"""")</f>
        <v>mailAddress:"Xie_Guan_Ling_45023@outlook.jp.co"</v>
      </c>
      <c r="K330" t="str" cm="1">
        <f t="array" aca="1" ref="K330" ca="1">CONCATENATE(INDIRECT(ADDRESS(1,11,1,0,"KeySet"),0),":","""",valueMaker!K330,"""")</f>
        <v>kaninSyubetu:"普通"</v>
      </c>
      <c r="L330" t="str" cm="1">
        <f t="array" aca="1" ref="L330" ca="1">CONCATENATE(INDIRECT(ADDRESS(1,12,1,0,"KeySet"),0),":","""",valueMaker!L330,"""")</f>
        <v>kaninKengenWB:"有り"</v>
      </c>
      <c r="M330" t="str" cm="1">
        <f t="array" aca="1" ref="M330" ca="1">CONCATENATE(INDIRECT(ADDRESS(1,13,1,0,"KeySet"),0),":","""",valueMaker!M330,"""")</f>
        <v>wakibiri:"5%"</v>
      </c>
      <c r="N330" t="str" cm="1">
        <f t="array" aca="1" ref="N330" ca="1">CONCATENATE(INDIRECT(ADDRESS(1,14,1,0,"KeySet"),0),":","""",valueMaker!N330,"""")</f>
        <v>kaninKengenPoint:"-"</v>
      </c>
      <c r="O330" t="str" cm="1">
        <f t="array" aca="1" ref="O330" ca="1">CONCATENATE(INDIRECT(ADDRESS(1,15,1,0,"KeySet"),0),":","""",valueMaker!O330,"""")</f>
        <v>point:"-"</v>
      </c>
      <c r="P330" t="str" cm="1">
        <f t="array" aca="1" ref="P330" ca="1">CONCATENATE(INDIRECT(ADDRESS(1,16,1,0,"KeySet"),0),":","""",valueMaker!P330,"""")</f>
        <v>bikou:""</v>
      </c>
    </row>
    <row r="331" spans="1:16">
      <c r="A331" t="str" cm="1">
        <f t="array" aca="1" ref="A331" ca="1">CONCATENATE(INDIRECT(ADDRESS(1,1,1,0,"KeySet"),0),":","""",valueMaker!A331,"""")</f>
        <v>kainBangou:"TD10330"</v>
      </c>
      <c r="B331" t="str" cm="1">
        <f t="array" aca="1" ref="B331" ca="1">CONCATENATE(INDIRECT(ADDRESS(1,2,1,0,"KeySet"),0),":","""",valueMaker!B331,"""")</f>
        <v>kainMeiKanji:"何泰聚"</v>
      </c>
      <c r="C331" t="str" cm="1">
        <f t="array" aca="1" ref="C331" ca="1">CONCATENATE(INDIRECT(ADDRESS(1,3,1,0,"KeySet"),0),":","""",valueMaker!C331,"""")</f>
        <v>kainMeiKana:"ﾎｰｧ ﾀｲ ｼﾞｭｲ"</v>
      </c>
      <c r="D331" t="str" cm="1">
        <f t="array" aca="1" ref="D331" ca="1">CONCATENATE(INDIRECT(ADDRESS(1,4,1,0,"KeySet"),0),":","""",valueMaker!D331,"""")</f>
        <v>kainMeiEn:"He Tai Ju"</v>
      </c>
      <c r="E331" t="str" cm="1">
        <f t="array" aca="1" ref="E331" ca="1">CONCATENATE(INDIRECT(ADDRESS(1,5,1,0,"KeySet"),0),":","""",valueMaker!E331,"""")</f>
        <v>kainGender:"男性"</v>
      </c>
      <c r="F331" t="str" cm="1">
        <f t="array" aca="1" ref="F331" ca="1">CONCATENATE(INDIRECT(ADDRESS(1,6,1,0,"KeySet"),0),":","""",TEXT(valueMaker!F331,"yyyy/m/d"),"""")</f>
        <v>tanjyoubi:"1979/11/19"</v>
      </c>
      <c r="G331" t="str" cm="1">
        <f t="array" aca="1" ref="G331" ca="1">CONCATENATE(INDIRECT(ADDRESS(1,6,1,0,"KeySet"),0),":","""",TEXT(valueMaker!G331,"yyyy/m/d"),"""")</f>
        <v>tanjyoubi:"2007/2/16"</v>
      </c>
      <c r="H331" t="str" cm="1">
        <f t="array" aca="1" ref="H331" ca="1">CONCATENATE(INDIRECT(ADDRESS(1,6,1,0,"KeySet"),0),":","""",TEXT(valueMaker!H331,"yyyy/m/d"),"""")</f>
        <v>tanjyoubi:"2010/2/15"</v>
      </c>
      <c r="I331" t="str" cm="1">
        <f t="array" aca="1" ref="I331" ca="1">CONCATENATE(INDIRECT(ADDRESS(1,9,1,0,"KeySet"),0),":","""",valueMaker!I331,"""")</f>
        <v>denwaBangou:"080-2222-6320"</v>
      </c>
      <c r="J331" t="str" cm="1">
        <f t="array" aca="1" ref="J331" ca="1">CONCATENATE(INDIRECT(ADDRESS(1,10,1,0,"KeySet"),0),":","""",valueMaker!J331,"""")</f>
        <v>mailAddress:"He_Tai_Ju_39129@outlook.jp.co"</v>
      </c>
      <c r="K331" t="str" cm="1">
        <f t="array" aca="1" ref="K331" ca="1">CONCATENATE(INDIRECT(ADDRESS(1,11,1,0,"KeySet"),0),":","""",valueMaker!K331,"""")</f>
        <v>kaninSyubetu:"普通"</v>
      </c>
      <c r="L331" t="str" cm="1">
        <f t="array" aca="1" ref="L331" ca="1">CONCATENATE(INDIRECT(ADDRESS(1,12,1,0,"KeySet"),0),":","""",valueMaker!L331,"""")</f>
        <v>kaninKengenWB:"有り"</v>
      </c>
      <c r="M331" t="str" cm="1">
        <f t="array" aca="1" ref="M331" ca="1">CONCATENATE(INDIRECT(ADDRESS(1,13,1,0,"KeySet"),0),":","""",valueMaker!M331,"""")</f>
        <v>wakibiri:"5%"</v>
      </c>
      <c r="N331" t="str" cm="1">
        <f t="array" aca="1" ref="N331" ca="1">CONCATENATE(INDIRECT(ADDRESS(1,14,1,0,"KeySet"),0),":","""",valueMaker!N331,"""")</f>
        <v>kaninKengenPoint:"有り"</v>
      </c>
      <c r="O331" t="str" cm="1">
        <f t="array" aca="1" ref="O331" ca="1">CONCATENATE(INDIRECT(ADDRESS(1,15,1,0,"KeySet"),0),":","""",valueMaker!O331,"""")</f>
        <v>point:"46"</v>
      </c>
      <c r="P331" t="str" cm="1">
        <f t="array" aca="1" ref="P331" ca="1">CONCATENATE(INDIRECT(ADDRESS(1,16,1,0,"KeySet"),0),":","""",valueMaker!P331,"""")</f>
        <v>bikou:""</v>
      </c>
    </row>
    <row r="332" spans="1:16">
      <c r="A332" t="str" cm="1">
        <f t="array" aca="1" ref="A332" ca="1">CONCATENATE(INDIRECT(ADDRESS(1,1,1,0,"KeySet"),0),":","""",valueMaker!A332,"""")</f>
        <v>kainBangou:"TD10331"</v>
      </c>
      <c r="B332" t="str" cm="1">
        <f t="array" aca="1" ref="B332" ca="1">CONCATENATE(INDIRECT(ADDRESS(1,2,1,0,"KeySet"),0),":","""",valueMaker!B332,"""")</f>
        <v>kainMeiKanji:"謝耿晏"</v>
      </c>
      <c r="C332" t="str" cm="1">
        <f t="array" aca="1" ref="C332" ca="1">CONCATENATE(INDIRECT(ADDRESS(1,3,1,0,"KeySet"),0),":","""",valueMaker!C332,"""")</f>
        <v>kainMeiKana:"ｼｴ ｸﾞｵﾝ ｲｴﾝ"</v>
      </c>
      <c r="D332" t="str" cm="1">
        <f t="array" aca="1" ref="D332" ca="1">CONCATENATE(INDIRECT(ADDRESS(1,4,1,0,"KeySet"),0),":","""",valueMaker!D332,"""")</f>
        <v>kainMeiEn:"Xie Geng Yan"</v>
      </c>
      <c r="E332" t="str" cm="1">
        <f t="array" aca="1" ref="E332" ca="1">CONCATENATE(INDIRECT(ADDRESS(1,5,1,0,"KeySet"),0),":","""",valueMaker!E332,"""")</f>
        <v>kainGender:"女性"</v>
      </c>
      <c r="F332" t="str" cm="1">
        <f t="array" aca="1" ref="F332" ca="1">CONCATENATE(INDIRECT(ADDRESS(1,6,1,0,"KeySet"),0),":","""",TEXT(valueMaker!F332,"yyyy/m/d"),"""")</f>
        <v>tanjyoubi:"1982/2/25"</v>
      </c>
      <c r="G332" t="str" cm="1">
        <f t="array" aca="1" ref="G332" ca="1">CONCATENATE(INDIRECT(ADDRESS(1,6,1,0,"KeySet"),0),":","""",TEXT(valueMaker!G332,"yyyy/m/d"),"""")</f>
        <v>tanjyoubi:"2016/12/25"</v>
      </c>
      <c r="H332" t="str" cm="1">
        <f t="array" aca="1" ref="H332" ca="1">CONCATENATE(INDIRECT(ADDRESS(1,6,1,0,"KeySet"),0),":","""",TEXT(valueMaker!H332,"yyyy/m/d"),"""")</f>
        <v>tanjyoubi:"2019/12/25"</v>
      </c>
      <c r="I332" t="str" cm="1">
        <f t="array" aca="1" ref="I332" ca="1">CONCATENATE(INDIRECT(ADDRESS(1,9,1,0,"KeySet"),0),":","""",valueMaker!I332,"""")</f>
        <v>denwaBangou:"080-8211-3346"</v>
      </c>
      <c r="J332" t="str" cm="1">
        <f t="array" aca="1" ref="J332" ca="1">CONCATENATE(INDIRECT(ADDRESS(1,10,1,0,"KeySet"),0),":","""",valueMaker!J332,"""")</f>
        <v>mailAddress:"Xie_Geng_Yan_42729@outlook.jp.co"</v>
      </c>
      <c r="K332" t="str" cm="1">
        <f t="array" aca="1" ref="K332" ca="1">CONCATENATE(INDIRECT(ADDRESS(1,11,1,0,"KeySet"),0),":","""",valueMaker!K332,"""")</f>
        <v>kaninSyubetu:"高級"</v>
      </c>
      <c r="L332" t="str" cm="1">
        <f t="array" aca="1" ref="L332" ca="1">CONCATENATE(INDIRECT(ADDRESS(1,12,1,0,"KeySet"),0),":","""",valueMaker!L332,"""")</f>
        <v>kaninKengenWB:"有り"</v>
      </c>
      <c r="M332" t="str" cm="1">
        <f t="array" aca="1" ref="M332" ca="1">CONCATENATE(INDIRECT(ADDRESS(1,13,1,0,"KeySet"),0),":","""",valueMaker!M332,"""")</f>
        <v>wakibiri:"10%"</v>
      </c>
      <c r="N332" t="str" cm="1">
        <f t="array" aca="1" ref="N332" ca="1">CONCATENATE(INDIRECT(ADDRESS(1,14,1,0,"KeySet"),0),":","""",valueMaker!N332,"""")</f>
        <v>kaninKengenPoint:"有り"</v>
      </c>
      <c r="O332" t="str" cm="1">
        <f t="array" aca="1" ref="O332" ca="1">CONCATENATE(INDIRECT(ADDRESS(1,15,1,0,"KeySet"),0),":","""",valueMaker!O332,"""")</f>
        <v>point:"159"</v>
      </c>
      <c r="P332" t="str" cm="1">
        <f t="array" aca="1" ref="P332" ca="1">CONCATENATE(INDIRECT(ADDRESS(1,16,1,0,"KeySet"),0),":","""",valueMaker!P332,"""")</f>
        <v>bikou:""</v>
      </c>
    </row>
    <row r="333" spans="1:16">
      <c r="A333" t="str" cm="1">
        <f t="array" aca="1" ref="A333" ca="1">CONCATENATE(INDIRECT(ADDRESS(1,1,1,0,"KeySet"),0),":","""",valueMaker!A333,"""")</f>
        <v>kainBangou:"TD10332"</v>
      </c>
      <c r="B333" t="str" cm="1">
        <f t="array" aca="1" ref="B333" ca="1">CONCATENATE(INDIRECT(ADDRESS(1,2,1,0,"KeySet"),0),":","""",valueMaker!B333,"""")</f>
        <v>kainMeiKanji:"韓泓唯"</v>
      </c>
      <c r="C333" t="str" cm="1">
        <f t="array" aca="1" ref="C333" ca="1">CONCATENATE(INDIRECT(ADDRESS(1,3,1,0,"KeySet"),0),":","""",valueMaker!C333,"""")</f>
        <v>kainMeiKana:"ﾊﾝ ﾎｰﾝ ｳｴｲ"</v>
      </c>
      <c r="D333" t="str" cm="1">
        <f t="array" aca="1" ref="D333" ca="1">CONCATENATE(INDIRECT(ADDRESS(1,4,1,0,"KeySet"),0),":","""",valueMaker!D333,"""")</f>
        <v>kainMeiEn:"Han Hong Wei"</v>
      </c>
      <c r="E333" t="str" cm="1">
        <f t="array" aca="1" ref="E333" ca="1">CONCATENATE(INDIRECT(ADDRESS(1,5,1,0,"KeySet"),0),":","""",valueMaker!E333,"""")</f>
        <v>kainGender:"男性"</v>
      </c>
      <c r="F333" t="str" cm="1">
        <f t="array" aca="1" ref="F333" ca="1">CONCATENATE(INDIRECT(ADDRESS(1,6,1,0,"KeySet"),0),":","""",TEXT(valueMaker!F333,"yyyy/m/d"),"""")</f>
        <v>tanjyoubi:"1969/11/17"</v>
      </c>
      <c r="G333" t="str" cm="1">
        <f t="array" aca="1" ref="G333" ca="1">CONCATENATE(INDIRECT(ADDRESS(1,6,1,0,"KeySet"),0),":","""",TEXT(valueMaker!G333,"yyyy/m/d"),"""")</f>
        <v>tanjyoubi:"2022/5/15"</v>
      </c>
      <c r="H333" t="str" cm="1">
        <f t="array" aca="1" ref="H333" ca="1">CONCATENATE(INDIRECT(ADDRESS(1,6,1,0,"KeySet"),0),":","""",TEXT(valueMaker!H333,"yyyy/m/d"),"""")</f>
        <v>tanjyoubi:"2025/5/14"</v>
      </c>
      <c r="I333" t="str" cm="1">
        <f t="array" aca="1" ref="I333" ca="1">CONCATENATE(INDIRECT(ADDRESS(1,9,1,0,"KeySet"),0),":","""",valueMaker!I333,"""")</f>
        <v>denwaBangou:"080-7959-7030"</v>
      </c>
      <c r="J333" t="str" cm="1">
        <f t="array" aca="1" ref="J333" ca="1">CONCATENATE(INDIRECT(ADDRESS(1,10,1,0,"KeySet"),0),":","""",valueMaker!J333,"""")</f>
        <v>mailAddress:"Han_Hong_Wei_44696@outlook.jp.co"</v>
      </c>
      <c r="K333" t="str" cm="1">
        <f t="array" aca="1" ref="K333" ca="1">CONCATENATE(INDIRECT(ADDRESS(1,11,1,0,"KeySet"),0),":","""",valueMaker!K333,"""")</f>
        <v>kaninSyubetu:"高級"</v>
      </c>
      <c r="L333" t="str" cm="1">
        <f t="array" aca="1" ref="L333" ca="1">CONCATENATE(INDIRECT(ADDRESS(1,12,1,0,"KeySet"),0),":","""",valueMaker!L333,"""")</f>
        <v>kaninKengenWB:"有り"</v>
      </c>
      <c r="M333" t="str" cm="1">
        <f t="array" aca="1" ref="M333" ca="1">CONCATENATE(INDIRECT(ADDRESS(1,13,1,0,"KeySet"),0),":","""",valueMaker!M333,"""")</f>
        <v>wakibiri:"10%"</v>
      </c>
      <c r="N333" t="str" cm="1">
        <f t="array" aca="1" ref="N333" ca="1">CONCATENATE(INDIRECT(ADDRESS(1,14,1,0,"KeySet"),0),":","""",valueMaker!N333,"""")</f>
        <v>kaninKengenPoint:"有り"</v>
      </c>
      <c r="O333" t="str" cm="1">
        <f t="array" aca="1" ref="O333" ca="1">CONCATENATE(INDIRECT(ADDRESS(1,15,1,0,"KeySet"),0),":","""",valueMaker!O333,"""")</f>
        <v>point:"155"</v>
      </c>
      <c r="P333" t="str" cm="1">
        <f t="array" aca="1" ref="P333" ca="1">CONCATENATE(INDIRECT(ADDRESS(1,16,1,0,"KeySet"),0),":","""",valueMaker!P333,"""")</f>
        <v>bikou:""</v>
      </c>
    </row>
    <row r="334" spans="1:16">
      <c r="A334" t="str" cm="1">
        <f t="array" aca="1" ref="A334" ca="1">CONCATENATE(INDIRECT(ADDRESS(1,1,1,0,"KeySet"),0),":","""",valueMaker!A334,"""")</f>
        <v>kainBangou:"TD10333"</v>
      </c>
      <c r="B334" t="str" cm="1">
        <f t="array" aca="1" ref="B334" ca="1">CONCATENATE(INDIRECT(ADDRESS(1,2,1,0,"KeySet"),0),":","""",valueMaker!B334,"""")</f>
        <v>kainMeiKanji:"羅群圓"</v>
      </c>
      <c r="C334" t="str" cm="1">
        <f t="array" aca="1" ref="C334" ca="1">CONCATENATE(INDIRECT(ADDRESS(1,3,1,0,"KeySet"),0),":","""",valueMaker!C334,"""")</f>
        <v>kainMeiKana:"ﾙｵ ﾁｭｲﾝ ﾕｴﾝ"</v>
      </c>
      <c r="D334" t="str" cm="1">
        <f t="array" aca="1" ref="D334" ca="1">CONCATENATE(INDIRECT(ADDRESS(1,4,1,0,"KeySet"),0),":","""",valueMaker!D334,"""")</f>
        <v>kainMeiEn:"Luo Qun Yuan"</v>
      </c>
      <c r="E334" t="str" cm="1">
        <f t="array" aca="1" ref="E334" ca="1">CONCATENATE(INDIRECT(ADDRESS(1,5,1,0,"KeySet"),0),":","""",valueMaker!E334,"""")</f>
        <v>kainGender:"男性"</v>
      </c>
      <c r="F334" t="str" cm="1">
        <f t="array" aca="1" ref="F334" ca="1">CONCATENATE(INDIRECT(ADDRESS(1,6,1,0,"KeySet"),0),":","""",TEXT(valueMaker!F334,"yyyy/m/d"),"""")</f>
        <v>tanjyoubi:"1978/3/14"</v>
      </c>
      <c r="G334" t="str" cm="1">
        <f t="array" aca="1" ref="G334" ca="1">CONCATENATE(INDIRECT(ADDRESS(1,6,1,0,"KeySet"),0),":","""",TEXT(valueMaker!G334,"yyyy/m/d"),"""")</f>
        <v>tanjyoubi:"2023/10/13"</v>
      </c>
      <c r="H334" t="str" cm="1">
        <f t="array" aca="1" ref="H334" ca="1">CONCATENATE(INDIRECT(ADDRESS(1,6,1,0,"KeySet"),0),":","""",TEXT(valueMaker!H334,"yyyy/m/d"),"""")</f>
        <v>tanjyoubi:"2026/10/12"</v>
      </c>
      <c r="I334" t="str" cm="1">
        <f t="array" aca="1" ref="I334" ca="1">CONCATENATE(INDIRECT(ADDRESS(1,9,1,0,"KeySet"),0),":","""",valueMaker!I334,"""")</f>
        <v>denwaBangou:"080-1869-0297"</v>
      </c>
      <c r="J334" t="str" cm="1">
        <f t="array" aca="1" ref="J334" ca="1">CONCATENATE(INDIRECT(ADDRESS(1,10,1,0,"KeySet"),0),":","""",valueMaker!J334,"""")</f>
        <v>mailAddress:"Luo_Qun_Yuan_45212@outlook.jp.co"</v>
      </c>
      <c r="K334" t="str" cm="1">
        <f t="array" aca="1" ref="K334" ca="1">CONCATENATE(INDIRECT(ADDRESS(1,11,1,0,"KeySet"),0),":","""",valueMaker!K334,"""")</f>
        <v>kaninSyubetu:"普通"</v>
      </c>
      <c r="L334" t="str" cm="1">
        <f t="array" aca="1" ref="L334" ca="1">CONCATENATE(INDIRECT(ADDRESS(1,12,1,0,"KeySet"),0),":","""",valueMaker!L334,"""")</f>
        <v>kaninKengenWB:"有り"</v>
      </c>
      <c r="M334" t="str" cm="1">
        <f t="array" aca="1" ref="M334" ca="1">CONCATENATE(INDIRECT(ADDRESS(1,13,1,0,"KeySet"),0),":","""",valueMaker!M334,"""")</f>
        <v>wakibiri:"5%"</v>
      </c>
      <c r="N334" t="str" cm="1">
        <f t="array" aca="1" ref="N334" ca="1">CONCATENATE(INDIRECT(ADDRESS(1,14,1,0,"KeySet"),0),":","""",valueMaker!N334,"""")</f>
        <v>kaninKengenPoint:"有り"</v>
      </c>
      <c r="O334" t="str" cm="1">
        <f t="array" aca="1" ref="O334" ca="1">CONCATENATE(INDIRECT(ADDRESS(1,15,1,0,"KeySet"),0),":","""",valueMaker!O334,"""")</f>
        <v>point:"421"</v>
      </c>
      <c r="P334" t="str" cm="1">
        <f t="array" aca="1" ref="P334" ca="1">CONCATENATE(INDIRECT(ADDRESS(1,16,1,0,"KeySet"),0),":","""",valueMaker!P334,"""")</f>
        <v>bikou:""</v>
      </c>
    </row>
    <row r="335" spans="1:16">
      <c r="A335" t="str" cm="1">
        <f t="array" aca="1" ref="A335" ca="1">CONCATENATE(INDIRECT(ADDRESS(1,1,1,0,"KeySet"),0),":","""",valueMaker!A335,"""")</f>
        <v>kainBangou:"TD10334"</v>
      </c>
      <c r="B335" t="str" cm="1">
        <f t="array" aca="1" ref="B335" ca="1">CONCATENATE(INDIRECT(ADDRESS(1,2,1,0,"KeySet"),0),":","""",valueMaker!B335,"""")</f>
        <v>kainMeiKanji:"郭衛影"</v>
      </c>
      <c r="C335" t="str" cm="1">
        <f t="array" aca="1" ref="C335" ca="1">CONCATENATE(INDIRECT(ADDRESS(1,3,1,0,"KeySet"),0),":","""",valueMaker!C335,"""")</f>
        <v>kainMeiKana:"ｸﾞｵ ｳｴｲ ｲｰﾝ"</v>
      </c>
      <c r="D335" t="str" cm="1">
        <f t="array" aca="1" ref="D335" ca="1">CONCATENATE(INDIRECT(ADDRESS(1,4,1,0,"KeySet"),0),":","""",valueMaker!D335,"""")</f>
        <v>kainMeiEn:"Guo Wei Ying"</v>
      </c>
      <c r="E335" t="str" cm="1">
        <f t="array" aca="1" ref="E335" ca="1">CONCATENATE(INDIRECT(ADDRESS(1,5,1,0,"KeySet"),0),":","""",valueMaker!E335,"""")</f>
        <v>kainGender:"女性"</v>
      </c>
      <c r="F335" t="str" cm="1">
        <f t="array" aca="1" ref="F335" ca="1">CONCATENATE(INDIRECT(ADDRESS(1,6,1,0,"KeySet"),0),":","""",TEXT(valueMaker!F335,"yyyy/m/d"),"""")</f>
        <v>tanjyoubi:"2006/4/20"</v>
      </c>
      <c r="G335" t="str" cm="1">
        <f t="array" aca="1" ref="G335" ca="1">CONCATENATE(INDIRECT(ADDRESS(1,6,1,0,"KeySet"),0),":","""",TEXT(valueMaker!G335,"yyyy/m/d"),"""")</f>
        <v>tanjyoubi:"2024/5/15"</v>
      </c>
      <c r="H335" t="str" cm="1">
        <f t="array" aca="1" ref="H335" ca="1">CONCATENATE(INDIRECT(ADDRESS(1,6,1,0,"KeySet"),0),":","""",TEXT(valueMaker!H335,"yyyy/m/d"),"""")</f>
        <v>tanjyoubi:"2025/5/15"</v>
      </c>
      <c r="I335" t="str" cm="1">
        <f t="array" aca="1" ref="I335" ca="1">CONCATENATE(INDIRECT(ADDRESS(1,9,1,0,"KeySet"),0),":","""",valueMaker!I335,"""")</f>
        <v>denwaBangou:"090-5741-2033"</v>
      </c>
      <c r="J335" t="str" cm="1">
        <f t="array" aca="1" ref="J335" ca="1">CONCATENATE(INDIRECT(ADDRESS(1,10,1,0,"KeySet"),0),":","""",valueMaker!J335,"""")</f>
        <v>mailAddress:"Guo_Wei_Ying_45427@outlook.jp.co"</v>
      </c>
      <c r="K335" t="str" cm="1">
        <f t="array" aca="1" ref="K335" ca="1">CONCATENATE(INDIRECT(ADDRESS(1,11,1,0,"KeySet"),0),":","""",valueMaker!K335,"""")</f>
        <v>kaninSyubetu:"高級"</v>
      </c>
      <c r="L335" t="str" cm="1">
        <f t="array" aca="1" ref="L335" ca="1">CONCATENATE(INDIRECT(ADDRESS(1,12,1,0,"KeySet"),0),":","""",valueMaker!L335,"""")</f>
        <v>kaninKengenWB:"有り"</v>
      </c>
      <c r="M335" t="str" cm="1">
        <f t="array" aca="1" ref="M335" ca="1">CONCATENATE(INDIRECT(ADDRESS(1,13,1,0,"KeySet"),0),":","""",valueMaker!M335,"""")</f>
        <v>wakibiri:"10%"</v>
      </c>
      <c r="N335" t="str" cm="1">
        <f t="array" aca="1" ref="N335" ca="1">CONCATENATE(INDIRECT(ADDRESS(1,14,1,0,"KeySet"),0),":","""",valueMaker!N335,"""")</f>
        <v>kaninKengenPoint:"有り"</v>
      </c>
      <c r="O335" t="str" cm="1">
        <f t="array" aca="1" ref="O335" ca="1">CONCATENATE(INDIRECT(ADDRESS(1,15,1,0,"KeySet"),0),":","""",valueMaker!O335,"""")</f>
        <v>point:"273"</v>
      </c>
      <c r="P335" t="str" cm="1">
        <f t="array" aca="1" ref="P335" ca="1">CONCATENATE(INDIRECT(ADDRESS(1,16,1,0,"KeySet"),0),":","""",valueMaker!P335,"""")</f>
        <v>bikou:""</v>
      </c>
    </row>
    <row r="336" spans="1:16">
      <c r="A336" t="str" cm="1">
        <f t="array" aca="1" ref="A336" ca="1">CONCATENATE(INDIRECT(ADDRESS(1,1,1,0,"KeySet"),0),":","""",valueMaker!A336,"""")</f>
        <v>kainBangou:"TD10335"</v>
      </c>
      <c r="B336" t="str" cm="1">
        <f t="array" aca="1" ref="B336" ca="1">CONCATENATE(INDIRECT(ADDRESS(1,2,1,0,"KeySet"),0),":","""",valueMaker!B336,"""")</f>
        <v>kainMeiKanji:"何奧常"</v>
      </c>
      <c r="C336" t="str" cm="1">
        <f t="array" aca="1" ref="C336" ca="1">CONCATENATE(INDIRECT(ADDRESS(1,3,1,0,"KeySet"),0),":","""",valueMaker!C336,"""")</f>
        <v>kainMeiKana:"ﾎｰｧ ｱｵ ﾁｬｰﾝ"</v>
      </c>
      <c r="D336" t="str" cm="1">
        <f t="array" aca="1" ref="D336" ca="1">CONCATENATE(INDIRECT(ADDRESS(1,4,1,0,"KeySet"),0),":","""",valueMaker!D336,"""")</f>
        <v>kainMeiEn:"He Ao Chang"</v>
      </c>
      <c r="E336" t="str" cm="1">
        <f t="array" aca="1" ref="E336" ca="1">CONCATENATE(INDIRECT(ADDRESS(1,5,1,0,"KeySet"),0),":","""",valueMaker!E336,"""")</f>
        <v>kainGender:"女性"</v>
      </c>
      <c r="F336" t="str" cm="1">
        <f t="array" aca="1" ref="F336" ca="1">CONCATENATE(INDIRECT(ADDRESS(1,6,1,0,"KeySet"),0),":","""",TEXT(valueMaker!F336,"yyyy/m/d"),"""")</f>
        <v>tanjyoubi:"1972/11/1"</v>
      </c>
      <c r="G336" t="str" cm="1">
        <f t="array" aca="1" ref="G336" ca="1">CONCATENATE(INDIRECT(ADDRESS(1,6,1,0,"KeySet"),0),":","""",TEXT(valueMaker!G336,"yyyy/m/d"),"""")</f>
        <v>tanjyoubi:"2003/3/1"</v>
      </c>
      <c r="H336" t="str" cm="1">
        <f t="array" aca="1" ref="H336" ca="1">CONCATENATE(INDIRECT(ADDRESS(1,6,1,0,"KeySet"),0),":","""",TEXT(valueMaker!H336,"yyyy/m/d"),"""")</f>
        <v>tanjyoubi:"2004/2/29"</v>
      </c>
      <c r="I336" t="str" cm="1">
        <f t="array" aca="1" ref="I336" ca="1">CONCATENATE(INDIRECT(ADDRESS(1,9,1,0,"KeySet"),0),":","""",valueMaker!I336,"""")</f>
        <v>denwaBangou:"090-5524-3625"</v>
      </c>
      <c r="J336" t="str" cm="1">
        <f t="array" aca="1" ref="J336" ca="1">CONCATENATE(INDIRECT(ADDRESS(1,10,1,0,"KeySet"),0),":","""",valueMaker!J336,"""")</f>
        <v>mailAddress:"He_Ao_Chang_37681@outlook.jp.co"</v>
      </c>
      <c r="K336" t="str" cm="1">
        <f t="array" aca="1" ref="K336" ca="1">CONCATENATE(INDIRECT(ADDRESS(1,11,1,0,"KeySet"),0),":","""",valueMaker!K336,"""")</f>
        <v>kaninSyubetu:"高級"</v>
      </c>
      <c r="L336" t="str" cm="1">
        <f t="array" aca="1" ref="L336" ca="1">CONCATENATE(INDIRECT(ADDRESS(1,12,1,0,"KeySet"),0),":","""",valueMaker!L336,"""")</f>
        <v>kaninKengenWB:"有り"</v>
      </c>
      <c r="M336" t="str" cm="1">
        <f t="array" aca="1" ref="M336" ca="1">CONCATENATE(INDIRECT(ADDRESS(1,13,1,0,"KeySet"),0),":","""",valueMaker!M336,"""")</f>
        <v>wakibiri:"10%"</v>
      </c>
      <c r="N336" t="str" cm="1">
        <f t="array" aca="1" ref="N336" ca="1">CONCATENATE(INDIRECT(ADDRESS(1,14,1,0,"KeySet"),0),":","""",valueMaker!N336,"""")</f>
        <v>kaninKengenPoint:"有り"</v>
      </c>
      <c r="O336" t="str" cm="1">
        <f t="array" aca="1" ref="O336" ca="1">CONCATENATE(INDIRECT(ADDRESS(1,15,1,0,"KeySet"),0),":","""",valueMaker!O336,"""")</f>
        <v>point:"758"</v>
      </c>
      <c r="P336" t="str" cm="1">
        <f t="array" aca="1" ref="P336" ca="1">CONCATENATE(INDIRECT(ADDRESS(1,16,1,0,"KeySet"),0),":","""",valueMaker!P336,"""")</f>
        <v>bikou:""</v>
      </c>
    </row>
    <row r="337" spans="1:16">
      <c r="A337" t="str" cm="1">
        <f t="array" aca="1" ref="A337" ca="1">CONCATENATE(INDIRECT(ADDRESS(1,1,1,0,"KeySet"),0),":","""",valueMaker!A337,"""")</f>
        <v>kainBangou:"TD10336"</v>
      </c>
      <c r="B337" t="str" cm="1">
        <f t="array" aca="1" ref="B337" ca="1">CONCATENATE(INDIRECT(ADDRESS(1,2,1,0,"KeySet"),0),":","""",valueMaker!B337,"""")</f>
        <v>kainMeiKanji:"唐亦茗"</v>
      </c>
      <c r="C337" t="str" cm="1">
        <f t="array" aca="1" ref="C337" ca="1">CONCATENATE(INDIRECT(ADDRESS(1,3,1,0,"KeySet"),0),":","""",valueMaker!C337,"""")</f>
        <v>kainMeiKana:"ﾀｰﾝ ｲｰ ﾐｰﾝ"</v>
      </c>
      <c r="D337" t="str" cm="1">
        <f t="array" aca="1" ref="D337" ca="1">CONCATENATE(INDIRECT(ADDRESS(1,4,1,0,"KeySet"),0),":","""",valueMaker!D337,"""")</f>
        <v>kainMeiEn:"Tang Yi Ming"</v>
      </c>
      <c r="E337" t="str" cm="1">
        <f t="array" aca="1" ref="E337" ca="1">CONCATENATE(INDIRECT(ADDRESS(1,5,1,0,"KeySet"),0),":","""",valueMaker!E337,"""")</f>
        <v>kainGender:"女性"</v>
      </c>
      <c r="F337" t="str" cm="1">
        <f t="array" aca="1" ref="F337" ca="1">CONCATENATE(INDIRECT(ADDRESS(1,6,1,0,"KeySet"),0),":","""",TEXT(valueMaker!F337,"yyyy/m/d"),"""")</f>
        <v>tanjyoubi:"1961/7/28"</v>
      </c>
      <c r="G337" t="str" cm="1">
        <f t="array" aca="1" ref="G337" ca="1">CONCATENATE(INDIRECT(ADDRESS(1,6,1,0,"KeySet"),0),":","""",TEXT(valueMaker!G337,"yyyy/m/d"),"""")</f>
        <v>tanjyoubi:"2008/1/23"</v>
      </c>
      <c r="H337" t="str" cm="1">
        <f t="array" aca="1" ref="H337" ca="1">CONCATENATE(INDIRECT(ADDRESS(1,6,1,0,"KeySet"),0),":","""",TEXT(valueMaker!H337,"yyyy/m/d"),"""")</f>
        <v>tanjyoubi:"2011/1/22"</v>
      </c>
      <c r="I337" t="str" cm="1">
        <f t="array" aca="1" ref="I337" ca="1">CONCATENATE(INDIRECT(ADDRESS(1,9,1,0,"KeySet"),0),":","""",valueMaker!I337,"""")</f>
        <v>denwaBangou:"080-7185-6476"</v>
      </c>
      <c r="J337" t="str" cm="1">
        <f t="array" aca="1" ref="J337" ca="1">CONCATENATE(INDIRECT(ADDRESS(1,10,1,0,"KeySet"),0),":","""",valueMaker!J337,"""")</f>
        <v>mailAddress:"Tang_Yi_Ming_39470@outlook.jp.co"</v>
      </c>
      <c r="K337" t="str" cm="1">
        <f t="array" aca="1" ref="K337" ca="1">CONCATENATE(INDIRECT(ADDRESS(1,11,1,0,"KeySet"),0),":","""",valueMaker!K337,"""")</f>
        <v>kaninSyubetu:"高級"</v>
      </c>
      <c r="L337" t="str" cm="1">
        <f t="array" aca="1" ref="L337" ca="1">CONCATENATE(INDIRECT(ADDRESS(1,12,1,0,"KeySet"),0),":","""",valueMaker!L337,"""")</f>
        <v>kaninKengenWB:"有り"</v>
      </c>
      <c r="M337" t="str" cm="1">
        <f t="array" aca="1" ref="M337" ca="1">CONCATENATE(INDIRECT(ADDRESS(1,13,1,0,"KeySet"),0),":","""",valueMaker!M337,"""")</f>
        <v>wakibiri:"10%"</v>
      </c>
      <c r="N337" t="str" cm="1">
        <f t="array" aca="1" ref="N337" ca="1">CONCATENATE(INDIRECT(ADDRESS(1,14,1,0,"KeySet"),0),":","""",valueMaker!N337,"""")</f>
        <v>kaninKengenPoint:"有り"</v>
      </c>
      <c r="O337" t="str" cm="1">
        <f t="array" aca="1" ref="O337" ca="1">CONCATENATE(INDIRECT(ADDRESS(1,15,1,0,"KeySet"),0),":","""",valueMaker!O337,"""")</f>
        <v>point:"525"</v>
      </c>
      <c r="P337" t="str" cm="1">
        <f t="array" aca="1" ref="P337" ca="1">CONCATENATE(INDIRECT(ADDRESS(1,16,1,0,"KeySet"),0),":","""",valueMaker!P337,"""")</f>
        <v>bikou:""</v>
      </c>
    </row>
    <row r="338" spans="1:16">
      <c r="A338" t="str" cm="1">
        <f t="array" aca="1" ref="A338" ca="1">CONCATENATE(INDIRECT(ADDRESS(1,1,1,0,"KeySet"),0),":","""",valueMaker!A338,"""")</f>
        <v>kainBangou:"TD10337"</v>
      </c>
      <c r="B338" t="str" cm="1">
        <f t="array" aca="1" ref="B338" ca="1">CONCATENATE(INDIRECT(ADDRESS(1,2,1,0,"KeySet"),0),":","""",valueMaker!B338,"""")</f>
        <v>kainMeiKanji:"謝唯慶"</v>
      </c>
      <c r="C338" t="str" cm="1">
        <f t="array" aca="1" ref="C338" ca="1">CONCATENATE(INDIRECT(ADDRESS(1,3,1,0,"KeySet"),0),":","""",valueMaker!C338,"""")</f>
        <v>kainMeiKana:"ｼｴ ｳｴｲ ﾁｰﾝ"</v>
      </c>
      <c r="D338" t="str" cm="1">
        <f t="array" aca="1" ref="D338" ca="1">CONCATENATE(INDIRECT(ADDRESS(1,4,1,0,"KeySet"),0),":","""",valueMaker!D338,"""")</f>
        <v>kainMeiEn:"Xie Wei Qing"</v>
      </c>
      <c r="E338" t="str" cm="1">
        <f t="array" aca="1" ref="E338" ca="1">CONCATENATE(INDIRECT(ADDRESS(1,5,1,0,"KeySet"),0),":","""",valueMaker!E338,"""")</f>
        <v>kainGender:"女性"</v>
      </c>
      <c r="F338" t="str" cm="1">
        <f t="array" aca="1" ref="F338" ca="1">CONCATENATE(INDIRECT(ADDRESS(1,6,1,0,"KeySet"),0),":","""",TEXT(valueMaker!F338,"yyyy/m/d"),"""")</f>
        <v>tanjyoubi:"1966/9/14"</v>
      </c>
      <c r="G338" t="str" cm="1">
        <f t="array" aca="1" ref="G338" ca="1">CONCATENATE(INDIRECT(ADDRESS(1,6,1,0,"KeySet"),0),":","""",TEXT(valueMaker!G338,"yyyy/m/d"),"""")</f>
        <v>tanjyoubi:"2015/7/24"</v>
      </c>
      <c r="H338" t="str" cm="1">
        <f t="array" aca="1" ref="H338" ca="1">CONCATENATE(INDIRECT(ADDRESS(1,6,1,0,"KeySet"),0),":","""",TEXT(valueMaker!H338,"yyyy/m/d"),"""")</f>
        <v>tanjyoubi:"2017/7/23"</v>
      </c>
      <c r="I338" t="str" cm="1">
        <f t="array" aca="1" ref="I338" ca="1">CONCATENATE(INDIRECT(ADDRESS(1,9,1,0,"KeySet"),0),":","""",valueMaker!I338,"""")</f>
        <v>denwaBangou:"090-3403-3125"</v>
      </c>
      <c r="J338" t="str" cm="1">
        <f t="array" aca="1" ref="J338" ca="1">CONCATENATE(INDIRECT(ADDRESS(1,10,1,0,"KeySet"),0),":","""",valueMaker!J338,"""")</f>
        <v>mailAddress:"Xie_Wei_Qing_42209@outlook.jp.co"</v>
      </c>
      <c r="K338" t="str" cm="1">
        <f t="array" aca="1" ref="K338" ca="1">CONCATENATE(INDIRECT(ADDRESS(1,11,1,0,"KeySet"),0),":","""",valueMaker!K338,"""")</f>
        <v>kaninSyubetu:"高級"</v>
      </c>
      <c r="L338" t="str" cm="1">
        <f t="array" aca="1" ref="L338" ca="1">CONCATENATE(INDIRECT(ADDRESS(1,12,1,0,"KeySet"),0),":","""",valueMaker!L338,"""")</f>
        <v>kaninKengenWB:"有り"</v>
      </c>
      <c r="M338" t="str" cm="1">
        <f t="array" aca="1" ref="M338" ca="1">CONCATENATE(INDIRECT(ADDRESS(1,13,1,0,"KeySet"),0),":","""",valueMaker!M338,"""")</f>
        <v>wakibiri:"10%"</v>
      </c>
      <c r="N338" t="str" cm="1">
        <f t="array" aca="1" ref="N338" ca="1">CONCATENATE(INDIRECT(ADDRESS(1,14,1,0,"KeySet"),0),":","""",valueMaker!N338,"""")</f>
        <v>kaninKengenPoint:"-"</v>
      </c>
      <c r="O338" t="str" cm="1">
        <f t="array" aca="1" ref="O338" ca="1">CONCATENATE(INDIRECT(ADDRESS(1,15,1,0,"KeySet"),0),":","""",valueMaker!O338,"""")</f>
        <v>point:"-"</v>
      </c>
      <c r="P338" t="str" cm="1">
        <f t="array" aca="1" ref="P338" ca="1">CONCATENATE(INDIRECT(ADDRESS(1,16,1,0,"KeySet"),0),":","""",valueMaker!P338,"""")</f>
        <v>bikou:""</v>
      </c>
    </row>
    <row r="339" spans="1:16">
      <c r="A339" t="str" cm="1">
        <f t="array" aca="1" ref="A339" ca="1">CONCATENATE(INDIRECT(ADDRESS(1,1,1,0,"KeySet"),0),":","""",valueMaker!A339,"""")</f>
        <v>kainBangou:"TD10338"</v>
      </c>
      <c r="B339" t="str" cm="1">
        <f t="array" aca="1" ref="B339" ca="1">CONCATENATE(INDIRECT(ADDRESS(1,2,1,0,"KeySet"),0),":","""",valueMaker!B339,"""")</f>
        <v>kainMeiKanji:"郭雅雪"</v>
      </c>
      <c r="C339" t="str" cm="1">
        <f t="array" aca="1" ref="C339" ca="1">CONCATENATE(INDIRECT(ADDRESS(1,3,1,0,"KeySet"),0),":","""",valueMaker!C339,"""")</f>
        <v>kainMeiKana:"ｸﾞｵ ﾔｰ ｼｭｴ"</v>
      </c>
      <c r="D339" t="str" cm="1">
        <f t="array" aca="1" ref="D339" ca="1">CONCATENATE(INDIRECT(ADDRESS(1,4,1,0,"KeySet"),0),":","""",valueMaker!D339,"""")</f>
        <v>kainMeiEn:"Guo Ya Xue"</v>
      </c>
      <c r="E339" t="str" cm="1">
        <f t="array" aca="1" ref="E339" ca="1">CONCATENATE(INDIRECT(ADDRESS(1,5,1,0,"KeySet"),0),":","""",valueMaker!E339,"""")</f>
        <v>kainGender:"男性"</v>
      </c>
      <c r="F339" t="str" cm="1">
        <f t="array" aca="1" ref="F339" ca="1">CONCATENATE(INDIRECT(ADDRESS(1,6,1,0,"KeySet"),0),":","""",TEXT(valueMaker!F339,"yyyy/m/d"),"""")</f>
        <v>tanjyoubi:"1966/10/17"</v>
      </c>
      <c r="G339" t="str" cm="1">
        <f t="array" aca="1" ref="G339" ca="1">CONCATENATE(INDIRECT(ADDRESS(1,6,1,0,"KeySet"),0),":","""",TEXT(valueMaker!G339,"yyyy/m/d"),"""")</f>
        <v>tanjyoubi:"1984/10/25"</v>
      </c>
      <c r="H339" t="str" cm="1">
        <f t="array" aca="1" ref="H339" ca="1">CONCATENATE(INDIRECT(ADDRESS(1,6,1,0,"KeySet"),0),":","""",TEXT(valueMaker!H339,"yyyy/m/d"),"""")</f>
        <v>tanjyoubi:"1985/10/25"</v>
      </c>
      <c r="I339" t="str" cm="1">
        <f t="array" aca="1" ref="I339" ca="1">CONCATENATE(INDIRECT(ADDRESS(1,9,1,0,"KeySet"),0),":","""",valueMaker!I339,"""")</f>
        <v>denwaBangou:"080-6248-7137"</v>
      </c>
      <c r="J339" t="str" cm="1">
        <f t="array" aca="1" ref="J339" ca="1">CONCATENATE(INDIRECT(ADDRESS(1,10,1,0,"KeySet"),0),":","""",valueMaker!J339,"""")</f>
        <v>mailAddress:"Guo_Ya_Xue_30980@outlook.jp.co"</v>
      </c>
      <c r="K339" t="str" cm="1">
        <f t="array" aca="1" ref="K339" ca="1">CONCATENATE(INDIRECT(ADDRESS(1,11,1,0,"KeySet"),0),":","""",valueMaker!K339,"""")</f>
        <v>kaninSyubetu:"普通"</v>
      </c>
      <c r="L339" t="str" cm="1">
        <f t="array" aca="1" ref="L339" ca="1">CONCATENATE(INDIRECT(ADDRESS(1,12,1,0,"KeySet"),0),":","""",valueMaker!L339,"""")</f>
        <v>kaninKengenWB:"有り"</v>
      </c>
      <c r="M339" t="str" cm="1">
        <f t="array" aca="1" ref="M339" ca="1">CONCATENATE(INDIRECT(ADDRESS(1,13,1,0,"KeySet"),0),":","""",valueMaker!M339,"""")</f>
        <v>wakibiri:"5%"</v>
      </c>
      <c r="N339" t="str" cm="1">
        <f t="array" aca="1" ref="N339" ca="1">CONCATENATE(INDIRECT(ADDRESS(1,14,1,0,"KeySet"),0),":","""",valueMaker!N339,"""")</f>
        <v>kaninKengenPoint:"有り"</v>
      </c>
      <c r="O339" t="str" cm="1">
        <f t="array" aca="1" ref="O339" ca="1">CONCATENATE(INDIRECT(ADDRESS(1,15,1,0,"KeySet"),0),":","""",valueMaker!O339,"""")</f>
        <v>point:"735"</v>
      </c>
      <c r="P339" t="str" cm="1">
        <f t="array" aca="1" ref="P339" ca="1">CONCATENATE(INDIRECT(ADDRESS(1,16,1,0,"KeySet"),0),":","""",valueMaker!P339,"""")</f>
        <v>bikou:""</v>
      </c>
    </row>
    <row r="340" spans="1:16">
      <c r="A340" t="str" cm="1">
        <f t="array" aca="1" ref="A340" ca="1">CONCATENATE(INDIRECT(ADDRESS(1,1,1,0,"KeySet"),0),":","""",valueMaker!A340,"""")</f>
        <v>kainBangou:"TD10339"</v>
      </c>
      <c r="B340" t="str" cm="1">
        <f t="array" aca="1" ref="B340" ca="1">CONCATENATE(INDIRECT(ADDRESS(1,2,1,0,"KeySet"),0),":","""",valueMaker!B340,"""")</f>
        <v>kainMeiKanji:"宋濤泉"</v>
      </c>
      <c r="C340" t="str" cm="1">
        <f t="array" aca="1" ref="C340" ca="1">CONCATENATE(INDIRECT(ADDRESS(1,3,1,0,"KeySet"),0),":","""",valueMaker!C340,"""")</f>
        <v>kainMeiKana:"ｿｰﾝ ﾀｵ ﾁｭｴﾝ"</v>
      </c>
      <c r="D340" t="str" cm="1">
        <f t="array" aca="1" ref="D340" ca="1">CONCATENATE(INDIRECT(ADDRESS(1,4,1,0,"KeySet"),0),":","""",valueMaker!D340,"""")</f>
        <v>kainMeiEn:"Song Tao Quan"</v>
      </c>
      <c r="E340" t="str" cm="1">
        <f t="array" aca="1" ref="E340" ca="1">CONCATENATE(INDIRECT(ADDRESS(1,5,1,0,"KeySet"),0),":","""",valueMaker!E340,"""")</f>
        <v>kainGender:"女性"</v>
      </c>
      <c r="F340" t="str" cm="1">
        <f t="array" aca="1" ref="F340" ca="1">CONCATENATE(INDIRECT(ADDRESS(1,6,1,0,"KeySet"),0),":","""",TEXT(valueMaker!F340,"yyyy/m/d"),"""")</f>
        <v>tanjyoubi:"1971/6/28"</v>
      </c>
      <c r="G340" t="str" cm="1">
        <f t="array" aca="1" ref="G340" ca="1">CONCATENATE(INDIRECT(ADDRESS(1,6,1,0,"KeySet"),0),":","""",TEXT(valueMaker!G340,"yyyy/m/d"),"""")</f>
        <v>tanjyoubi:"1997/6/8"</v>
      </c>
      <c r="H340" t="str" cm="1">
        <f t="array" aca="1" ref="H340" ca="1">CONCATENATE(INDIRECT(ADDRESS(1,6,1,0,"KeySet"),0),":","""",TEXT(valueMaker!H340,"yyyy/m/d"),"""")</f>
        <v>tanjyoubi:"1998/6/8"</v>
      </c>
      <c r="I340" t="str" cm="1">
        <f t="array" aca="1" ref="I340" ca="1">CONCATENATE(INDIRECT(ADDRESS(1,9,1,0,"KeySet"),0),":","""",valueMaker!I340,"""")</f>
        <v>denwaBangou:"090-2568-4259"</v>
      </c>
      <c r="J340" t="str" cm="1">
        <f t="array" aca="1" ref="J340" ca="1">CONCATENATE(INDIRECT(ADDRESS(1,10,1,0,"KeySet"),0),":","""",valueMaker!J340,"""")</f>
        <v>mailAddress:"Song_Tao_Quan_35589@outlook.jp.co"</v>
      </c>
      <c r="K340" t="str" cm="1">
        <f t="array" aca="1" ref="K340" ca="1">CONCATENATE(INDIRECT(ADDRESS(1,11,1,0,"KeySet"),0),":","""",valueMaker!K340,"""")</f>
        <v>kaninSyubetu:"普通"</v>
      </c>
      <c r="L340" t="str" cm="1">
        <f t="array" aca="1" ref="L340" ca="1">CONCATENATE(INDIRECT(ADDRESS(1,12,1,0,"KeySet"),0),":","""",valueMaker!L340,"""")</f>
        <v>kaninKengenWB:"有り"</v>
      </c>
      <c r="M340" t="str" cm="1">
        <f t="array" aca="1" ref="M340" ca="1">CONCATENATE(INDIRECT(ADDRESS(1,13,1,0,"KeySet"),0),":","""",valueMaker!M340,"""")</f>
        <v>wakibiri:"5%"</v>
      </c>
      <c r="N340" t="str" cm="1">
        <f t="array" aca="1" ref="N340" ca="1">CONCATENATE(INDIRECT(ADDRESS(1,14,1,0,"KeySet"),0),":","""",valueMaker!N340,"""")</f>
        <v>kaninKengenPoint:"有り"</v>
      </c>
      <c r="O340" t="str" cm="1">
        <f t="array" aca="1" ref="O340" ca="1">CONCATENATE(INDIRECT(ADDRESS(1,15,1,0,"KeySet"),0),":","""",valueMaker!O340,"""")</f>
        <v>point:"343"</v>
      </c>
      <c r="P340" t="str" cm="1">
        <f t="array" aca="1" ref="P340" ca="1">CONCATENATE(INDIRECT(ADDRESS(1,16,1,0,"KeySet"),0),":","""",valueMaker!P340,"""")</f>
        <v>bikou:""</v>
      </c>
    </row>
    <row r="341" spans="1:16">
      <c r="A341" t="str" cm="1">
        <f t="array" aca="1" ref="A341" ca="1">CONCATENATE(INDIRECT(ADDRESS(1,1,1,0,"KeySet"),0),":","""",valueMaker!A341,"""")</f>
        <v>kainBangou:"TD10340"</v>
      </c>
      <c r="B341" t="str" cm="1">
        <f t="array" aca="1" ref="B341" ca="1">CONCATENATE(INDIRECT(ADDRESS(1,2,1,0,"KeySet"),0),":","""",valueMaker!B341,"""")</f>
        <v>kainMeiKanji:"高亦茗"</v>
      </c>
      <c r="C341" t="str" cm="1">
        <f t="array" aca="1" ref="C341" ca="1">CONCATENATE(INDIRECT(ADDRESS(1,3,1,0,"KeySet"),0),":","""",valueMaker!C341,"""")</f>
        <v>kainMeiKana:"ｶﾞｵ ｲｰ ﾐｰﾝ"</v>
      </c>
      <c r="D341" t="str" cm="1">
        <f t="array" aca="1" ref="D341" ca="1">CONCATENATE(INDIRECT(ADDRESS(1,4,1,0,"KeySet"),0),":","""",valueMaker!D341,"""")</f>
        <v>kainMeiEn:"Gao Yi Ming"</v>
      </c>
      <c r="E341" t="str" cm="1">
        <f t="array" aca="1" ref="E341" ca="1">CONCATENATE(INDIRECT(ADDRESS(1,5,1,0,"KeySet"),0),":","""",valueMaker!E341,"""")</f>
        <v>kainGender:"男性"</v>
      </c>
      <c r="F341" t="str" cm="1">
        <f t="array" aca="1" ref="F341" ca="1">CONCATENATE(INDIRECT(ADDRESS(1,6,1,0,"KeySet"),0),":","""",TEXT(valueMaker!F341,"yyyy/m/d"),"""")</f>
        <v>tanjyoubi:"1989/1/2"</v>
      </c>
      <c r="G341" t="str" cm="1">
        <f t="array" aca="1" ref="G341" ca="1">CONCATENATE(INDIRECT(ADDRESS(1,6,1,0,"KeySet"),0),":","""",TEXT(valueMaker!G341,"yyyy/m/d"),"""")</f>
        <v>tanjyoubi:"2008/10/9"</v>
      </c>
      <c r="H341" t="str" cm="1">
        <f t="array" aca="1" ref="H341" ca="1">CONCATENATE(INDIRECT(ADDRESS(1,6,1,0,"KeySet"),0),":","""",TEXT(valueMaker!H341,"yyyy/m/d"),"""")</f>
        <v>tanjyoubi:"2010/10/9"</v>
      </c>
      <c r="I341" t="str" cm="1">
        <f t="array" aca="1" ref="I341" ca="1">CONCATENATE(INDIRECT(ADDRESS(1,9,1,0,"KeySet"),0),":","""",valueMaker!I341,"""")</f>
        <v>denwaBangou:"080-4912-9557"</v>
      </c>
      <c r="J341" t="str" cm="1">
        <f t="array" aca="1" ref="J341" ca="1">CONCATENATE(INDIRECT(ADDRESS(1,10,1,0,"KeySet"),0),":","""",valueMaker!J341,"""")</f>
        <v>mailAddress:"Gao_Yi_Ming_39730@outlook.jp.co"</v>
      </c>
      <c r="K341" t="str" cm="1">
        <f t="array" aca="1" ref="K341" ca="1">CONCATENATE(INDIRECT(ADDRESS(1,11,1,0,"KeySet"),0),":","""",valueMaker!K341,"""")</f>
        <v>kaninSyubetu:"高級"</v>
      </c>
      <c r="L341" t="str" cm="1">
        <f t="array" aca="1" ref="L341" ca="1">CONCATENATE(INDIRECT(ADDRESS(1,12,1,0,"KeySet"),0),":","""",valueMaker!L341,"""")</f>
        <v>kaninKengenWB:"有り"</v>
      </c>
      <c r="M341" t="str" cm="1">
        <f t="array" aca="1" ref="M341" ca="1">CONCATENATE(INDIRECT(ADDRESS(1,13,1,0,"KeySet"),0),":","""",valueMaker!M341,"""")</f>
        <v>wakibiri:"10%"</v>
      </c>
      <c r="N341" t="str" cm="1">
        <f t="array" aca="1" ref="N341" ca="1">CONCATENATE(INDIRECT(ADDRESS(1,14,1,0,"KeySet"),0),":","""",valueMaker!N341,"""")</f>
        <v>kaninKengenPoint:"-"</v>
      </c>
      <c r="O341" t="str" cm="1">
        <f t="array" aca="1" ref="O341" ca="1">CONCATENATE(INDIRECT(ADDRESS(1,15,1,0,"KeySet"),0),":","""",valueMaker!O341,"""")</f>
        <v>point:"-"</v>
      </c>
      <c r="P341" t="str" cm="1">
        <f t="array" aca="1" ref="P341" ca="1">CONCATENATE(INDIRECT(ADDRESS(1,16,1,0,"KeySet"),0),":","""",valueMaker!P341,"""")</f>
        <v>bikou:""</v>
      </c>
    </row>
    <row r="342" spans="1:16">
      <c r="A342" t="str" cm="1">
        <f t="array" aca="1" ref="A342" ca="1">CONCATENATE(INDIRECT(ADDRESS(1,1,1,0,"KeySet"),0),":","""",valueMaker!A342,"""")</f>
        <v>kainBangou:"TD10341"</v>
      </c>
      <c r="B342" t="str" cm="1">
        <f t="array" aca="1" ref="B342" ca="1">CONCATENATE(INDIRECT(ADDRESS(1,2,1,0,"KeySet"),0),":","""",valueMaker!B342,"""")</f>
        <v>kainMeiKanji:"李潤頓"</v>
      </c>
      <c r="C342" t="str" cm="1">
        <f t="array" aca="1" ref="C342" ca="1">CONCATENATE(INDIRECT(ADDRESS(1,3,1,0,"KeySet"),0),":","""",valueMaker!C342,"""")</f>
        <v>kainMeiKana:"ﾘｰ ｩﾙﾝ ﾄﾞｩﾝ"</v>
      </c>
      <c r="D342" t="str" cm="1">
        <f t="array" aca="1" ref="D342" ca="1">CONCATENATE(INDIRECT(ADDRESS(1,4,1,0,"KeySet"),0),":","""",valueMaker!D342,"""")</f>
        <v>kainMeiEn:"Li Run Dun"</v>
      </c>
      <c r="E342" t="str" cm="1">
        <f t="array" aca="1" ref="E342" ca="1">CONCATENATE(INDIRECT(ADDRESS(1,5,1,0,"KeySet"),0),":","""",valueMaker!E342,"""")</f>
        <v>kainGender:"女性"</v>
      </c>
      <c r="F342" t="str" cm="1">
        <f t="array" aca="1" ref="F342" ca="1">CONCATENATE(INDIRECT(ADDRESS(1,6,1,0,"KeySet"),0),":","""",TEXT(valueMaker!F342,"yyyy/m/d"),"""")</f>
        <v>tanjyoubi:"1987/3/17"</v>
      </c>
      <c r="G342" t="str" cm="1">
        <f t="array" aca="1" ref="G342" ca="1">CONCATENATE(INDIRECT(ADDRESS(1,6,1,0,"KeySet"),0),":","""",TEXT(valueMaker!G342,"yyyy/m/d"),"""")</f>
        <v>tanjyoubi:"2016/6/1"</v>
      </c>
      <c r="H342" t="str" cm="1">
        <f t="array" aca="1" ref="H342" ca="1">CONCATENATE(INDIRECT(ADDRESS(1,6,1,0,"KeySet"),0),":","""",TEXT(valueMaker!H342,"yyyy/m/d"),"""")</f>
        <v>tanjyoubi:"2019/6/1"</v>
      </c>
      <c r="I342" t="str" cm="1">
        <f t="array" aca="1" ref="I342" ca="1">CONCATENATE(INDIRECT(ADDRESS(1,9,1,0,"KeySet"),0),":","""",valueMaker!I342,"""")</f>
        <v>denwaBangou:"080-6576-5598"</v>
      </c>
      <c r="J342" t="str" cm="1">
        <f t="array" aca="1" ref="J342" ca="1">CONCATENATE(INDIRECT(ADDRESS(1,10,1,0,"KeySet"),0),":","""",valueMaker!J342,"""")</f>
        <v>mailAddress:"Li_Run Dun_42522@outlook.jp.co"</v>
      </c>
      <c r="K342" t="str" cm="1">
        <f t="array" aca="1" ref="K342" ca="1">CONCATENATE(INDIRECT(ADDRESS(1,11,1,0,"KeySet"),0),":","""",valueMaker!K342,"""")</f>
        <v>kaninSyubetu:"高級"</v>
      </c>
      <c r="L342" t="str" cm="1">
        <f t="array" aca="1" ref="L342" ca="1">CONCATENATE(INDIRECT(ADDRESS(1,12,1,0,"KeySet"),0),":","""",valueMaker!L342,"""")</f>
        <v>kaninKengenWB:"有り"</v>
      </c>
      <c r="M342" t="str" cm="1">
        <f t="array" aca="1" ref="M342" ca="1">CONCATENATE(INDIRECT(ADDRESS(1,13,1,0,"KeySet"),0),":","""",valueMaker!M342,"""")</f>
        <v>wakibiri:"10%"</v>
      </c>
      <c r="N342" t="str" cm="1">
        <f t="array" aca="1" ref="N342" ca="1">CONCATENATE(INDIRECT(ADDRESS(1,14,1,0,"KeySet"),0),":","""",valueMaker!N342,"""")</f>
        <v>kaninKengenPoint:"有り"</v>
      </c>
      <c r="O342" t="str" cm="1">
        <f t="array" aca="1" ref="O342" ca="1">CONCATENATE(INDIRECT(ADDRESS(1,15,1,0,"KeySet"),0),":","""",valueMaker!O342,"""")</f>
        <v>point:"383"</v>
      </c>
      <c r="P342" t="str" cm="1">
        <f t="array" aca="1" ref="P342" ca="1">CONCATENATE(INDIRECT(ADDRESS(1,16,1,0,"KeySet"),0),":","""",valueMaker!P342,"""")</f>
        <v>bikou:""</v>
      </c>
    </row>
    <row r="343" spans="1:16">
      <c r="A343" t="str" cm="1">
        <f t="array" aca="1" ref="A343" ca="1">CONCATENATE(INDIRECT(ADDRESS(1,1,1,0,"KeySet"),0),":","""",valueMaker!A343,"""")</f>
        <v>kainBangou:"TD10342"</v>
      </c>
      <c r="B343" t="str" cm="1">
        <f t="array" aca="1" ref="B343" ca="1">CONCATENATE(INDIRECT(ADDRESS(1,2,1,0,"KeySet"),0),":","""",valueMaker!B343,"""")</f>
        <v>kainMeiKanji:"劉心禹"</v>
      </c>
      <c r="C343" t="str" cm="1">
        <f t="array" aca="1" ref="C343" ca="1">CONCATENATE(INDIRECT(ADDRESS(1,3,1,0,"KeySet"),0),":","""",valueMaker!C343,"""")</f>
        <v>kainMeiKana:"ﾘｳ ｼﾝ ﾕｲ"</v>
      </c>
      <c r="D343" t="str" cm="1">
        <f t="array" aca="1" ref="D343" ca="1">CONCATENATE(INDIRECT(ADDRESS(1,4,1,0,"KeySet"),0),":","""",valueMaker!D343,"""")</f>
        <v>kainMeiEn:"Liu Xin Yu"</v>
      </c>
      <c r="E343" t="str" cm="1">
        <f t="array" aca="1" ref="E343" ca="1">CONCATENATE(INDIRECT(ADDRESS(1,5,1,0,"KeySet"),0),":","""",valueMaker!E343,"""")</f>
        <v>kainGender:"男性"</v>
      </c>
      <c r="F343" t="str" cm="1">
        <f t="array" aca="1" ref="F343" ca="1">CONCATENATE(INDIRECT(ADDRESS(1,6,1,0,"KeySet"),0),":","""",TEXT(valueMaker!F343,"yyyy/m/d"),"""")</f>
        <v>tanjyoubi:"1981/1/13"</v>
      </c>
      <c r="G343" t="str" cm="1">
        <f t="array" aca="1" ref="G343" ca="1">CONCATENATE(INDIRECT(ADDRESS(1,6,1,0,"KeySet"),0),":","""",TEXT(valueMaker!G343,"yyyy/m/d"),"""")</f>
        <v>tanjyoubi:"2012/12/18"</v>
      </c>
      <c r="H343" t="str" cm="1">
        <f t="array" aca="1" ref="H343" ca="1">CONCATENATE(INDIRECT(ADDRESS(1,6,1,0,"KeySet"),0),":","""",TEXT(valueMaker!H343,"yyyy/m/d"),"""")</f>
        <v>tanjyoubi:"2014/12/18"</v>
      </c>
      <c r="I343" t="str" cm="1">
        <f t="array" aca="1" ref="I343" ca="1">CONCATENATE(INDIRECT(ADDRESS(1,9,1,0,"KeySet"),0),":","""",valueMaker!I343,"""")</f>
        <v>denwaBangou:"080-6610-7858"</v>
      </c>
      <c r="J343" t="str" cm="1">
        <f t="array" aca="1" ref="J343" ca="1">CONCATENATE(INDIRECT(ADDRESS(1,10,1,0,"KeySet"),0),":","""",valueMaker!J343,"""")</f>
        <v>mailAddress:"Liu_Xin_Yu_41261@outlook.jp.co"</v>
      </c>
      <c r="K343" t="str" cm="1">
        <f t="array" aca="1" ref="K343" ca="1">CONCATENATE(INDIRECT(ADDRESS(1,11,1,0,"KeySet"),0),":","""",valueMaker!K343,"""")</f>
        <v>kaninSyubetu:"普通"</v>
      </c>
      <c r="L343" t="str" cm="1">
        <f t="array" aca="1" ref="L343" ca="1">CONCATENATE(INDIRECT(ADDRESS(1,12,1,0,"KeySet"),0),":","""",valueMaker!L343,"""")</f>
        <v>kaninKengenWB:"有り"</v>
      </c>
      <c r="M343" t="str" cm="1">
        <f t="array" aca="1" ref="M343" ca="1">CONCATENATE(INDIRECT(ADDRESS(1,13,1,0,"KeySet"),0),":","""",valueMaker!M343,"""")</f>
        <v>wakibiri:"5%"</v>
      </c>
      <c r="N343" t="str" cm="1">
        <f t="array" aca="1" ref="N343" ca="1">CONCATENATE(INDIRECT(ADDRESS(1,14,1,0,"KeySet"),0),":","""",valueMaker!N343,"""")</f>
        <v>kaninKengenPoint:"有り"</v>
      </c>
      <c r="O343" t="str" cm="1">
        <f t="array" aca="1" ref="O343" ca="1">CONCATENATE(INDIRECT(ADDRESS(1,15,1,0,"KeySet"),0),":","""",valueMaker!O343,"""")</f>
        <v>point:"470"</v>
      </c>
      <c r="P343" t="str" cm="1">
        <f t="array" aca="1" ref="P343" ca="1">CONCATENATE(INDIRECT(ADDRESS(1,16,1,0,"KeySet"),0),":","""",valueMaker!P343,"""")</f>
        <v>bikou:""</v>
      </c>
    </row>
    <row r="344" spans="1:16">
      <c r="A344" t="str" cm="1">
        <f t="array" aca="1" ref="A344" ca="1">CONCATENATE(INDIRECT(ADDRESS(1,1,1,0,"KeySet"),0),":","""",valueMaker!A344,"""")</f>
        <v>kainBangou:"TD10343"</v>
      </c>
      <c r="B344" t="str" cm="1">
        <f t="array" aca="1" ref="B344" ca="1">CONCATENATE(INDIRECT(ADDRESS(1,2,1,0,"KeySet"),0),":","""",valueMaker!B344,"""")</f>
        <v>kainMeiKanji:"羅赫佑"</v>
      </c>
      <c r="C344" t="str" cm="1">
        <f t="array" aca="1" ref="C344" ca="1">CONCATENATE(INDIRECT(ADDRESS(1,3,1,0,"KeySet"),0),":","""",valueMaker!C344,"""")</f>
        <v>kainMeiKana:"ﾙｵ ﾎｰｧ ﾖｳ"</v>
      </c>
      <c r="D344" t="str" cm="1">
        <f t="array" aca="1" ref="D344" ca="1">CONCATENATE(INDIRECT(ADDRESS(1,4,1,0,"KeySet"),0),":","""",valueMaker!D344,"""")</f>
        <v>kainMeiEn:"Luo He You"</v>
      </c>
      <c r="E344" t="str" cm="1">
        <f t="array" aca="1" ref="E344" ca="1">CONCATENATE(INDIRECT(ADDRESS(1,5,1,0,"KeySet"),0),":","""",valueMaker!E344,"""")</f>
        <v>kainGender:"男性"</v>
      </c>
      <c r="F344" t="str" cm="1">
        <f t="array" aca="1" ref="F344" ca="1">CONCATENATE(INDIRECT(ADDRESS(1,6,1,0,"KeySet"),0),":","""",TEXT(valueMaker!F344,"yyyy/m/d"),"""")</f>
        <v>tanjyoubi:"1967/10/23"</v>
      </c>
      <c r="G344" t="str" cm="1">
        <f t="array" aca="1" ref="G344" ca="1">CONCATENATE(INDIRECT(ADDRESS(1,6,1,0,"KeySet"),0),":","""",TEXT(valueMaker!G344,"yyyy/m/d"),"""")</f>
        <v>tanjyoubi:"1999/5/3"</v>
      </c>
      <c r="H344" t="str" cm="1">
        <f t="array" aca="1" ref="H344" ca="1">CONCATENATE(INDIRECT(ADDRESS(1,6,1,0,"KeySet"),0),":","""",TEXT(valueMaker!H344,"yyyy/m/d"),"""")</f>
        <v>tanjyoubi:"2001/5/2"</v>
      </c>
      <c r="I344" t="str" cm="1">
        <f t="array" aca="1" ref="I344" ca="1">CONCATENATE(INDIRECT(ADDRESS(1,9,1,0,"KeySet"),0),":","""",valueMaker!I344,"""")</f>
        <v>denwaBangou:"080-8838-7100"</v>
      </c>
      <c r="J344" t="str" cm="1">
        <f t="array" aca="1" ref="J344" ca="1">CONCATENATE(INDIRECT(ADDRESS(1,10,1,0,"KeySet"),0),":","""",valueMaker!J344,"""")</f>
        <v>mailAddress:"Luo_He_You_36283@outlook.jp.co"</v>
      </c>
      <c r="K344" t="str" cm="1">
        <f t="array" aca="1" ref="K344" ca="1">CONCATENATE(INDIRECT(ADDRESS(1,11,1,0,"KeySet"),0),":","""",valueMaker!K344,"""")</f>
        <v>kaninSyubetu:"普通"</v>
      </c>
      <c r="L344" t="str" cm="1">
        <f t="array" aca="1" ref="L344" ca="1">CONCATENATE(INDIRECT(ADDRESS(1,12,1,0,"KeySet"),0),":","""",valueMaker!L344,"""")</f>
        <v>kaninKengenWB:"有り"</v>
      </c>
      <c r="M344" t="str" cm="1">
        <f t="array" aca="1" ref="M344" ca="1">CONCATENATE(INDIRECT(ADDRESS(1,13,1,0,"KeySet"),0),":","""",valueMaker!M344,"""")</f>
        <v>wakibiri:"5%"</v>
      </c>
      <c r="N344" t="str" cm="1">
        <f t="array" aca="1" ref="N344" ca="1">CONCATENATE(INDIRECT(ADDRESS(1,14,1,0,"KeySet"),0),":","""",valueMaker!N344,"""")</f>
        <v>kaninKengenPoint:"-"</v>
      </c>
      <c r="O344" t="str" cm="1">
        <f t="array" aca="1" ref="O344" ca="1">CONCATENATE(INDIRECT(ADDRESS(1,15,1,0,"KeySet"),0),":","""",valueMaker!O344,"""")</f>
        <v>point:"-"</v>
      </c>
      <c r="P344" t="str" cm="1">
        <f t="array" aca="1" ref="P344" ca="1">CONCATENATE(INDIRECT(ADDRESS(1,16,1,0,"KeySet"),0),":","""",valueMaker!P344,"""")</f>
        <v>bikou:""</v>
      </c>
    </row>
    <row r="345" spans="1:16">
      <c r="A345" t="str" cm="1">
        <f t="array" aca="1" ref="A345" ca="1">CONCATENATE(INDIRECT(ADDRESS(1,1,1,0,"KeySet"),0),":","""",valueMaker!A345,"""")</f>
        <v>kainBangou:"TD10344"</v>
      </c>
      <c r="B345" t="str" cm="1">
        <f t="array" aca="1" ref="B345" ca="1">CONCATENATE(INDIRECT(ADDRESS(1,2,1,0,"KeySet"),0),":","""",valueMaker!B345,"""")</f>
        <v>kainMeiKanji:"韓霆名"</v>
      </c>
      <c r="C345" t="str" cm="1">
        <f t="array" aca="1" ref="C345" ca="1">CONCATENATE(INDIRECT(ADDRESS(1,3,1,0,"KeySet"),0),":","""",valueMaker!C345,"""")</f>
        <v>kainMeiKana:"ﾊﾝ ﾃｨｰﾝ ﾐｰﾝ"</v>
      </c>
      <c r="D345" t="str" cm="1">
        <f t="array" aca="1" ref="D345" ca="1">CONCATENATE(INDIRECT(ADDRESS(1,4,1,0,"KeySet"),0),":","""",valueMaker!D345,"""")</f>
        <v>kainMeiEn:"Han Ting Ming"</v>
      </c>
      <c r="E345" t="str" cm="1">
        <f t="array" aca="1" ref="E345" ca="1">CONCATENATE(INDIRECT(ADDRESS(1,5,1,0,"KeySet"),0),":","""",valueMaker!E345,"""")</f>
        <v>kainGender:"男性"</v>
      </c>
      <c r="F345" t="str" cm="1">
        <f t="array" aca="1" ref="F345" ca="1">CONCATENATE(INDIRECT(ADDRESS(1,6,1,0,"KeySet"),0),":","""",TEXT(valueMaker!F345,"yyyy/m/d"),"""")</f>
        <v>tanjyoubi:"1965/12/15"</v>
      </c>
      <c r="G345" t="str" cm="1">
        <f t="array" aca="1" ref="G345" ca="1">CONCATENATE(INDIRECT(ADDRESS(1,6,1,0,"KeySet"),0),":","""",TEXT(valueMaker!G345,"yyyy/m/d"),"""")</f>
        <v>tanjyoubi:"1987/1/18"</v>
      </c>
      <c r="H345" t="str" cm="1">
        <f t="array" aca="1" ref="H345" ca="1">CONCATENATE(INDIRECT(ADDRESS(1,6,1,0,"KeySet"),0),":","""",TEXT(valueMaker!H345,"yyyy/m/d"),"""")</f>
        <v>tanjyoubi:"1989/1/17"</v>
      </c>
      <c r="I345" t="str" cm="1">
        <f t="array" aca="1" ref="I345" ca="1">CONCATENATE(INDIRECT(ADDRESS(1,9,1,0,"KeySet"),0),":","""",valueMaker!I345,"""")</f>
        <v>denwaBangou:"080-8063-1373"</v>
      </c>
      <c r="J345" t="str" cm="1">
        <f t="array" aca="1" ref="J345" ca="1">CONCATENATE(INDIRECT(ADDRESS(1,10,1,0,"KeySet"),0),":","""",valueMaker!J345,"""")</f>
        <v>mailAddress:"Han_Ting_Ming_31795@outlook.jp.co"</v>
      </c>
      <c r="K345" t="str" cm="1">
        <f t="array" aca="1" ref="K345" ca="1">CONCATENATE(INDIRECT(ADDRESS(1,11,1,0,"KeySet"),0),":","""",valueMaker!K345,"""")</f>
        <v>kaninSyubetu:"普通"</v>
      </c>
      <c r="L345" t="str" cm="1">
        <f t="array" aca="1" ref="L345" ca="1">CONCATENATE(INDIRECT(ADDRESS(1,12,1,0,"KeySet"),0),":","""",valueMaker!L345,"""")</f>
        <v>kaninKengenWB:"有り"</v>
      </c>
      <c r="M345" t="str" cm="1">
        <f t="array" aca="1" ref="M345" ca="1">CONCATENATE(INDIRECT(ADDRESS(1,13,1,0,"KeySet"),0),":","""",valueMaker!M345,"""")</f>
        <v>wakibiri:"5%"</v>
      </c>
      <c r="N345" t="str" cm="1">
        <f t="array" aca="1" ref="N345" ca="1">CONCATENATE(INDIRECT(ADDRESS(1,14,1,0,"KeySet"),0),":","""",valueMaker!N345,"""")</f>
        <v>kaninKengenPoint:"有り"</v>
      </c>
      <c r="O345" t="str" cm="1">
        <f t="array" aca="1" ref="O345" ca="1">CONCATENATE(INDIRECT(ADDRESS(1,15,1,0,"KeySet"),0),":","""",valueMaker!O345,"""")</f>
        <v>point:"736"</v>
      </c>
      <c r="P345" t="str" cm="1">
        <f t="array" aca="1" ref="P345" ca="1">CONCATENATE(INDIRECT(ADDRESS(1,16,1,0,"KeySet"),0),":","""",valueMaker!P345,"""")</f>
        <v>bikou:""</v>
      </c>
    </row>
    <row r="346" spans="1:16">
      <c r="A346" t="str" cm="1">
        <f t="array" aca="1" ref="A346" ca="1">CONCATENATE(INDIRECT(ADDRESS(1,1,1,0,"KeySet"),0),":","""",valueMaker!A346,"""")</f>
        <v>kainBangou:"TD10345"</v>
      </c>
      <c r="B346" t="str" cm="1">
        <f t="array" aca="1" ref="B346" ca="1">CONCATENATE(INDIRECT(ADDRESS(1,2,1,0,"KeySet"),0),":","""",valueMaker!B346,"""")</f>
        <v>kainMeiKanji:"黃彩金"</v>
      </c>
      <c r="C346" t="str" cm="1">
        <f t="array" aca="1" ref="C346" ca="1">CONCATENATE(INDIRECT(ADDRESS(1,3,1,0,"KeySet"),0),":","""",valueMaker!C346,"""")</f>
        <v>kainMeiKana:"ﾎﾜｰﾝ ﾂｧｲ ｼﾞﾝ"</v>
      </c>
      <c r="D346" t="str" cm="1">
        <f t="array" aca="1" ref="D346" ca="1">CONCATENATE(INDIRECT(ADDRESS(1,4,1,0,"KeySet"),0),":","""",valueMaker!D346,"""")</f>
        <v>kainMeiEn:"Huang Cai Jin"</v>
      </c>
      <c r="E346" t="str" cm="1">
        <f t="array" aca="1" ref="E346" ca="1">CONCATENATE(INDIRECT(ADDRESS(1,5,1,0,"KeySet"),0),":","""",valueMaker!E346,"""")</f>
        <v>kainGender:"-"</v>
      </c>
      <c r="F346" t="str" cm="1">
        <f t="array" aca="1" ref="F346" ca="1">CONCATENATE(INDIRECT(ADDRESS(1,6,1,0,"KeySet"),0),":","""",TEXT(valueMaker!F346,"yyyy/m/d"),"""")</f>
        <v>tanjyoubi:"1978/12/4"</v>
      </c>
      <c r="G346" t="str" cm="1">
        <f t="array" aca="1" ref="G346" ca="1">CONCATENATE(INDIRECT(ADDRESS(1,6,1,0,"KeySet"),0),":","""",TEXT(valueMaker!G346,"yyyy/m/d"),"""")</f>
        <v>tanjyoubi:"2000/4/7"</v>
      </c>
      <c r="H346" t="str" cm="1">
        <f t="array" aca="1" ref="H346" ca="1">CONCATENATE(INDIRECT(ADDRESS(1,6,1,0,"KeySet"),0),":","""",TEXT(valueMaker!H346,"yyyy/m/d"),"""")</f>
        <v>tanjyoubi:"2001/4/7"</v>
      </c>
      <c r="I346" t="str" cm="1">
        <f t="array" aca="1" ref="I346" ca="1">CONCATENATE(INDIRECT(ADDRESS(1,9,1,0,"KeySet"),0),":","""",valueMaker!I346,"""")</f>
        <v>denwaBangou:"080-1297-2741"</v>
      </c>
      <c r="J346" t="str" cm="1">
        <f t="array" aca="1" ref="J346" ca="1">CONCATENATE(INDIRECT(ADDRESS(1,10,1,0,"KeySet"),0),":","""",valueMaker!J346,"""")</f>
        <v>mailAddress:"Huang_Cai_Jin_36623@outlook.jp.co"</v>
      </c>
      <c r="K346" t="str" cm="1">
        <f t="array" aca="1" ref="K346" ca="1">CONCATENATE(INDIRECT(ADDRESS(1,11,1,0,"KeySet"),0),":","""",valueMaker!K346,"""")</f>
        <v>kaninSyubetu:"高級"</v>
      </c>
      <c r="L346" t="str" cm="1">
        <f t="array" aca="1" ref="L346" ca="1">CONCATENATE(INDIRECT(ADDRESS(1,12,1,0,"KeySet"),0),":","""",valueMaker!L346,"""")</f>
        <v>kaninKengenWB:"有り"</v>
      </c>
      <c r="M346" t="str" cm="1">
        <f t="array" aca="1" ref="M346" ca="1">CONCATENATE(INDIRECT(ADDRESS(1,13,1,0,"KeySet"),0),":","""",valueMaker!M346,"""")</f>
        <v>wakibiri:"10%"</v>
      </c>
      <c r="N346" t="str" cm="1">
        <f t="array" aca="1" ref="N346" ca="1">CONCATENATE(INDIRECT(ADDRESS(1,14,1,0,"KeySet"),0),":","""",valueMaker!N346,"""")</f>
        <v>kaninKengenPoint:"有り"</v>
      </c>
      <c r="O346" t="str" cm="1">
        <f t="array" aca="1" ref="O346" ca="1">CONCATENATE(INDIRECT(ADDRESS(1,15,1,0,"KeySet"),0),":","""",valueMaker!O346,"""")</f>
        <v>point:"966"</v>
      </c>
      <c r="P346" t="str" cm="1">
        <f t="array" aca="1" ref="P346" ca="1">CONCATENATE(INDIRECT(ADDRESS(1,16,1,0,"KeySet"),0),":","""",valueMaker!P346,"""")</f>
        <v>bikou:""</v>
      </c>
    </row>
    <row r="347" spans="1:16">
      <c r="A347" t="str" cm="1">
        <f t="array" aca="1" ref="A347" ca="1">CONCATENATE(INDIRECT(ADDRESS(1,1,1,0,"KeySet"),0),":","""",valueMaker!A347,"""")</f>
        <v>kainBangou:"TD10346"</v>
      </c>
      <c r="B347" t="str" cm="1">
        <f t="array" aca="1" ref="B347" ca="1">CONCATENATE(INDIRECT(ADDRESS(1,2,1,0,"KeySet"),0),":","""",valueMaker!B347,"""")</f>
        <v>kainMeiKanji:"周斯蘭"</v>
      </c>
      <c r="C347" t="str" cm="1">
        <f t="array" aca="1" ref="C347" ca="1">CONCATENATE(INDIRECT(ADDRESS(1,3,1,0,"KeySet"),0),":","""",valueMaker!C347,"""")</f>
        <v>kainMeiKana:"ｼﾞｮｳ ｽｰ ﾗﾝ"</v>
      </c>
      <c r="D347" t="str" cm="1">
        <f t="array" aca="1" ref="D347" ca="1">CONCATENATE(INDIRECT(ADDRESS(1,4,1,0,"KeySet"),0),":","""",valueMaker!D347,"""")</f>
        <v>kainMeiEn:"Zhou Si Lan"</v>
      </c>
      <c r="E347" t="str" cm="1">
        <f t="array" aca="1" ref="E347" ca="1">CONCATENATE(INDIRECT(ADDRESS(1,5,1,0,"KeySet"),0),":","""",valueMaker!E347,"""")</f>
        <v>kainGender:"女性"</v>
      </c>
      <c r="F347" t="str" cm="1">
        <f t="array" aca="1" ref="F347" ca="1">CONCATENATE(INDIRECT(ADDRESS(1,6,1,0,"KeySet"),0),":","""",TEXT(valueMaker!F347,"yyyy/m/d"),"""")</f>
        <v>tanjyoubi:"1999/5/18"</v>
      </c>
      <c r="G347" t="str" cm="1">
        <f t="array" aca="1" ref="G347" ca="1">CONCATENATE(INDIRECT(ADDRESS(1,6,1,0,"KeySet"),0),":","""",TEXT(valueMaker!G347,"yyyy/m/d"),"""")</f>
        <v>tanjyoubi:"2020/12/3"</v>
      </c>
      <c r="H347" t="str" cm="1">
        <f t="array" aca="1" ref="H347" ca="1">CONCATENATE(INDIRECT(ADDRESS(1,6,1,0,"KeySet"),0),":","""",TEXT(valueMaker!H347,"yyyy/m/d"),"""")</f>
        <v>tanjyoubi:"2023/12/3"</v>
      </c>
      <c r="I347" t="str" cm="1">
        <f t="array" aca="1" ref="I347" ca="1">CONCATENATE(INDIRECT(ADDRESS(1,9,1,0,"KeySet"),0),":","""",valueMaker!I347,"""")</f>
        <v>denwaBangou:"080-3561-4531"</v>
      </c>
      <c r="J347" t="str" cm="1">
        <f t="array" aca="1" ref="J347" ca="1">CONCATENATE(INDIRECT(ADDRESS(1,10,1,0,"KeySet"),0),":","""",valueMaker!J347,"""")</f>
        <v>mailAddress:"Zhou_Si_Lan_44168@outlook.jp.co"</v>
      </c>
      <c r="K347" t="str" cm="1">
        <f t="array" aca="1" ref="K347" ca="1">CONCATENATE(INDIRECT(ADDRESS(1,11,1,0,"KeySet"),0),":","""",valueMaker!K347,"""")</f>
        <v>kaninSyubetu:"普通"</v>
      </c>
      <c r="L347" t="str" cm="1">
        <f t="array" aca="1" ref="L347" ca="1">CONCATENATE(INDIRECT(ADDRESS(1,12,1,0,"KeySet"),0),":","""",valueMaker!L347,"""")</f>
        <v>kaninKengenWB:"有り"</v>
      </c>
      <c r="M347" t="str" cm="1">
        <f t="array" aca="1" ref="M347" ca="1">CONCATENATE(INDIRECT(ADDRESS(1,13,1,0,"KeySet"),0),":","""",valueMaker!M347,"""")</f>
        <v>wakibiri:"5%"</v>
      </c>
      <c r="N347" t="str" cm="1">
        <f t="array" aca="1" ref="N347" ca="1">CONCATENATE(INDIRECT(ADDRESS(1,14,1,0,"KeySet"),0),":","""",valueMaker!N347,"""")</f>
        <v>kaninKengenPoint:"有り"</v>
      </c>
      <c r="O347" t="str" cm="1">
        <f t="array" aca="1" ref="O347" ca="1">CONCATENATE(INDIRECT(ADDRESS(1,15,1,0,"KeySet"),0),":","""",valueMaker!O347,"""")</f>
        <v>point:"513"</v>
      </c>
      <c r="P347" t="str" cm="1">
        <f t="array" aca="1" ref="P347" ca="1">CONCATENATE(INDIRECT(ADDRESS(1,16,1,0,"KeySet"),0),":","""",valueMaker!P347,"""")</f>
        <v>bikou:""</v>
      </c>
    </row>
    <row r="348" spans="1:16">
      <c r="A348" t="str" cm="1">
        <f t="array" aca="1" ref="A348" ca="1">CONCATENATE(INDIRECT(ADDRESS(1,1,1,0,"KeySet"),0),":","""",valueMaker!A348,"""")</f>
        <v>kainBangou:"TD10347"</v>
      </c>
      <c r="B348" t="str" cm="1">
        <f t="array" aca="1" ref="B348" ca="1">CONCATENATE(INDIRECT(ADDRESS(1,2,1,0,"KeySet"),0),":","""",valueMaker!B348,"""")</f>
        <v>kainMeiKanji:"唐耿晏"</v>
      </c>
      <c r="C348" t="str" cm="1">
        <f t="array" aca="1" ref="C348" ca="1">CONCATENATE(INDIRECT(ADDRESS(1,3,1,0,"KeySet"),0),":","""",valueMaker!C348,"""")</f>
        <v>kainMeiKana:"ﾀｰﾝ ｸﾞｵﾝ ｲｴﾝ"</v>
      </c>
      <c r="D348" t="str" cm="1">
        <f t="array" aca="1" ref="D348" ca="1">CONCATENATE(INDIRECT(ADDRESS(1,4,1,0,"KeySet"),0),":","""",valueMaker!D348,"""")</f>
        <v>kainMeiEn:"Tang Geng Yan"</v>
      </c>
      <c r="E348" t="str" cm="1">
        <f t="array" aca="1" ref="E348" ca="1">CONCATENATE(INDIRECT(ADDRESS(1,5,1,0,"KeySet"),0),":","""",valueMaker!E348,"""")</f>
        <v>kainGender:"女性"</v>
      </c>
      <c r="F348" t="str" cm="1">
        <f t="array" aca="1" ref="F348" ca="1">CONCATENATE(INDIRECT(ADDRESS(1,6,1,0,"KeySet"),0),":","""",TEXT(valueMaker!F348,"yyyy/m/d"),"""")</f>
        <v>tanjyoubi:"1997/10/18"</v>
      </c>
      <c r="G348" t="str" cm="1">
        <f t="array" aca="1" ref="G348" ca="1">CONCATENATE(INDIRECT(ADDRESS(1,6,1,0,"KeySet"),0),":","""",TEXT(valueMaker!G348,"yyyy/m/d"),"""")</f>
        <v>tanjyoubi:"2023/8/19"</v>
      </c>
      <c r="H348" t="str" cm="1">
        <f t="array" aca="1" ref="H348" ca="1">CONCATENATE(INDIRECT(ADDRESS(1,6,1,0,"KeySet"),0),":","""",TEXT(valueMaker!H348,"yyyy/m/d"),"""")</f>
        <v>tanjyoubi:"2025/8/18"</v>
      </c>
      <c r="I348" t="str" cm="1">
        <f t="array" aca="1" ref="I348" ca="1">CONCATENATE(INDIRECT(ADDRESS(1,9,1,0,"KeySet"),0),":","""",valueMaker!I348,"""")</f>
        <v>denwaBangou:"090-8296-4512"</v>
      </c>
      <c r="J348" t="str" cm="1">
        <f t="array" aca="1" ref="J348" ca="1">CONCATENATE(INDIRECT(ADDRESS(1,10,1,0,"KeySet"),0),":","""",valueMaker!J348,"""")</f>
        <v>mailAddress:"Tang_Geng_Yan_45157@outlook.jp.co"</v>
      </c>
      <c r="K348" t="str" cm="1">
        <f t="array" aca="1" ref="K348" ca="1">CONCATENATE(INDIRECT(ADDRESS(1,11,1,0,"KeySet"),0),":","""",valueMaker!K348,"""")</f>
        <v>kaninSyubetu:"普通"</v>
      </c>
      <c r="L348" t="str" cm="1">
        <f t="array" aca="1" ref="L348" ca="1">CONCATENATE(INDIRECT(ADDRESS(1,12,1,0,"KeySet"),0),":","""",valueMaker!L348,"""")</f>
        <v>kaninKengenWB:"有り"</v>
      </c>
      <c r="M348" t="str" cm="1">
        <f t="array" aca="1" ref="M348" ca="1">CONCATENATE(INDIRECT(ADDRESS(1,13,1,0,"KeySet"),0),":","""",valueMaker!M348,"""")</f>
        <v>wakibiri:"5%"</v>
      </c>
      <c r="N348" t="str" cm="1">
        <f t="array" aca="1" ref="N348" ca="1">CONCATENATE(INDIRECT(ADDRESS(1,14,1,0,"KeySet"),0),":","""",valueMaker!N348,"""")</f>
        <v>kaninKengenPoint:"有り"</v>
      </c>
      <c r="O348" t="str" cm="1">
        <f t="array" aca="1" ref="O348" ca="1">CONCATENATE(INDIRECT(ADDRESS(1,15,1,0,"KeySet"),0),":","""",valueMaker!O348,"""")</f>
        <v>point:"261"</v>
      </c>
      <c r="P348" t="str" cm="1">
        <f t="array" aca="1" ref="P348" ca="1">CONCATENATE(INDIRECT(ADDRESS(1,16,1,0,"KeySet"),0),":","""",valueMaker!P348,"""")</f>
        <v>bikou:""</v>
      </c>
    </row>
    <row r="349" spans="1:16">
      <c r="A349" t="str" cm="1">
        <f t="array" aca="1" ref="A349" ca="1">CONCATENATE(INDIRECT(ADDRESS(1,1,1,0,"KeySet"),0),":","""",valueMaker!A349,"""")</f>
        <v>kainBangou:"TD10348"</v>
      </c>
      <c r="B349" t="str" cm="1">
        <f t="array" aca="1" ref="B349" ca="1">CONCATENATE(INDIRECT(ADDRESS(1,2,1,0,"KeySet"),0),":","""",valueMaker!B349,"""")</f>
        <v>kainMeiKanji:"周鼎華"</v>
      </c>
      <c r="C349" t="str" cm="1">
        <f t="array" aca="1" ref="C349" ca="1">CONCATENATE(INDIRECT(ADDRESS(1,3,1,0,"KeySet"),0),":","""",valueMaker!C349,"""")</f>
        <v>kainMeiKana:"ｼﾞｮｳ ﾃﾞｨｰﾝ ﾎﾜ"</v>
      </c>
      <c r="D349" t="str" cm="1">
        <f t="array" aca="1" ref="D349" ca="1">CONCATENATE(INDIRECT(ADDRESS(1,4,1,0,"KeySet"),0),":","""",valueMaker!D349,"""")</f>
        <v>kainMeiEn:"Zhou Ding Hua"</v>
      </c>
      <c r="E349" t="str" cm="1">
        <f t="array" aca="1" ref="E349" ca="1">CONCATENATE(INDIRECT(ADDRESS(1,5,1,0,"KeySet"),0),":","""",valueMaker!E349,"""")</f>
        <v>kainGender:"男性"</v>
      </c>
      <c r="F349" t="str" cm="1">
        <f t="array" aca="1" ref="F349" ca="1">CONCATENATE(INDIRECT(ADDRESS(1,6,1,0,"KeySet"),0),":","""",TEXT(valueMaker!F349,"yyyy/m/d"),"""")</f>
        <v>tanjyoubi:"1975/11/18"</v>
      </c>
      <c r="G349" t="str" cm="1">
        <f t="array" aca="1" ref="G349" ca="1">CONCATENATE(INDIRECT(ADDRESS(1,6,1,0,"KeySet"),0),":","""",TEXT(valueMaker!G349,"yyyy/m/d"),"""")</f>
        <v>tanjyoubi:"2011/2/9"</v>
      </c>
      <c r="H349" t="str" cm="1">
        <f t="array" aca="1" ref="H349" ca="1">CONCATENATE(INDIRECT(ADDRESS(1,6,1,0,"KeySet"),0),":","""",TEXT(valueMaker!H349,"yyyy/m/d"),"""")</f>
        <v>tanjyoubi:"2014/2/8"</v>
      </c>
      <c r="I349" t="str" cm="1">
        <f t="array" aca="1" ref="I349" ca="1">CONCATENATE(INDIRECT(ADDRESS(1,9,1,0,"KeySet"),0),":","""",valueMaker!I349,"""")</f>
        <v>denwaBangou:"080-3147-0201"</v>
      </c>
      <c r="J349" t="str" cm="1">
        <f t="array" aca="1" ref="J349" ca="1">CONCATENATE(INDIRECT(ADDRESS(1,10,1,0,"KeySet"),0),":","""",valueMaker!J349,"""")</f>
        <v>mailAddress:"Zhou_Ding_Hua_40583@outlook.jp.co"</v>
      </c>
      <c r="K349" t="str" cm="1">
        <f t="array" aca="1" ref="K349" ca="1">CONCATENATE(INDIRECT(ADDRESS(1,11,1,0,"KeySet"),0),":","""",valueMaker!K349,"""")</f>
        <v>kaninSyubetu:"高級"</v>
      </c>
      <c r="L349" t="str" cm="1">
        <f t="array" aca="1" ref="L349" ca="1">CONCATENATE(INDIRECT(ADDRESS(1,12,1,0,"KeySet"),0),":","""",valueMaker!L349,"""")</f>
        <v>kaninKengenWB:"有り"</v>
      </c>
      <c r="M349" t="str" cm="1">
        <f t="array" aca="1" ref="M349" ca="1">CONCATENATE(INDIRECT(ADDRESS(1,13,1,0,"KeySet"),0),":","""",valueMaker!M349,"""")</f>
        <v>wakibiri:"10%"</v>
      </c>
      <c r="N349" t="str" cm="1">
        <f t="array" aca="1" ref="N349" ca="1">CONCATENATE(INDIRECT(ADDRESS(1,14,1,0,"KeySet"),0),":","""",valueMaker!N349,"""")</f>
        <v>kaninKengenPoint:"有り"</v>
      </c>
      <c r="O349" t="str" cm="1">
        <f t="array" aca="1" ref="O349" ca="1">CONCATENATE(INDIRECT(ADDRESS(1,15,1,0,"KeySet"),0),":","""",valueMaker!O349,"""")</f>
        <v>point:"905"</v>
      </c>
      <c r="P349" t="str" cm="1">
        <f t="array" aca="1" ref="P349" ca="1">CONCATENATE(INDIRECT(ADDRESS(1,16,1,0,"KeySet"),0),":","""",valueMaker!P349,"""")</f>
        <v>bikou:""</v>
      </c>
    </row>
    <row r="350" spans="1:16">
      <c r="A350" t="str" cm="1">
        <f t="array" aca="1" ref="A350" ca="1">CONCATENATE(INDIRECT(ADDRESS(1,1,1,0,"KeySet"),0),":","""",valueMaker!A350,"""")</f>
        <v>kainBangou:"TD10349"</v>
      </c>
      <c r="B350" t="str" cm="1">
        <f t="array" aca="1" ref="B350" ca="1">CONCATENATE(INDIRECT(ADDRESS(1,2,1,0,"KeySet"),0),":","""",valueMaker!B350,"""")</f>
        <v>kainMeiKanji:"徐賢沃"</v>
      </c>
      <c r="C350" t="str" cm="1">
        <f t="array" aca="1" ref="C350" ca="1">CONCATENATE(INDIRECT(ADDRESS(1,3,1,0,"KeySet"),0),":","""",valueMaker!C350,"""")</f>
        <v>kainMeiKana:"ｼｭｲ ｼｴﾝ ｳｫ"</v>
      </c>
      <c r="D350" t="str" cm="1">
        <f t="array" aca="1" ref="D350" ca="1">CONCATENATE(INDIRECT(ADDRESS(1,4,1,0,"KeySet"),0),":","""",valueMaker!D350,"""")</f>
        <v>kainMeiEn:"Xu Xian Wo"</v>
      </c>
      <c r="E350" t="str" cm="1">
        <f t="array" aca="1" ref="E350" ca="1">CONCATENATE(INDIRECT(ADDRESS(1,5,1,0,"KeySet"),0),":","""",valueMaker!E350,"""")</f>
        <v>kainGender:"男性"</v>
      </c>
      <c r="F350" t="str" cm="1">
        <f t="array" aca="1" ref="F350" ca="1">CONCATENATE(INDIRECT(ADDRESS(1,6,1,0,"KeySet"),0),":","""",TEXT(valueMaker!F350,"yyyy/m/d"),"""")</f>
        <v>tanjyoubi:"1987/1/4"</v>
      </c>
      <c r="G350" t="str" cm="1">
        <f t="array" aca="1" ref="G350" ca="1">CONCATENATE(INDIRECT(ADDRESS(1,6,1,0,"KeySet"),0),":","""",TEXT(valueMaker!G350,"yyyy/m/d"),"""")</f>
        <v>tanjyoubi:"2021/5/26"</v>
      </c>
      <c r="H350" t="str" cm="1">
        <f t="array" aca="1" ref="H350" ca="1">CONCATENATE(INDIRECT(ADDRESS(1,6,1,0,"KeySet"),0),":","""",TEXT(valueMaker!H350,"yyyy/m/d"),"""")</f>
        <v>tanjyoubi:"2023/5/26"</v>
      </c>
      <c r="I350" t="str" cm="1">
        <f t="array" aca="1" ref="I350" ca="1">CONCATENATE(INDIRECT(ADDRESS(1,9,1,0,"KeySet"),0),":","""",valueMaker!I350,"""")</f>
        <v>denwaBangou:"080-7072-1480"</v>
      </c>
      <c r="J350" t="str" cm="1">
        <f t="array" aca="1" ref="J350" ca="1">CONCATENATE(INDIRECT(ADDRESS(1,10,1,0,"KeySet"),0),":","""",valueMaker!J350,"""")</f>
        <v>mailAddress:"Xu_Xian_Wo_44342@outlook.jp.co"</v>
      </c>
      <c r="K350" t="str" cm="1">
        <f t="array" aca="1" ref="K350" ca="1">CONCATENATE(INDIRECT(ADDRESS(1,11,1,0,"KeySet"),0),":","""",valueMaker!K350,"""")</f>
        <v>kaninSyubetu:"普通"</v>
      </c>
      <c r="L350" t="str" cm="1">
        <f t="array" aca="1" ref="L350" ca="1">CONCATENATE(INDIRECT(ADDRESS(1,12,1,0,"KeySet"),0),":","""",valueMaker!L350,"""")</f>
        <v>kaninKengenWB:"有り"</v>
      </c>
      <c r="M350" t="str" cm="1">
        <f t="array" aca="1" ref="M350" ca="1">CONCATENATE(INDIRECT(ADDRESS(1,13,1,0,"KeySet"),0),":","""",valueMaker!M350,"""")</f>
        <v>wakibiri:"5%"</v>
      </c>
      <c r="N350" t="str" cm="1">
        <f t="array" aca="1" ref="N350" ca="1">CONCATENATE(INDIRECT(ADDRESS(1,14,1,0,"KeySet"),0),":","""",valueMaker!N350,"""")</f>
        <v>kaninKengenPoint:"有り"</v>
      </c>
      <c r="O350" t="str" cm="1">
        <f t="array" aca="1" ref="O350" ca="1">CONCATENATE(INDIRECT(ADDRESS(1,15,1,0,"KeySet"),0),":","""",valueMaker!O350,"""")</f>
        <v>point:"575"</v>
      </c>
      <c r="P350" t="str" cm="1">
        <f t="array" aca="1" ref="P350" ca="1">CONCATENATE(INDIRECT(ADDRESS(1,16,1,0,"KeySet"),0),":","""",valueMaker!P350,"""")</f>
        <v>bikou:""</v>
      </c>
    </row>
    <row r="351" spans="1:16">
      <c r="A351" t="str" cm="1">
        <f t="array" aca="1" ref="A351" ca="1">CONCATENATE(INDIRECT(ADDRESS(1,1,1,0,"KeySet"),0),":","""",valueMaker!A351,"""")</f>
        <v>kainBangou:"TD10350"</v>
      </c>
      <c r="B351" t="str" cm="1">
        <f t="array" aca="1" ref="B351" ca="1">CONCATENATE(INDIRECT(ADDRESS(1,2,1,0,"KeySet"),0),":","""",valueMaker!B351,"""")</f>
        <v>kainMeiKanji:"馬亦麥"</v>
      </c>
      <c r="C351" t="str" cm="1">
        <f t="array" aca="1" ref="C351" ca="1">CONCATENATE(INDIRECT(ADDRESS(1,3,1,0,"KeySet"),0),":","""",valueMaker!C351,"""")</f>
        <v>kainMeiKana:"ﾏｰ ｲｰ ﾏｲ"</v>
      </c>
      <c r="D351" t="str" cm="1">
        <f t="array" aca="1" ref="D351" ca="1">CONCATENATE(INDIRECT(ADDRESS(1,4,1,0,"KeySet"),0),":","""",valueMaker!D351,"""")</f>
        <v>kainMeiEn:"Ma Yi Mai"</v>
      </c>
      <c r="E351" t="str" cm="1">
        <f t="array" aca="1" ref="E351" ca="1">CONCATENATE(INDIRECT(ADDRESS(1,5,1,0,"KeySet"),0),":","""",valueMaker!E351,"""")</f>
        <v>kainGender:"女性"</v>
      </c>
      <c r="F351" t="str" cm="1">
        <f t="array" aca="1" ref="F351" ca="1">CONCATENATE(INDIRECT(ADDRESS(1,6,1,0,"KeySet"),0),":","""",TEXT(valueMaker!F351,"yyyy/m/d"),"""")</f>
        <v>tanjyoubi:"1983/5/18"</v>
      </c>
      <c r="G351" t="str" cm="1">
        <f t="array" aca="1" ref="G351" ca="1">CONCATENATE(INDIRECT(ADDRESS(1,6,1,0,"KeySet"),0),":","""",TEXT(valueMaker!G351,"yyyy/m/d"),"""")</f>
        <v>tanjyoubi:"2010/3/5"</v>
      </c>
      <c r="H351" t="str" cm="1">
        <f t="array" aca="1" ref="H351" ca="1">CONCATENATE(INDIRECT(ADDRESS(1,6,1,0,"KeySet"),0),":","""",TEXT(valueMaker!H351,"yyyy/m/d"),"""")</f>
        <v>tanjyoubi:"2013/3/4"</v>
      </c>
      <c r="I351" t="str" cm="1">
        <f t="array" aca="1" ref="I351" ca="1">CONCATENATE(INDIRECT(ADDRESS(1,9,1,0,"KeySet"),0),":","""",valueMaker!I351,"""")</f>
        <v>denwaBangou:"090-1859-1530"</v>
      </c>
      <c r="J351" t="str" cm="1">
        <f t="array" aca="1" ref="J351" ca="1">CONCATENATE(INDIRECT(ADDRESS(1,10,1,0,"KeySet"),0),":","""",valueMaker!J351,"""")</f>
        <v>mailAddress:"Ma_Yi_Mai_40242@outlook.jp.co"</v>
      </c>
      <c r="K351" t="str" cm="1">
        <f t="array" aca="1" ref="K351" ca="1">CONCATENATE(INDIRECT(ADDRESS(1,11,1,0,"KeySet"),0),":","""",valueMaker!K351,"""")</f>
        <v>kaninSyubetu:"普通"</v>
      </c>
      <c r="L351" t="str" cm="1">
        <f t="array" aca="1" ref="L351" ca="1">CONCATENATE(INDIRECT(ADDRESS(1,12,1,0,"KeySet"),0),":","""",valueMaker!L351,"""")</f>
        <v>kaninKengenWB:"有り"</v>
      </c>
      <c r="M351" t="str" cm="1">
        <f t="array" aca="1" ref="M351" ca="1">CONCATENATE(INDIRECT(ADDRESS(1,13,1,0,"KeySet"),0),":","""",valueMaker!M351,"""")</f>
        <v>wakibiri:"5%"</v>
      </c>
      <c r="N351" t="str" cm="1">
        <f t="array" aca="1" ref="N351" ca="1">CONCATENATE(INDIRECT(ADDRESS(1,14,1,0,"KeySet"),0),":","""",valueMaker!N351,"""")</f>
        <v>kaninKengenPoint:"有り"</v>
      </c>
      <c r="O351" t="str" cm="1">
        <f t="array" aca="1" ref="O351" ca="1">CONCATENATE(INDIRECT(ADDRESS(1,15,1,0,"KeySet"),0),":","""",valueMaker!O351,"""")</f>
        <v>point:"753"</v>
      </c>
      <c r="P351" t="str" cm="1">
        <f t="array" aca="1" ref="P351" ca="1">CONCATENATE(INDIRECT(ADDRESS(1,16,1,0,"KeySet"),0),":","""",valueMaker!P351,"""")</f>
        <v>bikou:""</v>
      </c>
    </row>
    <row r="352" spans="1:16">
      <c r="A352" t="str" cm="1">
        <f t="array" aca="1" ref="A352" ca="1">CONCATENATE(INDIRECT(ADDRESS(1,1,1,0,"KeySet"),0),":","""",valueMaker!A352,"""")</f>
        <v>kainBangou:"TD10351"</v>
      </c>
      <c r="B352" t="str" cm="1">
        <f t="array" aca="1" ref="B352" ca="1">CONCATENATE(INDIRECT(ADDRESS(1,2,1,0,"KeySet"),0),":","""",valueMaker!B352,"""")</f>
        <v>kainMeiKanji:"楊慕頻"</v>
      </c>
      <c r="C352" t="str" cm="1">
        <f t="array" aca="1" ref="C352" ca="1">CONCATENATE(INDIRECT(ADDRESS(1,3,1,0,"KeySet"),0),":","""",valueMaker!C352,"""")</f>
        <v>kainMeiKana:"ﾔｰﾝ ﾑｩ ﾋﾟﾝ"</v>
      </c>
      <c r="D352" t="str" cm="1">
        <f t="array" aca="1" ref="D352" ca="1">CONCATENATE(INDIRECT(ADDRESS(1,4,1,0,"KeySet"),0),":","""",valueMaker!D352,"""")</f>
        <v>kainMeiEn:"Yang Mu Pin"</v>
      </c>
      <c r="E352" t="str" cm="1">
        <f t="array" aca="1" ref="E352" ca="1">CONCATENATE(INDIRECT(ADDRESS(1,5,1,0,"KeySet"),0),":","""",valueMaker!E352,"""")</f>
        <v>kainGender:"男性"</v>
      </c>
      <c r="F352" t="str" cm="1">
        <f t="array" aca="1" ref="F352" ca="1">CONCATENATE(INDIRECT(ADDRESS(1,6,1,0,"KeySet"),0),":","""",TEXT(valueMaker!F352,"yyyy/m/d"),"""")</f>
        <v>tanjyoubi:"1967/2/9"</v>
      </c>
      <c r="G352" t="str" cm="1">
        <f t="array" aca="1" ref="G352" ca="1">CONCATENATE(INDIRECT(ADDRESS(1,6,1,0,"KeySet"),0),":","""",TEXT(valueMaker!G352,"yyyy/m/d"),"""")</f>
        <v>tanjyoubi:"2015/11/8"</v>
      </c>
      <c r="H352" t="str" cm="1">
        <f t="array" aca="1" ref="H352" ca="1">CONCATENATE(INDIRECT(ADDRESS(1,6,1,0,"KeySet"),0),":","""",TEXT(valueMaker!H352,"yyyy/m/d"),"""")</f>
        <v>tanjyoubi:"2016/11/7"</v>
      </c>
      <c r="I352" t="str" cm="1">
        <f t="array" aca="1" ref="I352" ca="1">CONCATENATE(INDIRECT(ADDRESS(1,9,1,0,"KeySet"),0),":","""",valueMaker!I352,"""")</f>
        <v>denwaBangou:"090-2814-7683"</v>
      </c>
      <c r="J352" t="str" cm="1">
        <f t="array" aca="1" ref="J352" ca="1">CONCATENATE(INDIRECT(ADDRESS(1,10,1,0,"KeySet"),0),":","""",valueMaker!J352,"""")</f>
        <v>mailAddress:"Yang_Mu_Pin_42316@outlook.jp.co"</v>
      </c>
      <c r="K352" t="str" cm="1">
        <f t="array" aca="1" ref="K352" ca="1">CONCATENATE(INDIRECT(ADDRESS(1,11,1,0,"KeySet"),0),":","""",valueMaker!K352,"""")</f>
        <v>kaninSyubetu:"普通"</v>
      </c>
      <c r="L352" t="str" cm="1">
        <f t="array" aca="1" ref="L352" ca="1">CONCATENATE(INDIRECT(ADDRESS(1,12,1,0,"KeySet"),0),":","""",valueMaker!L352,"""")</f>
        <v>kaninKengenWB:"有り"</v>
      </c>
      <c r="M352" t="str" cm="1">
        <f t="array" aca="1" ref="M352" ca="1">CONCATENATE(INDIRECT(ADDRESS(1,13,1,0,"KeySet"),0),":","""",valueMaker!M352,"""")</f>
        <v>wakibiri:"5%"</v>
      </c>
      <c r="N352" t="str" cm="1">
        <f t="array" aca="1" ref="N352" ca="1">CONCATENATE(INDIRECT(ADDRESS(1,14,1,0,"KeySet"),0),":","""",valueMaker!N352,"""")</f>
        <v>kaninKengenPoint:"-"</v>
      </c>
      <c r="O352" t="str" cm="1">
        <f t="array" aca="1" ref="O352" ca="1">CONCATENATE(INDIRECT(ADDRESS(1,15,1,0,"KeySet"),0),":","""",valueMaker!O352,"""")</f>
        <v>point:"-"</v>
      </c>
      <c r="P352" t="str" cm="1">
        <f t="array" aca="1" ref="P352" ca="1">CONCATENATE(INDIRECT(ADDRESS(1,16,1,0,"KeySet"),0),":","""",valueMaker!P352,"""")</f>
        <v>bikou:""</v>
      </c>
    </row>
    <row r="353" spans="1:16">
      <c r="A353" t="str" cm="1">
        <f t="array" aca="1" ref="A353" ca="1">CONCATENATE(INDIRECT(ADDRESS(1,1,1,0,"KeySet"),0),":","""",valueMaker!A353,"""")</f>
        <v>kainBangou:"TD10352"</v>
      </c>
      <c r="B353" t="str" cm="1">
        <f t="array" aca="1" ref="B353" ca="1">CONCATENATE(INDIRECT(ADDRESS(1,2,1,0,"KeySet"),0),":","""",valueMaker!B353,"""")</f>
        <v>kainMeiKanji:"馬靜耿"</v>
      </c>
      <c r="C353" t="str" cm="1">
        <f t="array" aca="1" ref="C353" ca="1">CONCATENATE(INDIRECT(ADDRESS(1,3,1,0,"KeySet"),0),":","""",valueMaker!C353,"""")</f>
        <v>kainMeiKana:"ﾏｰ ｼﾞｰﾝ ｸﾞｵﾝ"</v>
      </c>
      <c r="D353" t="str" cm="1">
        <f t="array" aca="1" ref="D353" ca="1">CONCATENATE(INDIRECT(ADDRESS(1,4,1,0,"KeySet"),0),":","""",valueMaker!D353,"""")</f>
        <v>kainMeiEn:"Ma Jing Geng"</v>
      </c>
      <c r="E353" t="str" cm="1">
        <f t="array" aca="1" ref="E353" ca="1">CONCATENATE(INDIRECT(ADDRESS(1,5,1,0,"KeySet"),0),":","""",valueMaker!E353,"""")</f>
        <v>kainGender:"女性"</v>
      </c>
      <c r="F353" t="str" cm="1">
        <f t="array" aca="1" ref="F353" ca="1">CONCATENATE(INDIRECT(ADDRESS(1,6,1,0,"KeySet"),0),":","""",TEXT(valueMaker!F353,"yyyy/m/d"),"""")</f>
        <v>tanjyoubi:"1984/2/2"</v>
      </c>
      <c r="G353" t="str" cm="1">
        <f t="array" aca="1" ref="G353" ca="1">CONCATENATE(INDIRECT(ADDRESS(1,6,1,0,"KeySet"),0),":","""",TEXT(valueMaker!G353,"yyyy/m/d"),"""")</f>
        <v>tanjyoubi:"2014/3/20"</v>
      </c>
      <c r="H353" t="str" cm="1">
        <f t="array" aca="1" ref="H353" ca="1">CONCATENATE(INDIRECT(ADDRESS(1,6,1,0,"KeySet"),0),":","""",TEXT(valueMaker!H353,"yyyy/m/d"),"""")</f>
        <v>tanjyoubi:"2016/3/19"</v>
      </c>
      <c r="I353" t="str" cm="1">
        <f t="array" aca="1" ref="I353" ca="1">CONCATENATE(INDIRECT(ADDRESS(1,9,1,0,"KeySet"),0),":","""",valueMaker!I353,"""")</f>
        <v>denwaBangou:"090-5134-5459"</v>
      </c>
      <c r="J353" t="str" cm="1">
        <f t="array" aca="1" ref="J353" ca="1">CONCATENATE(INDIRECT(ADDRESS(1,10,1,0,"KeySet"),0),":","""",valueMaker!J353,"""")</f>
        <v>mailAddress:"Ma_Jing_Geng_41718@outlook.jp.co"</v>
      </c>
      <c r="K353" t="str" cm="1">
        <f t="array" aca="1" ref="K353" ca="1">CONCATENATE(INDIRECT(ADDRESS(1,11,1,0,"KeySet"),0),":","""",valueMaker!K353,"""")</f>
        <v>kaninSyubetu:"普通"</v>
      </c>
      <c r="L353" t="str" cm="1">
        <f t="array" aca="1" ref="L353" ca="1">CONCATENATE(INDIRECT(ADDRESS(1,12,1,0,"KeySet"),0),":","""",valueMaker!L353,"""")</f>
        <v>kaninKengenWB:"有り"</v>
      </c>
      <c r="M353" t="str" cm="1">
        <f t="array" aca="1" ref="M353" ca="1">CONCATENATE(INDIRECT(ADDRESS(1,13,1,0,"KeySet"),0),":","""",valueMaker!M353,"""")</f>
        <v>wakibiri:"5%"</v>
      </c>
      <c r="N353" t="str" cm="1">
        <f t="array" aca="1" ref="N353" ca="1">CONCATENATE(INDIRECT(ADDRESS(1,14,1,0,"KeySet"),0),":","""",valueMaker!N353,"""")</f>
        <v>kaninKengenPoint:"-"</v>
      </c>
      <c r="O353" t="str" cm="1">
        <f t="array" aca="1" ref="O353" ca="1">CONCATENATE(INDIRECT(ADDRESS(1,15,1,0,"KeySet"),0),":","""",valueMaker!O353,"""")</f>
        <v>point:"-"</v>
      </c>
      <c r="P353" t="str" cm="1">
        <f t="array" aca="1" ref="P353" ca="1">CONCATENATE(INDIRECT(ADDRESS(1,16,1,0,"KeySet"),0),":","""",valueMaker!P353,"""")</f>
        <v>bikou:""</v>
      </c>
    </row>
    <row r="354" spans="1:16">
      <c r="A354" t="str" cm="1">
        <f t="array" aca="1" ref="A354" ca="1">CONCATENATE(INDIRECT(ADDRESS(1,1,1,0,"KeySet"),0),":","""",valueMaker!A354,"""")</f>
        <v>kainBangou:"TD10353"</v>
      </c>
      <c r="B354" t="str" cm="1">
        <f t="array" aca="1" ref="B354" ca="1">CONCATENATE(INDIRECT(ADDRESS(1,2,1,0,"KeySet"),0),":","""",valueMaker!B354,"""")</f>
        <v>kainMeiKanji:"王具幽"</v>
      </c>
      <c r="C354" t="str" cm="1">
        <f t="array" aca="1" ref="C354" ca="1">CONCATENATE(INDIRECT(ADDRESS(1,3,1,0,"KeySet"),0),":","""",valueMaker!C354,"""")</f>
        <v>kainMeiKana:"ﾜｰﾝ ｼﾞｭｲ ﾖｳ"</v>
      </c>
      <c r="D354" t="str" cm="1">
        <f t="array" aca="1" ref="D354" ca="1">CONCATENATE(INDIRECT(ADDRESS(1,4,1,0,"KeySet"),0),":","""",valueMaker!D354,"""")</f>
        <v>kainMeiEn:"Wang Ju You"</v>
      </c>
      <c r="E354" t="str" cm="1">
        <f t="array" aca="1" ref="E354" ca="1">CONCATENATE(INDIRECT(ADDRESS(1,5,1,0,"KeySet"),0),":","""",valueMaker!E354,"""")</f>
        <v>kainGender:"男性"</v>
      </c>
      <c r="F354" t="str" cm="1">
        <f t="array" aca="1" ref="F354" ca="1">CONCATENATE(INDIRECT(ADDRESS(1,6,1,0,"KeySet"),0),":","""",TEXT(valueMaker!F354,"yyyy/m/d"),"""")</f>
        <v>tanjyoubi:"1997/12/26"</v>
      </c>
      <c r="G354" t="str" cm="1">
        <f t="array" aca="1" ref="G354" ca="1">CONCATENATE(INDIRECT(ADDRESS(1,6,1,0,"KeySet"),0),":","""",TEXT(valueMaker!G354,"yyyy/m/d"),"""")</f>
        <v>tanjyoubi:"2020/9/17"</v>
      </c>
      <c r="H354" t="str" cm="1">
        <f t="array" aca="1" ref="H354" ca="1">CONCATENATE(INDIRECT(ADDRESS(1,6,1,0,"KeySet"),0),":","""",TEXT(valueMaker!H354,"yyyy/m/d"),"""")</f>
        <v>tanjyoubi:"2021/9/17"</v>
      </c>
      <c r="I354" t="str" cm="1">
        <f t="array" aca="1" ref="I354" ca="1">CONCATENATE(INDIRECT(ADDRESS(1,9,1,0,"KeySet"),0),":","""",valueMaker!I354,"""")</f>
        <v>denwaBangou:"080-8653-4751"</v>
      </c>
      <c r="J354" t="str" cm="1">
        <f t="array" aca="1" ref="J354" ca="1">CONCATENATE(INDIRECT(ADDRESS(1,10,1,0,"KeySet"),0),":","""",valueMaker!J354,"""")</f>
        <v>mailAddress:"Wang_Ju_You_44091@outlook.jp.co"</v>
      </c>
      <c r="K354" t="str" cm="1">
        <f t="array" aca="1" ref="K354" ca="1">CONCATENATE(INDIRECT(ADDRESS(1,11,1,0,"KeySet"),0),":","""",valueMaker!K354,"""")</f>
        <v>kaninSyubetu:"普通"</v>
      </c>
      <c r="L354" t="str" cm="1">
        <f t="array" aca="1" ref="L354" ca="1">CONCATENATE(INDIRECT(ADDRESS(1,12,1,0,"KeySet"),0),":","""",valueMaker!L354,"""")</f>
        <v>kaninKengenWB:"有り"</v>
      </c>
      <c r="M354" t="str" cm="1">
        <f t="array" aca="1" ref="M354" ca="1">CONCATENATE(INDIRECT(ADDRESS(1,13,1,0,"KeySet"),0),":","""",valueMaker!M354,"""")</f>
        <v>wakibiri:"5%"</v>
      </c>
      <c r="N354" t="str" cm="1">
        <f t="array" aca="1" ref="N354" ca="1">CONCATENATE(INDIRECT(ADDRESS(1,14,1,0,"KeySet"),0),":","""",valueMaker!N354,"""")</f>
        <v>kaninKengenPoint:"有り"</v>
      </c>
      <c r="O354" t="str" cm="1">
        <f t="array" aca="1" ref="O354" ca="1">CONCATENATE(INDIRECT(ADDRESS(1,15,1,0,"KeySet"),0),":","""",valueMaker!O354,"""")</f>
        <v>point:"697"</v>
      </c>
      <c r="P354" t="str" cm="1">
        <f t="array" aca="1" ref="P354" ca="1">CONCATENATE(INDIRECT(ADDRESS(1,16,1,0,"KeySet"),0),":","""",valueMaker!P354,"""")</f>
        <v>bikou:""</v>
      </c>
    </row>
    <row r="355" spans="1:16">
      <c r="A355" t="str" cm="1">
        <f t="array" aca="1" ref="A355" ca="1">CONCATENATE(INDIRECT(ADDRESS(1,1,1,0,"KeySet"),0),":","""",valueMaker!A355,"""")</f>
        <v>kainBangou:"TD10354"</v>
      </c>
      <c r="B355" t="str" cm="1">
        <f t="array" aca="1" ref="B355" ca="1">CONCATENATE(INDIRECT(ADDRESS(1,2,1,0,"KeySet"),0),":","""",valueMaker!B355,"""")</f>
        <v>kainMeiKanji:"王聰晨"</v>
      </c>
      <c r="C355" t="str" cm="1">
        <f t="array" aca="1" ref="C355" ca="1">CONCATENATE(INDIRECT(ADDRESS(1,3,1,0,"KeySet"),0),":","""",valueMaker!C355,"""")</f>
        <v>kainMeiKana:"ﾜｰﾝ ｯｵｰﾝ ﾁｪﾝ"</v>
      </c>
      <c r="D355" t="str" cm="1">
        <f t="array" aca="1" ref="D355" ca="1">CONCATENATE(INDIRECT(ADDRESS(1,4,1,0,"KeySet"),0),":","""",valueMaker!D355,"""")</f>
        <v>kainMeiEn:"Wang Cong Chen"</v>
      </c>
      <c r="E355" t="str" cm="1">
        <f t="array" aca="1" ref="E355" ca="1">CONCATENATE(INDIRECT(ADDRESS(1,5,1,0,"KeySet"),0),":","""",valueMaker!E355,"""")</f>
        <v>kainGender:"女性"</v>
      </c>
      <c r="F355" t="str" cm="1">
        <f t="array" aca="1" ref="F355" ca="1">CONCATENATE(INDIRECT(ADDRESS(1,6,1,0,"KeySet"),0),":","""",TEXT(valueMaker!F355,"yyyy/m/d"),"""")</f>
        <v>tanjyoubi:"1960/5/8"</v>
      </c>
      <c r="G355" t="str" cm="1">
        <f t="array" aca="1" ref="G355" ca="1">CONCATENATE(INDIRECT(ADDRESS(1,6,1,0,"KeySet"),0),":","""",TEXT(valueMaker!G355,"yyyy/m/d"),"""")</f>
        <v>tanjyoubi:"2004/10/12"</v>
      </c>
      <c r="H355" t="str" cm="1">
        <f t="array" aca="1" ref="H355" ca="1">CONCATENATE(INDIRECT(ADDRESS(1,6,1,0,"KeySet"),0),":","""",TEXT(valueMaker!H355,"yyyy/m/d"),"""")</f>
        <v>tanjyoubi:"2007/10/12"</v>
      </c>
      <c r="I355" t="str" cm="1">
        <f t="array" aca="1" ref="I355" ca="1">CONCATENATE(INDIRECT(ADDRESS(1,9,1,0,"KeySet"),0),":","""",valueMaker!I355,"""")</f>
        <v>denwaBangou:"090-5060-1351"</v>
      </c>
      <c r="J355" t="str" cm="1">
        <f t="array" aca="1" ref="J355" ca="1">CONCATENATE(INDIRECT(ADDRESS(1,10,1,0,"KeySet"),0),":","""",valueMaker!J355,"""")</f>
        <v>mailAddress:"Wang_Cong_Chen_38272@outlook.jp.co"</v>
      </c>
      <c r="K355" t="str" cm="1">
        <f t="array" aca="1" ref="K355" ca="1">CONCATENATE(INDIRECT(ADDRESS(1,11,1,0,"KeySet"),0),":","""",valueMaker!K355,"""")</f>
        <v>kaninSyubetu:"普通"</v>
      </c>
      <c r="L355" t="str" cm="1">
        <f t="array" aca="1" ref="L355" ca="1">CONCATENATE(INDIRECT(ADDRESS(1,12,1,0,"KeySet"),0),":","""",valueMaker!L355,"""")</f>
        <v>kaninKengenWB:"有り"</v>
      </c>
      <c r="M355" t="str" cm="1">
        <f t="array" aca="1" ref="M355" ca="1">CONCATENATE(INDIRECT(ADDRESS(1,13,1,0,"KeySet"),0),":","""",valueMaker!M355,"""")</f>
        <v>wakibiri:"5%"</v>
      </c>
      <c r="N355" t="str" cm="1">
        <f t="array" aca="1" ref="N355" ca="1">CONCATENATE(INDIRECT(ADDRESS(1,14,1,0,"KeySet"),0),":","""",valueMaker!N355,"""")</f>
        <v>kaninKengenPoint:"有り"</v>
      </c>
      <c r="O355" t="str" cm="1">
        <f t="array" aca="1" ref="O355" ca="1">CONCATENATE(INDIRECT(ADDRESS(1,15,1,0,"KeySet"),0),":","""",valueMaker!O355,"""")</f>
        <v>point:"339"</v>
      </c>
      <c r="P355" t="str" cm="1">
        <f t="array" aca="1" ref="P355" ca="1">CONCATENATE(INDIRECT(ADDRESS(1,16,1,0,"KeySet"),0),":","""",valueMaker!P355,"""")</f>
        <v>bikou:""</v>
      </c>
    </row>
    <row r="356" spans="1:16">
      <c r="A356" t="str" cm="1">
        <f t="array" aca="1" ref="A356" ca="1">CONCATENATE(INDIRECT(ADDRESS(1,1,1,0,"KeySet"),0),":","""",valueMaker!A356,"""")</f>
        <v>kainBangou:"TD10355"</v>
      </c>
      <c r="B356" t="str" cm="1">
        <f t="array" aca="1" ref="B356" ca="1">CONCATENATE(INDIRECT(ADDRESS(1,2,1,0,"KeySet"),0),":","""",valueMaker!B356,"""")</f>
        <v>kainMeiKanji:"張州紹"</v>
      </c>
      <c r="C356" t="str" cm="1">
        <f t="array" aca="1" ref="C356" ca="1">CONCATENATE(INDIRECT(ADDRESS(1,3,1,0,"KeySet"),0),":","""",valueMaker!C356,"""")</f>
        <v>kainMeiKana:"ｼﾞｬｰﾝ ｼﾞｮｳ ｼｬｵ"</v>
      </c>
      <c r="D356" t="str" cm="1">
        <f t="array" aca="1" ref="D356" ca="1">CONCATENATE(INDIRECT(ADDRESS(1,4,1,0,"KeySet"),0),":","""",valueMaker!D356,"""")</f>
        <v>kainMeiEn:"Zhang Zhou Shao"</v>
      </c>
      <c r="E356" t="str" cm="1">
        <f t="array" aca="1" ref="E356" ca="1">CONCATENATE(INDIRECT(ADDRESS(1,5,1,0,"KeySet"),0),":","""",valueMaker!E356,"""")</f>
        <v>kainGender:"女性"</v>
      </c>
      <c r="F356" t="str" cm="1">
        <f t="array" aca="1" ref="F356" ca="1">CONCATENATE(INDIRECT(ADDRESS(1,6,1,0,"KeySet"),0),":","""",TEXT(valueMaker!F356,"yyyy/m/d"),"""")</f>
        <v>tanjyoubi:"1966/11/5"</v>
      </c>
      <c r="G356" t="str" cm="1">
        <f t="array" aca="1" ref="G356" ca="1">CONCATENATE(INDIRECT(ADDRESS(1,6,1,0,"KeySet"),0),":","""",TEXT(valueMaker!G356,"yyyy/m/d"),"""")</f>
        <v>tanjyoubi:"1988/7/13"</v>
      </c>
      <c r="H356" t="str" cm="1">
        <f t="array" aca="1" ref="H356" ca="1">CONCATENATE(INDIRECT(ADDRESS(1,6,1,0,"KeySet"),0),":","""",TEXT(valueMaker!H356,"yyyy/m/d"),"""")</f>
        <v>tanjyoubi:"1989/7/13"</v>
      </c>
      <c r="I356" t="str" cm="1">
        <f t="array" aca="1" ref="I356" ca="1">CONCATENATE(INDIRECT(ADDRESS(1,9,1,0,"KeySet"),0),":","""",valueMaker!I356,"""")</f>
        <v>denwaBangou:"080-1469-8918"</v>
      </c>
      <c r="J356" t="str" cm="1">
        <f t="array" aca="1" ref="J356" ca="1">CONCATENATE(INDIRECT(ADDRESS(1,10,1,0,"KeySet"),0),":","""",valueMaker!J356,"""")</f>
        <v>mailAddress:"Zhang_Zhou_Shao_32337@outlook.jp.co"</v>
      </c>
      <c r="K356" t="str" cm="1">
        <f t="array" aca="1" ref="K356" ca="1">CONCATENATE(INDIRECT(ADDRESS(1,11,1,0,"KeySet"),0),":","""",valueMaker!K356,"""")</f>
        <v>kaninSyubetu:"普通"</v>
      </c>
      <c r="L356" t="str" cm="1">
        <f t="array" aca="1" ref="L356" ca="1">CONCATENATE(INDIRECT(ADDRESS(1,12,1,0,"KeySet"),0),":","""",valueMaker!L356,"""")</f>
        <v>kaninKengenWB:"有り"</v>
      </c>
      <c r="M356" t="str" cm="1">
        <f t="array" aca="1" ref="M356" ca="1">CONCATENATE(INDIRECT(ADDRESS(1,13,1,0,"KeySet"),0),":","""",valueMaker!M356,"""")</f>
        <v>wakibiri:"5%"</v>
      </c>
      <c r="N356" t="str" cm="1">
        <f t="array" aca="1" ref="N356" ca="1">CONCATENATE(INDIRECT(ADDRESS(1,14,1,0,"KeySet"),0),":","""",valueMaker!N356,"""")</f>
        <v>kaninKengenPoint:"有り"</v>
      </c>
      <c r="O356" t="str" cm="1">
        <f t="array" aca="1" ref="O356" ca="1">CONCATENATE(INDIRECT(ADDRESS(1,15,1,0,"KeySet"),0),":","""",valueMaker!O356,"""")</f>
        <v>point:"22"</v>
      </c>
      <c r="P356" t="str" cm="1">
        <f t="array" aca="1" ref="P356" ca="1">CONCATENATE(INDIRECT(ADDRESS(1,16,1,0,"KeySet"),0),":","""",valueMaker!P356,"""")</f>
        <v>bikou:""</v>
      </c>
    </row>
    <row r="357" spans="1:16">
      <c r="A357" t="str" cm="1">
        <f t="array" aca="1" ref="A357" ca="1">CONCATENATE(INDIRECT(ADDRESS(1,1,1,0,"KeySet"),0),":","""",valueMaker!A357,"""")</f>
        <v>kainBangou:"TD10356"</v>
      </c>
      <c r="B357" t="str" cm="1">
        <f t="array" aca="1" ref="B357" ca="1">CONCATENATE(INDIRECT(ADDRESS(1,2,1,0,"KeySet"),0),":","""",valueMaker!B357,"""")</f>
        <v>kainMeiKanji:"林彤存"</v>
      </c>
      <c r="C357" t="str" cm="1">
        <f t="array" aca="1" ref="C357" ca="1">CONCATENATE(INDIRECT(ADDRESS(1,3,1,0,"KeySet"),0),":","""",valueMaker!C357,"""")</f>
        <v>kainMeiKana:"ﾘﾝ ﾄｰﾝ ﾂｩﾝ"</v>
      </c>
      <c r="D357" t="str" cm="1">
        <f t="array" aca="1" ref="D357" ca="1">CONCATENATE(INDIRECT(ADDRESS(1,4,1,0,"KeySet"),0),":","""",valueMaker!D357,"""")</f>
        <v>kainMeiEn:"Lin Tong Cun"</v>
      </c>
      <c r="E357" t="str" cm="1">
        <f t="array" aca="1" ref="E357" ca="1">CONCATENATE(INDIRECT(ADDRESS(1,5,1,0,"KeySet"),0),":","""",valueMaker!E357,"""")</f>
        <v>kainGender:"女性"</v>
      </c>
      <c r="F357" t="str" cm="1">
        <f t="array" aca="1" ref="F357" ca="1">CONCATENATE(INDIRECT(ADDRESS(1,6,1,0,"KeySet"),0),":","""",TEXT(valueMaker!F357,"yyyy/m/d"),"""")</f>
        <v>tanjyoubi:"1971/2/5"</v>
      </c>
      <c r="G357" t="str" cm="1">
        <f t="array" aca="1" ref="G357" ca="1">CONCATENATE(INDIRECT(ADDRESS(1,6,1,0,"KeySet"),0),":","""",TEXT(valueMaker!G357,"yyyy/m/d"),"""")</f>
        <v>tanjyoubi:"2013/8/10"</v>
      </c>
      <c r="H357" t="str" cm="1">
        <f t="array" aca="1" ref="H357" ca="1">CONCATENATE(INDIRECT(ADDRESS(1,6,1,0,"KeySet"),0),":","""",TEXT(valueMaker!H357,"yyyy/m/d"),"""")</f>
        <v>tanjyoubi:"2016/8/9"</v>
      </c>
      <c r="I357" t="str" cm="1">
        <f t="array" aca="1" ref="I357" ca="1">CONCATENATE(INDIRECT(ADDRESS(1,9,1,0,"KeySet"),0),":","""",valueMaker!I357,"""")</f>
        <v>denwaBangou:"080-0515-8267"</v>
      </c>
      <c r="J357" t="str" cm="1">
        <f t="array" aca="1" ref="J357" ca="1">CONCATENATE(INDIRECT(ADDRESS(1,10,1,0,"KeySet"),0),":","""",valueMaker!J357,"""")</f>
        <v>mailAddress:"Lin_Tong_Cun_41496@outlook.jp.co"</v>
      </c>
      <c r="K357" t="str" cm="1">
        <f t="array" aca="1" ref="K357" ca="1">CONCATENATE(INDIRECT(ADDRESS(1,11,1,0,"KeySet"),0),":","""",valueMaker!K357,"""")</f>
        <v>kaninSyubetu:"普通"</v>
      </c>
      <c r="L357" t="str" cm="1">
        <f t="array" aca="1" ref="L357" ca="1">CONCATENATE(INDIRECT(ADDRESS(1,12,1,0,"KeySet"),0),":","""",valueMaker!L357,"""")</f>
        <v>kaninKengenWB:"有り"</v>
      </c>
      <c r="M357" t="str" cm="1">
        <f t="array" aca="1" ref="M357" ca="1">CONCATENATE(INDIRECT(ADDRESS(1,13,1,0,"KeySet"),0),":","""",valueMaker!M357,"""")</f>
        <v>wakibiri:"5%"</v>
      </c>
      <c r="N357" t="str" cm="1">
        <f t="array" aca="1" ref="N357" ca="1">CONCATENATE(INDIRECT(ADDRESS(1,14,1,0,"KeySet"),0),":","""",valueMaker!N357,"""")</f>
        <v>kaninKengenPoint:"有り"</v>
      </c>
      <c r="O357" t="str" cm="1">
        <f t="array" aca="1" ref="O357" ca="1">CONCATENATE(INDIRECT(ADDRESS(1,15,1,0,"KeySet"),0),":","""",valueMaker!O357,"""")</f>
        <v>point:"930"</v>
      </c>
      <c r="P357" t="str" cm="1">
        <f t="array" aca="1" ref="P357" ca="1">CONCATENATE(INDIRECT(ADDRESS(1,16,1,0,"KeySet"),0),":","""",valueMaker!P357,"""")</f>
        <v>bikou:""</v>
      </c>
    </row>
    <row r="358" spans="1:16">
      <c r="A358" t="str" cm="1">
        <f t="array" aca="1" ref="A358" ca="1">CONCATENATE(INDIRECT(ADDRESS(1,1,1,0,"KeySet"),0),":","""",valueMaker!A358,"""")</f>
        <v>kainBangou:"TD10357"</v>
      </c>
      <c r="B358" t="str" cm="1">
        <f t="array" aca="1" ref="B358" ca="1">CONCATENATE(INDIRECT(ADDRESS(1,2,1,0,"KeySet"),0),":","""",valueMaker!B358,"""")</f>
        <v>kainMeiKanji:"謝創和"</v>
      </c>
      <c r="C358" t="str" cm="1">
        <f t="array" aca="1" ref="C358" ca="1">CONCATENATE(INDIRECT(ADDRESS(1,3,1,0,"KeySet"),0),":","""",valueMaker!C358,"""")</f>
        <v>kainMeiKana:"ｼｴ ﾁｭﾜｰﾝ ﾎｰｧ"</v>
      </c>
      <c r="D358" t="str" cm="1">
        <f t="array" aca="1" ref="D358" ca="1">CONCATENATE(INDIRECT(ADDRESS(1,4,1,0,"KeySet"),0),":","""",valueMaker!D358,"""")</f>
        <v>kainMeiEn:"Xie Chuang He"</v>
      </c>
      <c r="E358" t="str" cm="1">
        <f t="array" aca="1" ref="E358" ca="1">CONCATENATE(INDIRECT(ADDRESS(1,5,1,0,"KeySet"),0),":","""",valueMaker!E358,"""")</f>
        <v>kainGender:"男性"</v>
      </c>
      <c r="F358" t="str" cm="1">
        <f t="array" aca="1" ref="F358" ca="1">CONCATENATE(INDIRECT(ADDRESS(1,6,1,0,"KeySet"),0),":","""",TEXT(valueMaker!F358,"yyyy/m/d"),"""")</f>
        <v>tanjyoubi:"1970/3/29"</v>
      </c>
      <c r="G358" t="str" cm="1">
        <f t="array" aca="1" ref="G358" ca="1">CONCATENATE(INDIRECT(ADDRESS(1,6,1,0,"KeySet"),0),":","""",TEXT(valueMaker!G358,"yyyy/m/d"),"""")</f>
        <v>tanjyoubi:"1992/8/14"</v>
      </c>
      <c r="H358" t="str" cm="1">
        <f t="array" aca="1" ref="H358" ca="1">CONCATENATE(INDIRECT(ADDRESS(1,6,1,0,"KeySet"),0),":","""",TEXT(valueMaker!H358,"yyyy/m/d"),"""")</f>
        <v>tanjyoubi:"1993/8/14"</v>
      </c>
      <c r="I358" t="str" cm="1">
        <f t="array" aca="1" ref="I358" ca="1">CONCATENATE(INDIRECT(ADDRESS(1,9,1,0,"KeySet"),0),":","""",valueMaker!I358,"""")</f>
        <v>denwaBangou:"080-9907-2926"</v>
      </c>
      <c r="J358" t="str" cm="1">
        <f t="array" aca="1" ref="J358" ca="1">CONCATENATE(INDIRECT(ADDRESS(1,10,1,0,"KeySet"),0),":","""",valueMaker!J358,"""")</f>
        <v>mailAddress:"Xie_Chuang He_33830@outlook.jp.co"</v>
      </c>
      <c r="K358" t="str" cm="1">
        <f t="array" aca="1" ref="K358" ca="1">CONCATENATE(INDIRECT(ADDRESS(1,11,1,0,"KeySet"),0),":","""",valueMaker!K358,"""")</f>
        <v>kaninSyubetu:"普通"</v>
      </c>
      <c r="L358" t="str" cm="1">
        <f t="array" aca="1" ref="L358" ca="1">CONCATENATE(INDIRECT(ADDRESS(1,12,1,0,"KeySet"),0),":","""",valueMaker!L358,"""")</f>
        <v>kaninKengenWB:"有り"</v>
      </c>
      <c r="M358" t="str" cm="1">
        <f t="array" aca="1" ref="M358" ca="1">CONCATENATE(INDIRECT(ADDRESS(1,13,1,0,"KeySet"),0),":","""",valueMaker!M358,"""")</f>
        <v>wakibiri:"5%"</v>
      </c>
      <c r="N358" t="str" cm="1">
        <f t="array" aca="1" ref="N358" ca="1">CONCATENATE(INDIRECT(ADDRESS(1,14,1,0,"KeySet"),0),":","""",valueMaker!N358,"""")</f>
        <v>kaninKengenPoint:"有り"</v>
      </c>
      <c r="O358" t="str" cm="1">
        <f t="array" aca="1" ref="O358" ca="1">CONCATENATE(INDIRECT(ADDRESS(1,15,1,0,"KeySet"),0),":","""",valueMaker!O358,"""")</f>
        <v>point:"902"</v>
      </c>
      <c r="P358" t="str" cm="1">
        <f t="array" aca="1" ref="P358" ca="1">CONCATENATE(INDIRECT(ADDRESS(1,16,1,0,"KeySet"),0),":","""",valueMaker!P358,"""")</f>
        <v>bikou:""</v>
      </c>
    </row>
    <row r="359" spans="1:16">
      <c r="A359" t="str" cm="1">
        <f t="array" aca="1" ref="A359" ca="1">CONCATENATE(INDIRECT(ADDRESS(1,1,1,0,"KeySet"),0),":","""",valueMaker!A359,"""")</f>
        <v>kainBangou:"TD10358"</v>
      </c>
      <c r="B359" t="str" cm="1">
        <f t="array" aca="1" ref="B359" ca="1">CONCATENATE(INDIRECT(ADDRESS(1,2,1,0,"KeySet"),0),":","""",valueMaker!B359,"""")</f>
        <v>kainMeiKanji:"吳盟玲"</v>
      </c>
      <c r="C359" t="str" cm="1">
        <f t="array" aca="1" ref="C359" ca="1">CONCATENATE(INDIRECT(ADDRESS(1,3,1,0,"KeySet"),0),":","""",valueMaker!C359,"""")</f>
        <v>kainMeiKana:"ｳｰ ﾑｵﾝ ﾘｰﾝ"</v>
      </c>
      <c r="D359" t="str" cm="1">
        <f t="array" aca="1" ref="D359" ca="1">CONCATENATE(INDIRECT(ADDRESS(1,4,1,0,"KeySet"),0),":","""",valueMaker!D359,"""")</f>
        <v>kainMeiEn:"Wu Meng Ling"</v>
      </c>
      <c r="E359" t="str" cm="1">
        <f t="array" aca="1" ref="E359" ca="1">CONCATENATE(INDIRECT(ADDRESS(1,5,1,0,"KeySet"),0),":","""",valueMaker!E359,"""")</f>
        <v>kainGender:"男性"</v>
      </c>
      <c r="F359" t="str" cm="1">
        <f t="array" aca="1" ref="F359" ca="1">CONCATENATE(INDIRECT(ADDRESS(1,6,1,0,"KeySet"),0),":","""",TEXT(valueMaker!F359,"yyyy/m/d"),"""")</f>
        <v>tanjyoubi:"1984/1/26"</v>
      </c>
      <c r="G359" t="str" cm="1">
        <f t="array" aca="1" ref="G359" ca="1">CONCATENATE(INDIRECT(ADDRESS(1,6,1,0,"KeySet"),0),":","""",TEXT(valueMaker!G359,"yyyy/m/d"),"""")</f>
        <v>tanjyoubi:"2013/12/29"</v>
      </c>
      <c r="H359" t="str" cm="1">
        <f t="array" aca="1" ref="H359" ca="1">CONCATENATE(INDIRECT(ADDRESS(1,6,1,0,"KeySet"),0),":","""",TEXT(valueMaker!H359,"yyyy/m/d"),"""")</f>
        <v>tanjyoubi:"2015/12/29"</v>
      </c>
      <c r="I359" t="str" cm="1">
        <f t="array" aca="1" ref="I359" ca="1">CONCATENATE(INDIRECT(ADDRESS(1,9,1,0,"KeySet"),0),":","""",valueMaker!I359,"""")</f>
        <v>denwaBangou:"090-9999-3975"</v>
      </c>
      <c r="J359" t="str" cm="1">
        <f t="array" aca="1" ref="J359" ca="1">CONCATENATE(INDIRECT(ADDRESS(1,10,1,0,"KeySet"),0),":","""",valueMaker!J359,"""")</f>
        <v>mailAddress:"Wu_Meng_Ling_41637@outlook.jp.co"</v>
      </c>
      <c r="K359" t="str" cm="1">
        <f t="array" aca="1" ref="K359" ca="1">CONCATENATE(INDIRECT(ADDRESS(1,11,1,0,"KeySet"),0),":","""",valueMaker!K359,"""")</f>
        <v>kaninSyubetu:"普通"</v>
      </c>
      <c r="L359" t="str" cm="1">
        <f t="array" aca="1" ref="L359" ca="1">CONCATENATE(INDIRECT(ADDRESS(1,12,1,0,"KeySet"),0),":","""",valueMaker!L359,"""")</f>
        <v>kaninKengenWB:"有り"</v>
      </c>
      <c r="M359" t="str" cm="1">
        <f t="array" aca="1" ref="M359" ca="1">CONCATENATE(INDIRECT(ADDRESS(1,13,1,0,"KeySet"),0),":","""",valueMaker!M359,"""")</f>
        <v>wakibiri:"5%"</v>
      </c>
      <c r="N359" t="str" cm="1">
        <f t="array" aca="1" ref="N359" ca="1">CONCATENATE(INDIRECT(ADDRESS(1,14,1,0,"KeySet"),0),":","""",valueMaker!N359,"""")</f>
        <v>kaninKengenPoint:"有り"</v>
      </c>
      <c r="O359" t="str" cm="1">
        <f t="array" aca="1" ref="O359" ca="1">CONCATENATE(INDIRECT(ADDRESS(1,15,1,0,"KeySet"),0),":","""",valueMaker!O359,"""")</f>
        <v>point:"773"</v>
      </c>
      <c r="P359" t="str" cm="1">
        <f t="array" aca="1" ref="P359" ca="1">CONCATENATE(INDIRECT(ADDRESS(1,16,1,0,"KeySet"),0),":","""",valueMaker!P359,"""")</f>
        <v>bikou:""</v>
      </c>
    </row>
    <row r="360" spans="1:16">
      <c r="A360" t="str" cm="1">
        <f t="array" aca="1" ref="A360" ca="1">CONCATENATE(INDIRECT(ADDRESS(1,1,1,0,"KeySet"),0),":","""",valueMaker!A360,"""")</f>
        <v>kainBangou:"TD10359"</v>
      </c>
      <c r="B360" t="str" cm="1">
        <f t="array" aca="1" ref="B360" ca="1">CONCATENATE(INDIRECT(ADDRESS(1,2,1,0,"KeySet"),0),":","""",valueMaker!B360,"""")</f>
        <v>kainMeiKanji:"徐泰聚"</v>
      </c>
      <c r="C360" t="str" cm="1">
        <f t="array" aca="1" ref="C360" ca="1">CONCATENATE(INDIRECT(ADDRESS(1,3,1,0,"KeySet"),0),":","""",valueMaker!C360,"""")</f>
        <v>kainMeiKana:"ｼｭｲ ﾀｲ ｼﾞｭｲ"</v>
      </c>
      <c r="D360" t="str" cm="1">
        <f t="array" aca="1" ref="D360" ca="1">CONCATENATE(INDIRECT(ADDRESS(1,4,1,0,"KeySet"),0),":","""",valueMaker!D360,"""")</f>
        <v>kainMeiEn:"Xu Tai Ju"</v>
      </c>
      <c r="E360" t="str" cm="1">
        <f t="array" aca="1" ref="E360" ca="1">CONCATENATE(INDIRECT(ADDRESS(1,5,1,0,"KeySet"),0),":","""",valueMaker!E360,"""")</f>
        <v>kainGender:"女性"</v>
      </c>
      <c r="F360" t="str" cm="1">
        <f t="array" aca="1" ref="F360" ca="1">CONCATENATE(INDIRECT(ADDRESS(1,6,1,0,"KeySet"),0),":","""",TEXT(valueMaker!F360,"yyyy/m/d"),"""")</f>
        <v>tanjyoubi:"1986/2/12"</v>
      </c>
      <c r="G360" t="str" cm="1">
        <f t="array" aca="1" ref="G360" ca="1">CONCATENATE(INDIRECT(ADDRESS(1,6,1,0,"KeySet"),0),":","""",TEXT(valueMaker!G360,"yyyy/m/d"),"""")</f>
        <v>tanjyoubi:"2005/7/18"</v>
      </c>
      <c r="H360" t="str" cm="1">
        <f t="array" aca="1" ref="H360" ca="1">CONCATENATE(INDIRECT(ADDRESS(1,6,1,0,"KeySet"),0),":","""",TEXT(valueMaker!H360,"yyyy/m/d"),"""")</f>
        <v>tanjyoubi:"2007/7/18"</v>
      </c>
      <c r="I360" t="str" cm="1">
        <f t="array" aca="1" ref="I360" ca="1">CONCATENATE(INDIRECT(ADDRESS(1,9,1,0,"KeySet"),0),":","""",valueMaker!I360,"""")</f>
        <v>denwaBangou:"080-7309-9611"</v>
      </c>
      <c r="J360" t="str" cm="1">
        <f t="array" aca="1" ref="J360" ca="1">CONCATENATE(INDIRECT(ADDRESS(1,10,1,0,"KeySet"),0),":","""",valueMaker!J360,"""")</f>
        <v>mailAddress:"Xu_Tai_Ju_38551@outlook.jp.co"</v>
      </c>
      <c r="K360" t="str" cm="1">
        <f t="array" aca="1" ref="K360" ca="1">CONCATENATE(INDIRECT(ADDRESS(1,11,1,0,"KeySet"),0),":","""",valueMaker!K360,"""")</f>
        <v>kaninSyubetu:"普通"</v>
      </c>
      <c r="L360" t="str" cm="1">
        <f t="array" aca="1" ref="L360" ca="1">CONCATENATE(INDIRECT(ADDRESS(1,12,1,0,"KeySet"),0),":","""",valueMaker!L360,"""")</f>
        <v>kaninKengenWB:"有り"</v>
      </c>
      <c r="M360" t="str" cm="1">
        <f t="array" aca="1" ref="M360" ca="1">CONCATENATE(INDIRECT(ADDRESS(1,13,1,0,"KeySet"),0),":","""",valueMaker!M360,"""")</f>
        <v>wakibiri:"5%"</v>
      </c>
      <c r="N360" t="str" cm="1">
        <f t="array" aca="1" ref="N360" ca="1">CONCATENATE(INDIRECT(ADDRESS(1,14,1,0,"KeySet"),0),":","""",valueMaker!N360,"""")</f>
        <v>kaninKengenPoint:"有り"</v>
      </c>
      <c r="O360" t="str" cm="1">
        <f t="array" aca="1" ref="O360" ca="1">CONCATENATE(INDIRECT(ADDRESS(1,15,1,0,"KeySet"),0),":","""",valueMaker!O360,"""")</f>
        <v>point:"631"</v>
      </c>
      <c r="P360" t="str" cm="1">
        <f t="array" aca="1" ref="P360" ca="1">CONCATENATE(INDIRECT(ADDRESS(1,16,1,0,"KeySet"),0),":","""",valueMaker!P360,"""")</f>
        <v>bikou:""</v>
      </c>
    </row>
    <row r="361" spans="1:16">
      <c r="A361" t="str" cm="1">
        <f t="array" aca="1" ref="A361" ca="1">CONCATENATE(INDIRECT(ADDRESS(1,1,1,0,"KeySet"),0),":","""",valueMaker!A361,"""")</f>
        <v>kainBangou:"TD10360"</v>
      </c>
      <c r="B361" t="str" cm="1">
        <f t="array" aca="1" ref="B361" ca="1">CONCATENATE(INDIRECT(ADDRESS(1,2,1,0,"KeySet"),0),":","""",valueMaker!B361,"""")</f>
        <v>kainMeiKanji:"于源俊"</v>
      </c>
      <c r="C361" t="str" cm="1">
        <f t="array" aca="1" ref="C361" ca="1">CONCATENATE(INDIRECT(ADDRESS(1,3,1,0,"KeySet"),0),":","""",valueMaker!C361,"""")</f>
        <v>kainMeiKana:"ﾕｲ ﾕｴﾝ ｼﾞｭｲﾝ"</v>
      </c>
      <c r="D361" t="str" cm="1">
        <f t="array" aca="1" ref="D361" ca="1">CONCATENATE(INDIRECT(ADDRESS(1,4,1,0,"KeySet"),0),":","""",valueMaker!D361,"""")</f>
        <v>kainMeiEn:"Yu Yuan Jun"</v>
      </c>
      <c r="E361" t="str" cm="1">
        <f t="array" aca="1" ref="E361" ca="1">CONCATENATE(INDIRECT(ADDRESS(1,5,1,0,"KeySet"),0),":","""",valueMaker!E361,"""")</f>
        <v>kainGender:"男性"</v>
      </c>
      <c r="F361" t="str" cm="1">
        <f t="array" aca="1" ref="F361" ca="1">CONCATENATE(INDIRECT(ADDRESS(1,6,1,0,"KeySet"),0),":","""",TEXT(valueMaker!F361,"yyyy/m/d"),"""")</f>
        <v>tanjyoubi:"1968/3/13"</v>
      </c>
      <c r="G361" t="str" cm="1">
        <f t="array" aca="1" ref="G361" ca="1">CONCATENATE(INDIRECT(ADDRESS(1,6,1,0,"KeySet"),0),":","""",TEXT(valueMaker!G361,"yyyy/m/d"),"""")</f>
        <v>tanjyoubi:"1986/11/20"</v>
      </c>
      <c r="H361" t="str" cm="1">
        <f t="array" aca="1" ref="H361" ca="1">CONCATENATE(INDIRECT(ADDRESS(1,6,1,0,"KeySet"),0),":","""",TEXT(valueMaker!H361,"yyyy/m/d"),"""")</f>
        <v>tanjyoubi:"1987/11/20"</v>
      </c>
      <c r="I361" t="str" cm="1">
        <f t="array" aca="1" ref="I361" ca="1">CONCATENATE(INDIRECT(ADDRESS(1,9,1,0,"KeySet"),0),":","""",valueMaker!I361,"""")</f>
        <v>denwaBangou:"080-5400-5891"</v>
      </c>
      <c r="J361" t="str" cm="1">
        <f t="array" aca="1" ref="J361" ca="1">CONCATENATE(INDIRECT(ADDRESS(1,10,1,0,"KeySet"),0),":","""",valueMaker!J361,"""")</f>
        <v>mailAddress:"Yu_Yuan_Jun_31736@outlook.jp.co"</v>
      </c>
      <c r="K361" t="str" cm="1">
        <f t="array" aca="1" ref="K361" ca="1">CONCATENATE(INDIRECT(ADDRESS(1,11,1,0,"KeySet"),0),":","""",valueMaker!K361,"""")</f>
        <v>kaninSyubetu:"普通"</v>
      </c>
      <c r="L361" t="str" cm="1">
        <f t="array" aca="1" ref="L361" ca="1">CONCATENATE(INDIRECT(ADDRESS(1,12,1,0,"KeySet"),0),":","""",valueMaker!L361,"""")</f>
        <v>kaninKengenWB:"有り"</v>
      </c>
      <c r="M361" t="str" cm="1">
        <f t="array" aca="1" ref="M361" ca="1">CONCATENATE(INDIRECT(ADDRESS(1,13,1,0,"KeySet"),0),":","""",valueMaker!M361,"""")</f>
        <v>wakibiri:"5%"</v>
      </c>
      <c r="N361" t="str" cm="1">
        <f t="array" aca="1" ref="N361" ca="1">CONCATENATE(INDIRECT(ADDRESS(1,14,1,0,"KeySet"),0),":","""",valueMaker!N361,"""")</f>
        <v>kaninKengenPoint:"有り"</v>
      </c>
      <c r="O361" t="str" cm="1">
        <f t="array" aca="1" ref="O361" ca="1">CONCATENATE(INDIRECT(ADDRESS(1,15,1,0,"KeySet"),0),":","""",valueMaker!O361,"""")</f>
        <v>point:"202"</v>
      </c>
      <c r="P361" t="str" cm="1">
        <f t="array" aca="1" ref="P361" ca="1">CONCATENATE(INDIRECT(ADDRESS(1,16,1,0,"KeySet"),0),":","""",valueMaker!P361,"""")</f>
        <v>bikou:""</v>
      </c>
    </row>
    <row r="362" spans="1:16">
      <c r="A362" t="str" cm="1">
        <f t="array" aca="1" ref="A362" ca="1">CONCATENATE(INDIRECT(ADDRESS(1,1,1,0,"KeySet"),0),":","""",valueMaker!A362,"""")</f>
        <v>kainBangou:"TD10361"</v>
      </c>
      <c r="B362" t="str" cm="1">
        <f t="array" aca="1" ref="B362" ca="1">CONCATENATE(INDIRECT(ADDRESS(1,2,1,0,"KeySet"),0),":","""",valueMaker!B362,"""")</f>
        <v>kainMeiKanji:"鄭晟輝"</v>
      </c>
      <c r="C362" t="str" cm="1">
        <f t="array" aca="1" ref="C362" ca="1">CONCATENATE(INDIRECT(ADDRESS(1,3,1,0,"KeySet"),0),":","""",valueMaker!C362,"""")</f>
        <v>kainMeiKana:"ｼﾞｭﾖﾝ ｼｭﾖﾝ ﾎｩｲ"</v>
      </c>
      <c r="D362" t="str" cm="1">
        <f t="array" aca="1" ref="D362" ca="1">CONCATENATE(INDIRECT(ADDRESS(1,4,1,0,"KeySet"),0),":","""",valueMaker!D362,"""")</f>
        <v>kainMeiEn:"Zheng Sheng Hui"</v>
      </c>
      <c r="E362" t="str" cm="1">
        <f t="array" aca="1" ref="E362" ca="1">CONCATENATE(INDIRECT(ADDRESS(1,5,1,0,"KeySet"),0),":","""",valueMaker!E362,"""")</f>
        <v>kainGender:"男性"</v>
      </c>
      <c r="F362" t="str" cm="1">
        <f t="array" aca="1" ref="F362" ca="1">CONCATENATE(INDIRECT(ADDRESS(1,6,1,0,"KeySet"),0),":","""",TEXT(valueMaker!F362,"yyyy/m/d"),"""")</f>
        <v>tanjyoubi:"1999/12/15"</v>
      </c>
      <c r="G362" t="str" cm="1">
        <f t="array" aca="1" ref="G362" ca="1">CONCATENATE(INDIRECT(ADDRESS(1,6,1,0,"KeySet"),0),":","""",TEXT(valueMaker!G362,"yyyy/m/d"),"""")</f>
        <v>tanjyoubi:"2021/12/19"</v>
      </c>
      <c r="H362" t="str" cm="1">
        <f t="array" aca="1" ref="H362" ca="1">CONCATENATE(INDIRECT(ADDRESS(1,6,1,0,"KeySet"),0),":","""",TEXT(valueMaker!H362,"yyyy/m/d"),"""")</f>
        <v>tanjyoubi:"2024/12/18"</v>
      </c>
      <c r="I362" t="str" cm="1">
        <f t="array" aca="1" ref="I362" ca="1">CONCATENATE(INDIRECT(ADDRESS(1,9,1,0,"KeySet"),0),":","""",valueMaker!I362,"""")</f>
        <v>denwaBangou:"090-9864-0771"</v>
      </c>
      <c r="J362" t="str" cm="1">
        <f t="array" aca="1" ref="J362" ca="1">CONCATENATE(INDIRECT(ADDRESS(1,10,1,0,"KeySet"),0),":","""",valueMaker!J362,"""")</f>
        <v>mailAddress:"Zheng_Sheng_Hui_44549@outlook.jp.co"</v>
      </c>
      <c r="K362" t="str" cm="1">
        <f t="array" aca="1" ref="K362" ca="1">CONCATENATE(INDIRECT(ADDRESS(1,11,1,0,"KeySet"),0),":","""",valueMaker!K362,"""")</f>
        <v>kaninSyubetu:"普通"</v>
      </c>
      <c r="L362" t="str" cm="1">
        <f t="array" aca="1" ref="L362" ca="1">CONCATENATE(INDIRECT(ADDRESS(1,12,1,0,"KeySet"),0),":","""",valueMaker!L362,"""")</f>
        <v>kaninKengenWB:"有り"</v>
      </c>
      <c r="M362" t="str" cm="1">
        <f t="array" aca="1" ref="M362" ca="1">CONCATENATE(INDIRECT(ADDRESS(1,13,1,0,"KeySet"),0),":","""",valueMaker!M362,"""")</f>
        <v>wakibiri:"5%"</v>
      </c>
      <c r="N362" t="str" cm="1">
        <f t="array" aca="1" ref="N362" ca="1">CONCATENATE(INDIRECT(ADDRESS(1,14,1,0,"KeySet"),0),":","""",valueMaker!N362,"""")</f>
        <v>kaninKengenPoint:"有り"</v>
      </c>
      <c r="O362" t="str" cm="1">
        <f t="array" aca="1" ref="O362" ca="1">CONCATENATE(INDIRECT(ADDRESS(1,15,1,0,"KeySet"),0),":","""",valueMaker!O362,"""")</f>
        <v>point:"66"</v>
      </c>
      <c r="P362" t="str" cm="1">
        <f t="array" aca="1" ref="P362" ca="1">CONCATENATE(INDIRECT(ADDRESS(1,16,1,0,"KeySet"),0),":","""",valueMaker!P362,"""")</f>
        <v>bikou:""</v>
      </c>
    </row>
    <row r="363" spans="1:16">
      <c r="A363" t="str" cm="1">
        <f t="array" aca="1" ref="A363" ca="1">CONCATENATE(INDIRECT(ADDRESS(1,1,1,0,"KeySet"),0),":","""",valueMaker!A363,"""")</f>
        <v>kainBangou:"TD10362"</v>
      </c>
      <c r="B363" t="str" cm="1">
        <f t="array" aca="1" ref="B363" ca="1">CONCATENATE(INDIRECT(ADDRESS(1,2,1,0,"KeySet"),0),":","""",valueMaker!B363,"""")</f>
        <v>kainMeiKanji:"黃朋莉"</v>
      </c>
      <c r="C363" t="str" cm="1">
        <f t="array" aca="1" ref="C363" ca="1">CONCATENATE(INDIRECT(ADDRESS(1,3,1,0,"KeySet"),0),":","""",valueMaker!C363,"""")</f>
        <v>kainMeiKana:"ﾎﾜｰﾝ ﾌﾟｵﾝ ﾘｰ"</v>
      </c>
      <c r="D363" t="str" cm="1">
        <f t="array" aca="1" ref="D363" ca="1">CONCATENATE(INDIRECT(ADDRESS(1,4,1,0,"KeySet"),0),":","""",valueMaker!D363,"""")</f>
        <v>kainMeiEn:"Huang Peng Li"</v>
      </c>
      <c r="E363" t="str" cm="1">
        <f t="array" aca="1" ref="E363" ca="1">CONCATENATE(INDIRECT(ADDRESS(1,5,1,0,"KeySet"),0),":","""",valueMaker!E363,"""")</f>
        <v>kainGender:"女性"</v>
      </c>
      <c r="F363" t="str" cm="1">
        <f t="array" aca="1" ref="F363" ca="1">CONCATENATE(INDIRECT(ADDRESS(1,6,1,0,"KeySet"),0),":","""",TEXT(valueMaker!F363,"yyyy/m/d"),"""")</f>
        <v>tanjyoubi:"1972/1/25"</v>
      </c>
      <c r="G363" t="str" cm="1">
        <f t="array" aca="1" ref="G363" ca="1">CONCATENATE(INDIRECT(ADDRESS(1,6,1,0,"KeySet"),0),":","""",TEXT(valueMaker!G363,"yyyy/m/d"),"""")</f>
        <v>tanjyoubi:"2023/5/26"</v>
      </c>
      <c r="H363" t="str" cm="1">
        <f t="array" aca="1" ref="H363" ca="1">CONCATENATE(INDIRECT(ADDRESS(1,6,1,0,"KeySet"),0),":","""",TEXT(valueMaker!H363,"yyyy/m/d"),"""")</f>
        <v>tanjyoubi:"2025/5/25"</v>
      </c>
      <c r="I363" t="str" cm="1">
        <f t="array" aca="1" ref="I363" ca="1">CONCATENATE(INDIRECT(ADDRESS(1,9,1,0,"KeySet"),0),":","""",valueMaker!I363,"""")</f>
        <v>denwaBangou:"090-7416-2793"</v>
      </c>
      <c r="J363" t="str" cm="1">
        <f t="array" aca="1" ref="J363" ca="1">CONCATENATE(INDIRECT(ADDRESS(1,10,1,0,"KeySet"),0),":","""",valueMaker!J363,"""")</f>
        <v>mailAddress:"Huang_Peng_Li_45072@outlook.jp.co"</v>
      </c>
      <c r="K363" t="str" cm="1">
        <f t="array" aca="1" ref="K363" ca="1">CONCATENATE(INDIRECT(ADDRESS(1,11,1,0,"KeySet"),0),":","""",valueMaker!K363,"""")</f>
        <v>kaninSyubetu:"普通"</v>
      </c>
      <c r="L363" t="str" cm="1">
        <f t="array" aca="1" ref="L363" ca="1">CONCATENATE(INDIRECT(ADDRESS(1,12,1,0,"KeySet"),0),":","""",valueMaker!L363,"""")</f>
        <v>kaninKengenWB:"有り"</v>
      </c>
      <c r="M363" t="str" cm="1">
        <f t="array" aca="1" ref="M363" ca="1">CONCATENATE(INDIRECT(ADDRESS(1,13,1,0,"KeySet"),0),":","""",valueMaker!M363,"""")</f>
        <v>wakibiri:"5%"</v>
      </c>
      <c r="N363" t="str" cm="1">
        <f t="array" aca="1" ref="N363" ca="1">CONCATENATE(INDIRECT(ADDRESS(1,14,1,0,"KeySet"),0),":","""",valueMaker!N363,"""")</f>
        <v>kaninKengenPoint:"-"</v>
      </c>
      <c r="O363" t="str" cm="1">
        <f t="array" aca="1" ref="O363" ca="1">CONCATENATE(INDIRECT(ADDRESS(1,15,1,0,"KeySet"),0),":","""",valueMaker!O363,"""")</f>
        <v>point:"-"</v>
      </c>
      <c r="P363" t="str" cm="1">
        <f t="array" aca="1" ref="P363" ca="1">CONCATENATE(INDIRECT(ADDRESS(1,16,1,0,"KeySet"),0),":","""",valueMaker!P363,"""")</f>
        <v>bikou:""</v>
      </c>
    </row>
    <row r="364" spans="1:16">
      <c r="A364" t="str" cm="1">
        <f t="array" aca="1" ref="A364" ca="1">CONCATENATE(INDIRECT(ADDRESS(1,1,1,0,"KeySet"),0),":","""",valueMaker!A364,"""")</f>
        <v>kainBangou:"TD10363"</v>
      </c>
      <c r="B364" t="str" cm="1">
        <f t="array" aca="1" ref="B364" ca="1">CONCATENATE(INDIRECT(ADDRESS(1,2,1,0,"KeySet"),0),":","""",valueMaker!B364,"""")</f>
        <v>kainMeiKanji:"謝皓聽"</v>
      </c>
      <c r="C364" t="str" cm="1">
        <f t="array" aca="1" ref="C364" ca="1">CONCATENATE(INDIRECT(ADDRESS(1,3,1,0,"KeySet"),0),":","""",valueMaker!C364,"""")</f>
        <v>kainMeiKana:"ｼｴ ﾊｵ ﾃｨｰﾝ"</v>
      </c>
      <c r="D364" t="str" cm="1">
        <f t="array" aca="1" ref="D364" ca="1">CONCATENATE(INDIRECT(ADDRESS(1,4,1,0,"KeySet"),0),":","""",valueMaker!D364,"""")</f>
        <v>kainMeiEn:"Xie Hao Ting"</v>
      </c>
      <c r="E364" t="str" cm="1">
        <f t="array" aca="1" ref="E364" ca="1">CONCATENATE(INDIRECT(ADDRESS(1,5,1,0,"KeySet"),0),":","""",valueMaker!E364,"""")</f>
        <v>kainGender:"女性"</v>
      </c>
      <c r="F364" t="str" cm="1">
        <f t="array" aca="1" ref="F364" ca="1">CONCATENATE(INDIRECT(ADDRESS(1,6,1,0,"KeySet"),0),":","""",TEXT(valueMaker!F364,"yyyy/m/d"),"""")</f>
        <v>tanjyoubi:"1977/10/6"</v>
      </c>
      <c r="G364" t="str" cm="1">
        <f t="array" aca="1" ref="G364" ca="1">CONCATENATE(INDIRECT(ADDRESS(1,6,1,0,"KeySet"),0),":","""",TEXT(valueMaker!G364,"yyyy/m/d"),"""")</f>
        <v>tanjyoubi:"2009/4/4"</v>
      </c>
      <c r="H364" t="str" cm="1">
        <f t="array" aca="1" ref="H364" ca="1">CONCATENATE(INDIRECT(ADDRESS(1,6,1,0,"KeySet"),0),":","""",TEXT(valueMaker!H364,"yyyy/m/d"),"""")</f>
        <v>tanjyoubi:"2010/4/4"</v>
      </c>
      <c r="I364" t="str" cm="1">
        <f t="array" aca="1" ref="I364" ca="1">CONCATENATE(INDIRECT(ADDRESS(1,9,1,0,"KeySet"),0),":","""",valueMaker!I364,"""")</f>
        <v>denwaBangou:"080-7700-8343"</v>
      </c>
      <c r="J364" t="str" cm="1">
        <f t="array" aca="1" ref="J364" ca="1">CONCATENATE(INDIRECT(ADDRESS(1,10,1,0,"KeySet"),0),":","""",valueMaker!J364,"""")</f>
        <v>mailAddress:"Xie_Hao_Ting_39907@outlook.jp.co"</v>
      </c>
      <c r="K364" t="str" cm="1">
        <f t="array" aca="1" ref="K364" ca="1">CONCATENATE(INDIRECT(ADDRESS(1,11,1,0,"KeySet"),0),":","""",valueMaker!K364,"""")</f>
        <v>kaninSyubetu:"高級"</v>
      </c>
      <c r="L364" t="str" cm="1">
        <f t="array" aca="1" ref="L364" ca="1">CONCATENATE(INDIRECT(ADDRESS(1,12,1,0,"KeySet"),0),":","""",valueMaker!L364,"""")</f>
        <v>kaninKengenWB:"有り"</v>
      </c>
      <c r="M364" t="str" cm="1">
        <f t="array" aca="1" ref="M364" ca="1">CONCATENATE(INDIRECT(ADDRESS(1,13,1,0,"KeySet"),0),":","""",valueMaker!M364,"""")</f>
        <v>wakibiri:"10%"</v>
      </c>
      <c r="N364" t="str" cm="1">
        <f t="array" aca="1" ref="N364" ca="1">CONCATENATE(INDIRECT(ADDRESS(1,14,1,0,"KeySet"),0),":","""",valueMaker!N364,"""")</f>
        <v>kaninKengenPoint:"有り"</v>
      </c>
      <c r="O364" t="str" cm="1">
        <f t="array" aca="1" ref="O364" ca="1">CONCATENATE(INDIRECT(ADDRESS(1,15,1,0,"KeySet"),0),":","""",valueMaker!O364,"""")</f>
        <v>point:"467"</v>
      </c>
      <c r="P364" t="str" cm="1">
        <f t="array" aca="1" ref="P364" ca="1">CONCATENATE(INDIRECT(ADDRESS(1,16,1,0,"KeySet"),0),":","""",valueMaker!P364,"""")</f>
        <v>bikou:""</v>
      </c>
    </row>
    <row r="365" spans="1:16">
      <c r="A365" t="str" cm="1">
        <f t="array" aca="1" ref="A365" ca="1">CONCATENATE(INDIRECT(ADDRESS(1,1,1,0,"KeySet"),0),":","""",valueMaker!A365,"""")</f>
        <v>kainBangou:"TD10364"</v>
      </c>
      <c r="B365" t="str" cm="1">
        <f t="array" aca="1" ref="B365" ca="1">CONCATENATE(INDIRECT(ADDRESS(1,2,1,0,"KeySet"),0),":","""",valueMaker!B365,"""")</f>
        <v>kainMeiKanji:"馮創和"</v>
      </c>
      <c r="C365" t="str" cm="1">
        <f t="array" aca="1" ref="C365" ca="1">CONCATENATE(INDIRECT(ADDRESS(1,3,1,0,"KeySet"),0),":","""",valueMaker!C365,"""")</f>
        <v>kainMeiKana:"ﾌｵﾝ ﾁｭﾜｰﾝ ﾎｰｧ"</v>
      </c>
      <c r="D365" t="str" cm="1">
        <f t="array" aca="1" ref="D365" ca="1">CONCATENATE(INDIRECT(ADDRESS(1,4,1,0,"KeySet"),0),":","""",valueMaker!D365,"""")</f>
        <v>kainMeiEn:"Feng Chuang He"</v>
      </c>
      <c r="E365" t="str" cm="1">
        <f t="array" aca="1" ref="E365" ca="1">CONCATENATE(INDIRECT(ADDRESS(1,5,1,0,"KeySet"),0),":","""",valueMaker!E365,"""")</f>
        <v>kainGender:"男性"</v>
      </c>
      <c r="F365" t="str" cm="1">
        <f t="array" aca="1" ref="F365" ca="1">CONCATENATE(INDIRECT(ADDRESS(1,6,1,0,"KeySet"),0),":","""",TEXT(valueMaker!F365,"yyyy/m/d"),"""")</f>
        <v>tanjyoubi:"1972/9/21"</v>
      </c>
      <c r="G365" t="str" cm="1">
        <f t="array" aca="1" ref="G365" ca="1">CONCATENATE(INDIRECT(ADDRESS(1,6,1,0,"KeySet"),0),":","""",TEXT(valueMaker!G365,"yyyy/m/d"),"""")</f>
        <v>tanjyoubi:"1996/12/19"</v>
      </c>
      <c r="H365" t="str" cm="1">
        <f t="array" aca="1" ref="H365" ca="1">CONCATENATE(INDIRECT(ADDRESS(1,6,1,0,"KeySet"),0),":","""",TEXT(valueMaker!H365,"yyyy/m/d"),"""")</f>
        <v>tanjyoubi:"1999/12/19"</v>
      </c>
      <c r="I365" t="str" cm="1">
        <f t="array" aca="1" ref="I365" ca="1">CONCATENATE(INDIRECT(ADDRESS(1,9,1,0,"KeySet"),0),":","""",valueMaker!I365,"""")</f>
        <v>denwaBangou:"080-5875-4536"</v>
      </c>
      <c r="J365" t="str" cm="1">
        <f t="array" aca="1" ref="J365" ca="1">CONCATENATE(INDIRECT(ADDRESS(1,10,1,0,"KeySet"),0),":","""",valueMaker!J365,"""")</f>
        <v>mailAddress:"Feng_Chuang He_35418@outlook.jp.co"</v>
      </c>
      <c r="K365" t="str" cm="1">
        <f t="array" aca="1" ref="K365" ca="1">CONCATENATE(INDIRECT(ADDRESS(1,11,1,0,"KeySet"),0),":","""",valueMaker!K365,"""")</f>
        <v>kaninSyubetu:"普通"</v>
      </c>
      <c r="L365" t="str" cm="1">
        <f t="array" aca="1" ref="L365" ca="1">CONCATENATE(INDIRECT(ADDRESS(1,12,1,0,"KeySet"),0),":","""",valueMaker!L365,"""")</f>
        <v>kaninKengenWB:"有り"</v>
      </c>
      <c r="M365" t="str" cm="1">
        <f t="array" aca="1" ref="M365" ca="1">CONCATENATE(INDIRECT(ADDRESS(1,13,1,0,"KeySet"),0),":","""",valueMaker!M365,"""")</f>
        <v>wakibiri:"5%"</v>
      </c>
      <c r="N365" t="str" cm="1">
        <f t="array" aca="1" ref="N365" ca="1">CONCATENATE(INDIRECT(ADDRESS(1,14,1,0,"KeySet"),0),":","""",valueMaker!N365,"""")</f>
        <v>kaninKengenPoint:"有り"</v>
      </c>
      <c r="O365" t="str" cm="1">
        <f t="array" aca="1" ref="O365" ca="1">CONCATENATE(INDIRECT(ADDRESS(1,15,1,0,"KeySet"),0),":","""",valueMaker!O365,"""")</f>
        <v>point:"418"</v>
      </c>
      <c r="P365" t="str" cm="1">
        <f t="array" aca="1" ref="P365" ca="1">CONCATENATE(INDIRECT(ADDRESS(1,16,1,0,"KeySet"),0),":","""",valueMaker!P365,"""")</f>
        <v>bikou:""</v>
      </c>
    </row>
    <row r="366" spans="1:16">
      <c r="A366" t="str" cm="1">
        <f t="array" aca="1" ref="A366" ca="1">CONCATENATE(INDIRECT(ADDRESS(1,1,1,0,"KeySet"),0),":","""",valueMaker!A366,"""")</f>
        <v>kainBangou:"TD10365"</v>
      </c>
      <c r="B366" t="str" cm="1">
        <f t="array" aca="1" ref="B366" ca="1">CONCATENATE(INDIRECT(ADDRESS(1,2,1,0,"KeySet"),0),":","""",valueMaker!B366,"""")</f>
        <v>kainMeiKanji:"謝樂萊"</v>
      </c>
      <c r="C366" t="str" cm="1">
        <f t="array" aca="1" ref="C366" ca="1">CONCATENATE(INDIRECT(ADDRESS(1,3,1,0,"KeySet"),0),":","""",valueMaker!C366,"""")</f>
        <v>kainMeiKana:"ｼｴ ﾛｰｧ ﾗｲ"</v>
      </c>
      <c r="D366" t="str" cm="1">
        <f t="array" aca="1" ref="D366" ca="1">CONCATENATE(INDIRECT(ADDRESS(1,4,1,0,"KeySet"),0),":","""",valueMaker!D366,"""")</f>
        <v>kainMeiEn:"Xie Le Lai"</v>
      </c>
      <c r="E366" t="str" cm="1">
        <f t="array" aca="1" ref="E366" ca="1">CONCATENATE(INDIRECT(ADDRESS(1,5,1,0,"KeySet"),0),":","""",valueMaker!E366,"""")</f>
        <v>kainGender:"女性"</v>
      </c>
      <c r="F366" t="str" cm="1">
        <f t="array" aca="1" ref="F366" ca="1">CONCATENATE(INDIRECT(ADDRESS(1,6,1,0,"KeySet"),0),":","""",TEXT(valueMaker!F366,"yyyy/m/d"),"""")</f>
        <v>tanjyoubi:"1987/5/14"</v>
      </c>
      <c r="G366" t="str" cm="1">
        <f t="array" aca="1" ref="G366" ca="1">CONCATENATE(INDIRECT(ADDRESS(1,6,1,0,"KeySet"),0),":","""",TEXT(valueMaker!G366,"yyyy/m/d"),"""")</f>
        <v>tanjyoubi:"2010/6/2"</v>
      </c>
      <c r="H366" t="str" cm="1">
        <f t="array" aca="1" ref="H366" ca="1">CONCATENATE(INDIRECT(ADDRESS(1,6,1,0,"KeySet"),0),":","""",TEXT(valueMaker!H366,"yyyy/m/d"),"""")</f>
        <v>tanjyoubi:"2012/6/1"</v>
      </c>
      <c r="I366" t="str" cm="1">
        <f t="array" aca="1" ref="I366" ca="1">CONCATENATE(INDIRECT(ADDRESS(1,9,1,0,"KeySet"),0),":","""",valueMaker!I366,"""")</f>
        <v>denwaBangou:"090-8964-9900"</v>
      </c>
      <c r="J366" t="str" cm="1">
        <f t="array" aca="1" ref="J366" ca="1">CONCATENATE(INDIRECT(ADDRESS(1,10,1,0,"KeySet"),0),":","""",valueMaker!J366,"""")</f>
        <v>mailAddress:"Xie_Le Lai_40331@outlook.jp.co"</v>
      </c>
      <c r="K366" t="str" cm="1">
        <f t="array" aca="1" ref="K366" ca="1">CONCATENATE(INDIRECT(ADDRESS(1,11,1,0,"KeySet"),0),":","""",valueMaker!K366,"""")</f>
        <v>kaninSyubetu:"普通"</v>
      </c>
      <c r="L366" t="str" cm="1">
        <f t="array" aca="1" ref="L366" ca="1">CONCATENATE(INDIRECT(ADDRESS(1,12,1,0,"KeySet"),0),":","""",valueMaker!L366,"""")</f>
        <v>kaninKengenWB:"有り"</v>
      </c>
      <c r="M366" t="str" cm="1">
        <f t="array" aca="1" ref="M366" ca="1">CONCATENATE(INDIRECT(ADDRESS(1,13,1,0,"KeySet"),0),":","""",valueMaker!M366,"""")</f>
        <v>wakibiri:"5%"</v>
      </c>
      <c r="N366" t="str" cm="1">
        <f t="array" aca="1" ref="N366" ca="1">CONCATENATE(INDIRECT(ADDRESS(1,14,1,0,"KeySet"),0),":","""",valueMaker!N366,"""")</f>
        <v>kaninKengenPoint:"有り"</v>
      </c>
      <c r="O366" t="str" cm="1">
        <f t="array" aca="1" ref="O366" ca="1">CONCATENATE(INDIRECT(ADDRESS(1,15,1,0,"KeySet"),0),":","""",valueMaker!O366,"""")</f>
        <v>point:"220"</v>
      </c>
      <c r="P366" t="str" cm="1">
        <f t="array" aca="1" ref="P366" ca="1">CONCATENATE(INDIRECT(ADDRESS(1,16,1,0,"KeySet"),0),":","""",valueMaker!P366,"""")</f>
        <v>bikou:""</v>
      </c>
    </row>
    <row r="367" spans="1:16">
      <c r="A367" t="str" cm="1">
        <f t="array" aca="1" ref="A367" ca="1">CONCATENATE(INDIRECT(ADDRESS(1,1,1,0,"KeySet"),0),":","""",valueMaker!A367,"""")</f>
        <v>kainBangou:"TD10366"</v>
      </c>
      <c r="B367" t="str" cm="1">
        <f t="array" aca="1" ref="B367" ca="1">CONCATENATE(INDIRECT(ADDRESS(1,2,1,0,"KeySet"),0),":","""",valueMaker!B367,"""")</f>
        <v>kainMeiKanji:"張潤頓"</v>
      </c>
      <c r="C367" t="str" cm="1">
        <f t="array" aca="1" ref="C367" ca="1">CONCATENATE(INDIRECT(ADDRESS(1,3,1,0,"KeySet"),0),":","""",valueMaker!C367,"""")</f>
        <v>kainMeiKana:"ｼﾞｬｰﾝ ｩﾙﾝ ﾄﾞｩﾝ"</v>
      </c>
      <c r="D367" t="str" cm="1">
        <f t="array" aca="1" ref="D367" ca="1">CONCATENATE(INDIRECT(ADDRESS(1,4,1,0,"KeySet"),0),":","""",valueMaker!D367,"""")</f>
        <v>kainMeiEn:"Zhang Run Dun"</v>
      </c>
      <c r="E367" t="str" cm="1">
        <f t="array" aca="1" ref="E367" ca="1">CONCATENATE(INDIRECT(ADDRESS(1,5,1,0,"KeySet"),0),":","""",valueMaker!E367,"""")</f>
        <v>kainGender:"女性"</v>
      </c>
      <c r="F367" t="str" cm="1">
        <f t="array" aca="1" ref="F367" ca="1">CONCATENATE(INDIRECT(ADDRESS(1,6,1,0,"KeySet"),0),":","""",TEXT(valueMaker!F367,"yyyy/m/d"),"""")</f>
        <v>tanjyoubi:"1972/4/19"</v>
      </c>
      <c r="G367" t="str" cm="1">
        <f t="array" aca="1" ref="G367" ca="1">CONCATENATE(INDIRECT(ADDRESS(1,6,1,0,"KeySet"),0),":","""",TEXT(valueMaker!G367,"yyyy/m/d"),"""")</f>
        <v>tanjyoubi:"2011/2/4"</v>
      </c>
      <c r="H367" t="str" cm="1">
        <f t="array" aca="1" ref="H367" ca="1">CONCATENATE(INDIRECT(ADDRESS(1,6,1,0,"KeySet"),0),":","""",TEXT(valueMaker!H367,"yyyy/m/d"),"""")</f>
        <v>tanjyoubi:"2013/2/3"</v>
      </c>
      <c r="I367" t="str" cm="1">
        <f t="array" aca="1" ref="I367" ca="1">CONCATENATE(INDIRECT(ADDRESS(1,9,1,0,"KeySet"),0),":","""",valueMaker!I367,"""")</f>
        <v>denwaBangou:"090-1351-2150"</v>
      </c>
      <c r="J367" t="str" cm="1">
        <f t="array" aca="1" ref="J367" ca="1">CONCATENATE(INDIRECT(ADDRESS(1,10,1,0,"KeySet"),0),":","""",valueMaker!J367,"""")</f>
        <v>mailAddress:"Zhang_Run Dun_40578@outlook.jp.co"</v>
      </c>
      <c r="K367" t="str" cm="1">
        <f t="array" aca="1" ref="K367" ca="1">CONCATENATE(INDIRECT(ADDRESS(1,11,1,0,"KeySet"),0),":","""",valueMaker!K367,"""")</f>
        <v>kaninSyubetu:"普通"</v>
      </c>
      <c r="L367" t="str" cm="1">
        <f t="array" aca="1" ref="L367" ca="1">CONCATENATE(INDIRECT(ADDRESS(1,12,1,0,"KeySet"),0),":","""",valueMaker!L367,"""")</f>
        <v>kaninKengenWB:"有り"</v>
      </c>
      <c r="M367" t="str" cm="1">
        <f t="array" aca="1" ref="M367" ca="1">CONCATENATE(INDIRECT(ADDRESS(1,13,1,0,"KeySet"),0),":","""",valueMaker!M367,"""")</f>
        <v>wakibiri:"5%"</v>
      </c>
      <c r="N367" t="str" cm="1">
        <f t="array" aca="1" ref="N367" ca="1">CONCATENATE(INDIRECT(ADDRESS(1,14,1,0,"KeySet"),0),":","""",valueMaker!N367,"""")</f>
        <v>kaninKengenPoint:"-"</v>
      </c>
      <c r="O367" t="str" cm="1">
        <f t="array" aca="1" ref="O367" ca="1">CONCATENATE(INDIRECT(ADDRESS(1,15,1,0,"KeySet"),0),":","""",valueMaker!O367,"""")</f>
        <v>point:"-"</v>
      </c>
      <c r="P367" t="str" cm="1">
        <f t="array" aca="1" ref="P367" ca="1">CONCATENATE(INDIRECT(ADDRESS(1,16,1,0,"KeySet"),0),":","""",valueMaker!P367,"""")</f>
        <v>bikou:""</v>
      </c>
    </row>
    <row r="368" spans="1:16">
      <c r="A368" t="str" cm="1">
        <f t="array" aca="1" ref="A368" ca="1">CONCATENATE(INDIRECT(ADDRESS(1,1,1,0,"KeySet"),0),":","""",valueMaker!A368,"""")</f>
        <v>kainBangou:"TD10367"</v>
      </c>
      <c r="B368" t="str" cm="1">
        <f t="array" aca="1" ref="B368" ca="1">CONCATENATE(INDIRECT(ADDRESS(1,2,1,0,"KeySet"),0),":","""",valueMaker!B368,"""")</f>
        <v>kainMeiKanji:"楊泰奇"</v>
      </c>
      <c r="C368" t="str" cm="1">
        <f t="array" aca="1" ref="C368" ca="1">CONCATENATE(INDIRECT(ADDRESS(1,3,1,0,"KeySet"),0),":","""",valueMaker!C368,"""")</f>
        <v>kainMeiKana:"ﾔｰﾝ ﾀｲ ﾁｲ"</v>
      </c>
      <c r="D368" t="str" cm="1">
        <f t="array" aca="1" ref="D368" ca="1">CONCATENATE(INDIRECT(ADDRESS(1,4,1,0,"KeySet"),0),":","""",valueMaker!D368,"""")</f>
        <v>kainMeiEn:"Yang Tai Qi"</v>
      </c>
      <c r="E368" t="str" cm="1">
        <f t="array" aca="1" ref="E368" ca="1">CONCATENATE(INDIRECT(ADDRESS(1,5,1,0,"KeySet"),0),":","""",valueMaker!E368,"""")</f>
        <v>kainGender:"男性"</v>
      </c>
      <c r="F368" t="str" cm="1">
        <f t="array" aca="1" ref="F368" ca="1">CONCATENATE(INDIRECT(ADDRESS(1,6,1,0,"KeySet"),0),":","""",TEXT(valueMaker!F368,"yyyy/m/d"),"""")</f>
        <v>tanjyoubi:"1996/8/24"</v>
      </c>
      <c r="G368" t="str" cm="1">
        <f t="array" aca="1" ref="G368" ca="1">CONCATENATE(INDIRECT(ADDRESS(1,6,1,0,"KeySet"),0),":","""",TEXT(valueMaker!G368,"yyyy/m/d"),"""")</f>
        <v>tanjyoubi:"2022/7/25"</v>
      </c>
      <c r="H368" t="str" cm="1">
        <f t="array" aca="1" ref="H368" ca="1">CONCATENATE(INDIRECT(ADDRESS(1,6,1,0,"KeySet"),0),":","""",TEXT(valueMaker!H368,"yyyy/m/d"),"""")</f>
        <v>tanjyoubi:"2025/7/24"</v>
      </c>
      <c r="I368" t="str" cm="1">
        <f t="array" aca="1" ref="I368" ca="1">CONCATENATE(INDIRECT(ADDRESS(1,9,1,0,"KeySet"),0),":","""",valueMaker!I368,"""")</f>
        <v>denwaBangou:"090-7769-4754"</v>
      </c>
      <c r="J368" t="str" cm="1">
        <f t="array" aca="1" ref="J368" ca="1">CONCATENATE(INDIRECT(ADDRESS(1,10,1,0,"KeySet"),0),":","""",valueMaker!J368,"""")</f>
        <v>mailAddress:"Yang_Tai Qi_44767@outlook.jp.co"</v>
      </c>
      <c r="K368" t="str" cm="1">
        <f t="array" aca="1" ref="K368" ca="1">CONCATENATE(INDIRECT(ADDRESS(1,11,1,0,"KeySet"),0),":","""",valueMaker!K368,"""")</f>
        <v>kaninSyubetu:"普通"</v>
      </c>
      <c r="L368" t="str" cm="1">
        <f t="array" aca="1" ref="L368" ca="1">CONCATENATE(INDIRECT(ADDRESS(1,12,1,0,"KeySet"),0),":","""",valueMaker!L368,"""")</f>
        <v>kaninKengenWB:"有り"</v>
      </c>
      <c r="M368" t="str" cm="1">
        <f t="array" aca="1" ref="M368" ca="1">CONCATENATE(INDIRECT(ADDRESS(1,13,1,0,"KeySet"),0),":","""",valueMaker!M368,"""")</f>
        <v>wakibiri:"5%"</v>
      </c>
      <c r="N368" t="str" cm="1">
        <f t="array" aca="1" ref="N368" ca="1">CONCATENATE(INDIRECT(ADDRESS(1,14,1,0,"KeySet"),0),":","""",valueMaker!N368,"""")</f>
        <v>kaninKengenPoint:"有り"</v>
      </c>
      <c r="O368" t="str" cm="1">
        <f t="array" aca="1" ref="O368" ca="1">CONCATENATE(INDIRECT(ADDRESS(1,15,1,0,"KeySet"),0),":","""",valueMaker!O368,"""")</f>
        <v>point:"192"</v>
      </c>
      <c r="P368" t="str" cm="1">
        <f t="array" aca="1" ref="P368" ca="1">CONCATENATE(INDIRECT(ADDRESS(1,16,1,0,"KeySet"),0),":","""",valueMaker!P368,"""")</f>
        <v>bikou:""</v>
      </c>
    </row>
    <row r="369" spans="1:16">
      <c r="A369" t="str" cm="1">
        <f t="array" aca="1" ref="A369" ca="1">CONCATENATE(INDIRECT(ADDRESS(1,1,1,0,"KeySet"),0),":","""",valueMaker!A369,"""")</f>
        <v>kainBangou:"TD10368"</v>
      </c>
      <c r="B369" t="str" cm="1">
        <f t="array" aca="1" ref="B369" ca="1">CONCATENATE(INDIRECT(ADDRESS(1,2,1,0,"KeySet"),0),":","""",valueMaker!B369,"""")</f>
        <v>kainMeiKanji:"趙庭建"</v>
      </c>
      <c r="C369" t="str" cm="1">
        <f t="array" aca="1" ref="C369" ca="1">CONCATENATE(INDIRECT(ADDRESS(1,3,1,0,"KeySet"),0),":","""",valueMaker!C369,"""")</f>
        <v>kainMeiKana:"ｼﾞｬｵ ﾃｨｰﾝ ｼﾞｴﾝ"</v>
      </c>
      <c r="D369" t="str" cm="1">
        <f t="array" aca="1" ref="D369" ca="1">CONCATENATE(INDIRECT(ADDRESS(1,4,1,0,"KeySet"),0),":","""",valueMaker!D369,"""")</f>
        <v>kainMeiEn:"Zhao Ting Jian"</v>
      </c>
      <c r="E369" t="str" cm="1">
        <f t="array" aca="1" ref="E369" ca="1">CONCATENATE(INDIRECT(ADDRESS(1,5,1,0,"KeySet"),0),":","""",valueMaker!E369,"""")</f>
        <v>kainGender:"女性"</v>
      </c>
      <c r="F369" t="str" cm="1">
        <f t="array" aca="1" ref="F369" ca="1">CONCATENATE(INDIRECT(ADDRESS(1,6,1,0,"KeySet"),0),":","""",TEXT(valueMaker!F369,"yyyy/m/d"),"""")</f>
        <v>tanjyoubi:"2001/9/23"</v>
      </c>
      <c r="G369" t="str" cm="1">
        <f t="array" aca="1" ref="G369" ca="1">CONCATENATE(INDIRECT(ADDRESS(1,6,1,0,"KeySet"),0),":","""",TEXT(valueMaker!G369,"yyyy/m/d"),"""")</f>
        <v>tanjyoubi:"2022/12/22"</v>
      </c>
      <c r="H369" t="str" cm="1">
        <f t="array" aca="1" ref="H369" ca="1">CONCATENATE(INDIRECT(ADDRESS(1,6,1,0,"KeySet"),0),":","""",TEXT(valueMaker!H369,"yyyy/m/d"),"""")</f>
        <v>tanjyoubi:"2024/12/21"</v>
      </c>
      <c r="I369" t="str" cm="1">
        <f t="array" aca="1" ref="I369" ca="1">CONCATENATE(INDIRECT(ADDRESS(1,9,1,0,"KeySet"),0),":","""",valueMaker!I369,"""")</f>
        <v>denwaBangou:"090-7435-4269"</v>
      </c>
      <c r="J369" t="str" cm="1">
        <f t="array" aca="1" ref="J369" ca="1">CONCATENATE(INDIRECT(ADDRESS(1,10,1,0,"KeySet"),0),":","""",valueMaker!J369,"""")</f>
        <v>mailAddress:"Zhao_Ting_Jian_44917@outlook.jp.co"</v>
      </c>
      <c r="K369" t="str" cm="1">
        <f t="array" aca="1" ref="K369" ca="1">CONCATENATE(INDIRECT(ADDRESS(1,11,1,0,"KeySet"),0),":","""",valueMaker!K369,"""")</f>
        <v>kaninSyubetu:"高級"</v>
      </c>
      <c r="L369" t="str" cm="1">
        <f t="array" aca="1" ref="L369" ca="1">CONCATENATE(INDIRECT(ADDRESS(1,12,1,0,"KeySet"),0),":","""",valueMaker!L369,"""")</f>
        <v>kaninKengenWB:"有り"</v>
      </c>
      <c r="M369" t="str" cm="1">
        <f t="array" aca="1" ref="M369" ca="1">CONCATENATE(INDIRECT(ADDRESS(1,13,1,0,"KeySet"),0),":","""",valueMaker!M369,"""")</f>
        <v>wakibiri:"10%"</v>
      </c>
      <c r="N369" t="str" cm="1">
        <f t="array" aca="1" ref="N369" ca="1">CONCATENATE(INDIRECT(ADDRESS(1,14,1,0,"KeySet"),0),":","""",valueMaker!N369,"""")</f>
        <v>kaninKengenPoint:"有り"</v>
      </c>
      <c r="O369" t="str" cm="1">
        <f t="array" aca="1" ref="O369" ca="1">CONCATENATE(INDIRECT(ADDRESS(1,15,1,0,"KeySet"),0),":","""",valueMaker!O369,"""")</f>
        <v>point:"554"</v>
      </c>
      <c r="P369" t="str" cm="1">
        <f t="array" aca="1" ref="P369" ca="1">CONCATENATE(INDIRECT(ADDRESS(1,16,1,0,"KeySet"),0),":","""",valueMaker!P369,"""")</f>
        <v>bikou:""</v>
      </c>
    </row>
    <row r="370" spans="1:16">
      <c r="A370" t="str" cm="1">
        <f t="array" aca="1" ref="A370" ca="1">CONCATENATE(INDIRECT(ADDRESS(1,1,1,0,"KeySet"),0),":","""",valueMaker!A370,"""")</f>
        <v>kainBangou:"TD10369"</v>
      </c>
      <c r="B370" t="str" cm="1">
        <f t="array" aca="1" ref="B370" ca="1">CONCATENATE(INDIRECT(ADDRESS(1,2,1,0,"KeySet"),0),":","""",valueMaker!B370,"""")</f>
        <v>kainMeiKanji:"黃盈年"</v>
      </c>
      <c r="C370" t="str" cm="1">
        <f t="array" aca="1" ref="C370" ca="1">CONCATENATE(INDIRECT(ADDRESS(1,3,1,0,"KeySet"),0),":","""",valueMaker!C370,"""")</f>
        <v>kainMeiKana:"ﾎﾜｰﾝ ｲｰﾝ ﾆｴﾝ"</v>
      </c>
      <c r="D370" t="str" cm="1">
        <f t="array" aca="1" ref="D370" ca="1">CONCATENATE(INDIRECT(ADDRESS(1,4,1,0,"KeySet"),0),":","""",valueMaker!D370,"""")</f>
        <v>kainMeiEn:"Huang Ying Nian"</v>
      </c>
      <c r="E370" t="str" cm="1">
        <f t="array" aca="1" ref="E370" ca="1">CONCATENATE(INDIRECT(ADDRESS(1,5,1,0,"KeySet"),0),":","""",valueMaker!E370,"""")</f>
        <v>kainGender:"男性"</v>
      </c>
      <c r="F370" t="str" cm="1">
        <f t="array" aca="1" ref="F370" ca="1">CONCATENATE(INDIRECT(ADDRESS(1,6,1,0,"KeySet"),0),":","""",TEXT(valueMaker!F370,"yyyy/m/d"),"""")</f>
        <v>tanjyoubi:"1989/1/30"</v>
      </c>
      <c r="G370" t="str" cm="1">
        <f t="array" aca="1" ref="G370" ca="1">CONCATENATE(INDIRECT(ADDRESS(1,6,1,0,"KeySet"),0),":","""",TEXT(valueMaker!G370,"yyyy/m/d"),"""")</f>
        <v>tanjyoubi:"2019/1/10"</v>
      </c>
      <c r="H370" t="str" cm="1">
        <f t="array" aca="1" ref="H370" ca="1">CONCATENATE(INDIRECT(ADDRESS(1,6,1,0,"KeySet"),0),":","""",TEXT(valueMaker!H370,"yyyy/m/d"),"""")</f>
        <v>tanjyoubi:"2020/1/10"</v>
      </c>
      <c r="I370" t="str" cm="1">
        <f t="array" aca="1" ref="I370" ca="1">CONCATENATE(INDIRECT(ADDRESS(1,9,1,0,"KeySet"),0),":","""",valueMaker!I370,"""")</f>
        <v>denwaBangou:"080-9383-6890"</v>
      </c>
      <c r="J370" t="str" cm="1">
        <f t="array" aca="1" ref="J370" ca="1">CONCATENATE(INDIRECT(ADDRESS(1,10,1,0,"KeySet"),0),":","""",valueMaker!J370,"""")</f>
        <v>mailAddress:"Huang_Ying_Nian_43475@outlook.jp.co"</v>
      </c>
      <c r="K370" t="str" cm="1">
        <f t="array" aca="1" ref="K370" ca="1">CONCATENATE(INDIRECT(ADDRESS(1,11,1,0,"KeySet"),0),":","""",valueMaker!K370,"""")</f>
        <v>kaninSyubetu:"高級"</v>
      </c>
      <c r="L370" t="str" cm="1">
        <f t="array" aca="1" ref="L370" ca="1">CONCATENATE(INDIRECT(ADDRESS(1,12,1,0,"KeySet"),0),":","""",valueMaker!L370,"""")</f>
        <v>kaninKengenWB:"有り"</v>
      </c>
      <c r="M370" t="str" cm="1">
        <f t="array" aca="1" ref="M370" ca="1">CONCATENATE(INDIRECT(ADDRESS(1,13,1,0,"KeySet"),0),":","""",valueMaker!M370,"""")</f>
        <v>wakibiri:"10%"</v>
      </c>
      <c r="N370" t="str" cm="1">
        <f t="array" aca="1" ref="N370" ca="1">CONCATENATE(INDIRECT(ADDRESS(1,14,1,0,"KeySet"),0),":","""",valueMaker!N370,"""")</f>
        <v>kaninKengenPoint:"有り"</v>
      </c>
      <c r="O370" t="str" cm="1">
        <f t="array" aca="1" ref="O370" ca="1">CONCATENATE(INDIRECT(ADDRESS(1,15,1,0,"KeySet"),0),":","""",valueMaker!O370,"""")</f>
        <v>point:"348"</v>
      </c>
      <c r="P370" t="str" cm="1">
        <f t="array" aca="1" ref="P370" ca="1">CONCATENATE(INDIRECT(ADDRESS(1,16,1,0,"KeySet"),0),":","""",valueMaker!P370,"""")</f>
        <v>bikou:""</v>
      </c>
    </row>
    <row r="371" spans="1:16">
      <c r="A371" t="str" cm="1">
        <f t="array" aca="1" ref="A371" ca="1">CONCATENATE(INDIRECT(ADDRESS(1,1,1,0,"KeySet"),0),":","""",valueMaker!A371,"""")</f>
        <v>kainBangou:"TD10370"</v>
      </c>
      <c r="B371" t="str" cm="1">
        <f t="array" aca="1" ref="B371" ca="1">CONCATENATE(INDIRECT(ADDRESS(1,2,1,0,"KeySet"),0),":","""",valueMaker!B371,"""")</f>
        <v>kainMeiKanji:"張鼎華"</v>
      </c>
      <c r="C371" t="str" cm="1">
        <f t="array" aca="1" ref="C371" ca="1">CONCATENATE(INDIRECT(ADDRESS(1,3,1,0,"KeySet"),0),":","""",valueMaker!C371,"""")</f>
        <v>kainMeiKana:"ｼﾞｬｰﾝ ﾃﾞｨｰﾝ ﾎﾜ"</v>
      </c>
      <c r="D371" t="str" cm="1">
        <f t="array" aca="1" ref="D371" ca="1">CONCATENATE(INDIRECT(ADDRESS(1,4,1,0,"KeySet"),0),":","""",valueMaker!D371,"""")</f>
        <v>kainMeiEn:"Zhang Ding Hua"</v>
      </c>
      <c r="E371" t="str" cm="1">
        <f t="array" aca="1" ref="E371" ca="1">CONCATENATE(INDIRECT(ADDRESS(1,5,1,0,"KeySet"),0),":","""",valueMaker!E371,"""")</f>
        <v>kainGender:"女性"</v>
      </c>
      <c r="F371" t="str" cm="1">
        <f t="array" aca="1" ref="F371" ca="1">CONCATENATE(INDIRECT(ADDRESS(1,6,1,0,"KeySet"),0),":","""",TEXT(valueMaker!F371,"yyyy/m/d"),"""")</f>
        <v>tanjyoubi:"1984/8/11"</v>
      </c>
      <c r="G371" t="str" cm="1">
        <f t="array" aca="1" ref="G371" ca="1">CONCATENATE(INDIRECT(ADDRESS(1,6,1,0,"KeySet"),0),":","""",TEXT(valueMaker!G371,"yyyy/m/d"),"""")</f>
        <v>tanjyoubi:"2023/9/7"</v>
      </c>
      <c r="H371" t="str" cm="1">
        <f t="array" aca="1" ref="H371" ca="1">CONCATENATE(INDIRECT(ADDRESS(1,6,1,0,"KeySet"),0),":","""",TEXT(valueMaker!H371,"yyyy/m/d"),"""")</f>
        <v>tanjyoubi:"2025/9/6"</v>
      </c>
      <c r="I371" t="str" cm="1">
        <f t="array" aca="1" ref="I371" ca="1">CONCATENATE(INDIRECT(ADDRESS(1,9,1,0,"KeySet"),0),":","""",valueMaker!I371,"""")</f>
        <v>denwaBangou:"090-2525-4002"</v>
      </c>
      <c r="J371" t="str" cm="1">
        <f t="array" aca="1" ref="J371" ca="1">CONCATENATE(INDIRECT(ADDRESS(1,10,1,0,"KeySet"),0),":","""",valueMaker!J371,"""")</f>
        <v>mailAddress:"Zhang_Ding_Hua_45176@outlook.jp.co"</v>
      </c>
      <c r="K371" t="str" cm="1">
        <f t="array" aca="1" ref="K371" ca="1">CONCATENATE(INDIRECT(ADDRESS(1,11,1,0,"KeySet"),0),":","""",valueMaker!K371,"""")</f>
        <v>kaninSyubetu:"高級"</v>
      </c>
      <c r="L371" t="str" cm="1">
        <f t="array" aca="1" ref="L371" ca="1">CONCATENATE(INDIRECT(ADDRESS(1,12,1,0,"KeySet"),0),":","""",valueMaker!L371,"""")</f>
        <v>kaninKengenWB:"-"</v>
      </c>
      <c r="M371" t="str" cm="1">
        <f t="array" aca="1" ref="M371" ca="1">CONCATENATE(INDIRECT(ADDRESS(1,13,1,0,"KeySet"),0),":","""",valueMaker!M371,"""")</f>
        <v>wakibiri:"-"</v>
      </c>
      <c r="N371" t="str" cm="1">
        <f t="array" aca="1" ref="N371" ca="1">CONCATENATE(INDIRECT(ADDRESS(1,14,1,0,"KeySet"),0),":","""",valueMaker!N371,"""")</f>
        <v>kaninKengenPoint:"有り"</v>
      </c>
      <c r="O371" t="str" cm="1">
        <f t="array" aca="1" ref="O371" ca="1">CONCATENATE(INDIRECT(ADDRESS(1,15,1,0,"KeySet"),0),":","""",valueMaker!O371,"""")</f>
        <v>point:"586"</v>
      </c>
      <c r="P371" t="str" cm="1">
        <f t="array" aca="1" ref="P371" ca="1">CONCATENATE(INDIRECT(ADDRESS(1,16,1,0,"KeySet"),0),":","""",valueMaker!P371,"""")</f>
        <v>bikou:""</v>
      </c>
    </row>
    <row r="372" spans="1:16">
      <c r="A372" t="str" cm="1">
        <f t="array" aca="1" ref="A372" ca="1">CONCATENATE(INDIRECT(ADDRESS(1,1,1,0,"KeySet"),0),":","""",valueMaker!A372,"""")</f>
        <v>kainBangou:"TD10371"</v>
      </c>
      <c r="B372" t="str" cm="1">
        <f t="array" aca="1" ref="B372" ca="1">CONCATENATE(INDIRECT(ADDRESS(1,2,1,0,"KeySet"),0),":","""",valueMaker!B372,"""")</f>
        <v>kainMeiKanji:"謝勁綠"</v>
      </c>
      <c r="C372" t="str" cm="1">
        <f t="array" aca="1" ref="C372" ca="1">CONCATENATE(INDIRECT(ADDRESS(1,3,1,0,"KeySet"),0),":","""",valueMaker!C372,"""")</f>
        <v>kainMeiKana:"ｼｴ ｼﾞﾝ ﾙｩｨ"</v>
      </c>
      <c r="D372" t="str" cm="1">
        <f t="array" aca="1" ref="D372" ca="1">CONCATENATE(INDIRECT(ADDRESS(1,4,1,0,"KeySet"),0),":","""",valueMaker!D372,"""")</f>
        <v>kainMeiEn:"Xie Jin Lü"</v>
      </c>
      <c r="E372" t="str" cm="1">
        <f t="array" aca="1" ref="E372" ca="1">CONCATENATE(INDIRECT(ADDRESS(1,5,1,0,"KeySet"),0),":","""",valueMaker!E372,"""")</f>
        <v>kainGender:"男性"</v>
      </c>
      <c r="F372" t="str" cm="1">
        <f t="array" aca="1" ref="F372" ca="1">CONCATENATE(INDIRECT(ADDRESS(1,6,1,0,"KeySet"),0),":","""",TEXT(valueMaker!F372,"yyyy/m/d"),"""")</f>
        <v>tanjyoubi:"2003/11/20"</v>
      </c>
      <c r="G372" t="str" cm="1">
        <f t="array" aca="1" ref="G372" ca="1">CONCATENATE(INDIRECT(ADDRESS(1,6,1,0,"KeySet"),0),":","""",TEXT(valueMaker!G372,"yyyy/m/d"),"""")</f>
        <v>tanjyoubi:"2023/5/16"</v>
      </c>
      <c r="H372" t="str" cm="1">
        <f t="array" aca="1" ref="H372" ca="1">CONCATENATE(INDIRECT(ADDRESS(1,6,1,0,"KeySet"),0),":","""",TEXT(valueMaker!H372,"yyyy/m/d"),"""")</f>
        <v>tanjyoubi:"2025/5/15"</v>
      </c>
      <c r="I372" t="str" cm="1">
        <f t="array" aca="1" ref="I372" ca="1">CONCATENATE(INDIRECT(ADDRESS(1,9,1,0,"KeySet"),0),":","""",valueMaker!I372,"""")</f>
        <v>denwaBangou:"080-9902-2748"</v>
      </c>
      <c r="J372" t="str" cm="1">
        <f t="array" aca="1" ref="J372" ca="1">CONCATENATE(INDIRECT(ADDRESS(1,10,1,0,"KeySet"),0),":","""",valueMaker!J372,"""")</f>
        <v>mailAddress:"Xie_Jin Lü_45062@outlook.jp.co"</v>
      </c>
      <c r="K372" t="str" cm="1">
        <f t="array" aca="1" ref="K372" ca="1">CONCATENATE(INDIRECT(ADDRESS(1,11,1,0,"KeySet"),0),":","""",valueMaker!K372,"""")</f>
        <v>kaninSyubetu:"普通"</v>
      </c>
      <c r="L372" t="str" cm="1">
        <f t="array" aca="1" ref="L372" ca="1">CONCATENATE(INDIRECT(ADDRESS(1,12,1,0,"KeySet"),0),":","""",valueMaker!L372,"""")</f>
        <v>kaninKengenWB:"有り"</v>
      </c>
      <c r="M372" t="str" cm="1">
        <f t="array" aca="1" ref="M372" ca="1">CONCATENATE(INDIRECT(ADDRESS(1,13,1,0,"KeySet"),0),":","""",valueMaker!M372,"""")</f>
        <v>wakibiri:"5%"</v>
      </c>
      <c r="N372" t="str" cm="1">
        <f t="array" aca="1" ref="N372" ca="1">CONCATENATE(INDIRECT(ADDRESS(1,14,1,0,"KeySet"),0),":","""",valueMaker!N372,"""")</f>
        <v>kaninKengenPoint:"-"</v>
      </c>
      <c r="O372" t="str" cm="1">
        <f t="array" aca="1" ref="O372" ca="1">CONCATENATE(INDIRECT(ADDRESS(1,15,1,0,"KeySet"),0),":","""",valueMaker!O372,"""")</f>
        <v>point:"-"</v>
      </c>
      <c r="P372" t="str" cm="1">
        <f t="array" aca="1" ref="P372" ca="1">CONCATENATE(INDIRECT(ADDRESS(1,16,1,0,"KeySet"),0),":","""",valueMaker!P372,"""")</f>
        <v>bikou:""</v>
      </c>
    </row>
    <row r="373" spans="1:16">
      <c r="A373" t="str" cm="1">
        <f t="array" aca="1" ref="A373" ca="1">CONCATENATE(INDIRECT(ADDRESS(1,1,1,0,"KeySet"),0),":","""",valueMaker!A373,"""")</f>
        <v>kainBangou:"TD10372"</v>
      </c>
      <c r="B373" t="str" cm="1">
        <f t="array" aca="1" ref="B373" ca="1">CONCATENATE(INDIRECT(ADDRESS(1,2,1,0,"KeySet"),0),":","""",valueMaker!B373,"""")</f>
        <v>kainMeiKanji:"王霖瑋"</v>
      </c>
      <c r="C373" t="str" cm="1">
        <f t="array" aca="1" ref="C373" ca="1">CONCATENATE(INDIRECT(ADDRESS(1,3,1,0,"KeySet"),0),":","""",valueMaker!C373,"""")</f>
        <v>kainMeiKana:"ﾜｰﾝ ﾘﾝ ｳｴｲ"</v>
      </c>
      <c r="D373" t="str" cm="1">
        <f t="array" aca="1" ref="D373" ca="1">CONCATENATE(INDIRECT(ADDRESS(1,4,1,0,"KeySet"),0),":","""",valueMaker!D373,"""")</f>
        <v>kainMeiEn:"Wang Lin Wei"</v>
      </c>
      <c r="E373" t="str" cm="1">
        <f t="array" aca="1" ref="E373" ca="1">CONCATENATE(INDIRECT(ADDRESS(1,5,1,0,"KeySet"),0),":","""",valueMaker!E373,"""")</f>
        <v>kainGender:"男性"</v>
      </c>
      <c r="F373" t="str" cm="1">
        <f t="array" aca="1" ref="F373" ca="1">CONCATENATE(INDIRECT(ADDRESS(1,6,1,0,"KeySet"),0),":","""",TEXT(valueMaker!F373,"yyyy/m/d"),"""")</f>
        <v>tanjyoubi:"1962/11/19"</v>
      </c>
      <c r="G373" t="str" cm="1">
        <f t="array" aca="1" ref="G373" ca="1">CONCATENATE(INDIRECT(ADDRESS(1,6,1,0,"KeySet"),0),":","""",TEXT(valueMaker!G373,"yyyy/m/d"),"""")</f>
        <v>tanjyoubi:"2020/10/18"</v>
      </c>
      <c r="H373" t="str" cm="1">
        <f t="array" aca="1" ref="H373" ca="1">CONCATENATE(INDIRECT(ADDRESS(1,6,1,0,"KeySet"),0),":","""",TEXT(valueMaker!H373,"yyyy/m/d"),"""")</f>
        <v>tanjyoubi:"2023/10/18"</v>
      </c>
      <c r="I373" t="str" cm="1">
        <f t="array" aca="1" ref="I373" ca="1">CONCATENATE(INDIRECT(ADDRESS(1,9,1,0,"KeySet"),0),":","""",valueMaker!I373,"""")</f>
        <v>denwaBangou:"080-6334-3714"</v>
      </c>
      <c r="J373" t="str" cm="1">
        <f t="array" aca="1" ref="J373" ca="1">CONCATENATE(INDIRECT(ADDRESS(1,10,1,0,"KeySet"),0),":","""",valueMaker!J373,"""")</f>
        <v>mailAddress:"Wang_Lin_Wei_44122@outlook.jp.co"</v>
      </c>
      <c r="K373" t="str" cm="1">
        <f t="array" aca="1" ref="K373" ca="1">CONCATENATE(INDIRECT(ADDRESS(1,11,1,0,"KeySet"),0),":","""",valueMaker!K373,"""")</f>
        <v>kaninSyubetu:"普通"</v>
      </c>
      <c r="L373" t="str" cm="1">
        <f t="array" aca="1" ref="L373" ca="1">CONCATENATE(INDIRECT(ADDRESS(1,12,1,0,"KeySet"),0),":","""",valueMaker!L373,"""")</f>
        <v>kaninKengenWB:"-"</v>
      </c>
      <c r="M373" t="str" cm="1">
        <f t="array" aca="1" ref="M373" ca="1">CONCATENATE(INDIRECT(ADDRESS(1,13,1,0,"KeySet"),0),":","""",valueMaker!M373,"""")</f>
        <v>wakibiri:"-"</v>
      </c>
      <c r="N373" t="str" cm="1">
        <f t="array" aca="1" ref="N373" ca="1">CONCATENATE(INDIRECT(ADDRESS(1,14,1,0,"KeySet"),0),":","""",valueMaker!N373,"""")</f>
        <v>kaninKengenPoint:"有り"</v>
      </c>
      <c r="O373" t="str" cm="1">
        <f t="array" aca="1" ref="O373" ca="1">CONCATENATE(INDIRECT(ADDRESS(1,15,1,0,"KeySet"),0),":","""",valueMaker!O373,"""")</f>
        <v>point:"628"</v>
      </c>
      <c r="P373" t="str" cm="1">
        <f t="array" aca="1" ref="P373" ca="1">CONCATENATE(INDIRECT(ADDRESS(1,16,1,0,"KeySet"),0),":","""",valueMaker!P373,"""")</f>
        <v>bikou:""</v>
      </c>
    </row>
    <row r="374" spans="1:16">
      <c r="A374" t="str" cm="1">
        <f t="array" aca="1" ref="A374" ca="1">CONCATENATE(INDIRECT(ADDRESS(1,1,1,0,"KeySet"),0),":","""",valueMaker!A374,"""")</f>
        <v>kainBangou:"TD10373"</v>
      </c>
      <c r="B374" t="str" cm="1">
        <f t="array" aca="1" ref="B374" ca="1">CONCATENATE(INDIRECT(ADDRESS(1,2,1,0,"KeySet"),0),":","""",valueMaker!B374,"""")</f>
        <v>kainMeiKanji:"羅日劍"</v>
      </c>
      <c r="C374" t="str" cm="1">
        <f t="array" aca="1" ref="C374" ca="1">CONCATENATE(INDIRECT(ADDRESS(1,3,1,0,"KeySet"),0),":","""",valueMaker!C374,"""")</f>
        <v>kainMeiKana:"ﾙｵ ｩﾘｰ ｼﾞｴﾝ"</v>
      </c>
      <c r="D374" t="str" cm="1">
        <f t="array" aca="1" ref="D374" ca="1">CONCATENATE(INDIRECT(ADDRESS(1,4,1,0,"KeySet"),0),":","""",valueMaker!D374,"""")</f>
        <v>kainMeiEn:"Luo Ri Jian"</v>
      </c>
      <c r="E374" t="str" cm="1">
        <f t="array" aca="1" ref="E374" ca="1">CONCATENATE(INDIRECT(ADDRESS(1,5,1,0,"KeySet"),0),":","""",valueMaker!E374,"""")</f>
        <v>kainGender:"女性"</v>
      </c>
      <c r="F374" t="str" cm="1">
        <f t="array" aca="1" ref="F374" ca="1">CONCATENATE(INDIRECT(ADDRESS(1,6,1,0,"KeySet"),0),":","""",TEXT(valueMaker!F374,"yyyy/m/d"),"""")</f>
        <v>tanjyoubi:"1994/9/5"</v>
      </c>
      <c r="G374" t="str" cm="1">
        <f t="array" aca="1" ref="G374" ca="1">CONCATENATE(INDIRECT(ADDRESS(1,6,1,0,"KeySet"),0),":","""",TEXT(valueMaker!G374,"yyyy/m/d"),"""")</f>
        <v>tanjyoubi:"2023/6/22"</v>
      </c>
      <c r="H374" t="str" cm="1">
        <f t="array" aca="1" ref="H374" ca="1">CONCATENATE(INDIRECT(ADDRESS(1,6,1,0,"KeySet"),0),":","""",TEXT(valueMaker!H374,"yyyy/m/d"),"""")</f>
        <v>tanjyoubi:"2025/6/21"</v>
      </c>
      <c r="I374" t="str" cm="1">
        <f t="array" aca="1" ref="I374" ca="1">CONCATENATE(INDIRECT(ADDRESS(1,9,1,0,"KeySet"),0),":","""",valueMaker!I374,"""")</f>
        <v>denwaBangou:"080-5055-1570"</v>
      </c>
      <c r="J374" t="str" cm="1">
        <f t="array" aca="1" ref="J374" ca="1">CONCATENATE(INDIRECT(ADDRESS(1,10,1,0,"KeySet"),0),":","""",valueMaker!J374,"""")</f>
        <v>mailAddress:"Luo_Ri_Jian_45099@outlook.jp.co"</v>
      </c>
      <c r="K374" t="str" cm="1">
        <f t="array" aca="1" ref="K374" ca="1">CONCATENATE(INDIRECT(ADDRESS(1,11,1,0,"KeySet"),0),":","""",valueMaker!K374,"""")</f>
        <v>kaninSyubetu:"普通"</v>
      </c>
      <c r="L374" t="str" cm="1">
        <f t="array" aca="1" ref="L374" ca="1">CONCATENATE(INDIRECT(ADDRESS(1,12,1,0,"KeySet"),0),":","""",valueMaker!L374,"""")</f>
        <v>kaninKengenWB:"-"</v>
      </c>
      <c r="M374" t="str" cm="1">
        <f t="array" aca="1" ref="M374" ca="1">CONCATENATE(INDIRECT(ADDRESS(1,13,1,0,"KeySet"),0),":","""",valueMaker!M374,"""")</f>
        <v>wakibiri:"-"</v>
      </c>
      <c r="N374" t="str" cm="1">
        <f t="array" aca="1" ref="N374" ca="1">CONCATENATE(INDIRECT(ADDRESS(1,14,1,0,"KeySet"),0),":","""",valueMaker!N374,"""")</f>
        <v>kaninKengenPoint:"有り"</v>
      </c>
      <c r="O374" t="str" cm="1">
        <f t="array" aca="1" ref="O374" ca="1">CONCATENATE(INDIRECT(ADDRESS(1,15,1,0,"KeySet"),0),":","""",valueMaker!O374,"""")</f>
        <v>point:"547"</v>
      </c>
      <c r="P374" t="str" cm="1">
        <f t="array" aca="1" ref="P374" ca="1">CONCATENATE(INDIRECT(ADDRESS(1,16,1,0,"KeySet"),0),":","""",valueMaker!P374,"""")</f>
        <v>bikou:""</v>
      </c>
    </row>
    <row r="375" spans="1:16">
      <c r="A375" t="str" cm="1">
        <f t="array" aca="1" ref="A375" ca="1">CONCATENATE(INDIRECT(ADDRESS(1,1,1,0,"KeySet"),0),":","""",valueMaker!A375,"""")</f>
        <v>kainBangou:"TD10374"</v>
      </c>
      <c r="B375" t="str" cm="1">
        <f t="array" aca="1" ref="B375" ca="1">CONCATENATE(INDIRECT(ADDRESS(1,2,1,0,"KeySet"),0),":","""",valueMaker!B375,"""")</f>
        <v>kainMeiKanji:"馮宗藍"</v>
      </c>
      <c r="C375" t="str" cm="1">
        <f t="array" aca="1" ref="C375" ca="1">CONCATENATE(INDIRECT(ADDRESS(1,3,1,0,"KeySet"),0),":","""",valueMaker!C375,"""")</f>
        <v>kainMeiKana:"ﾌｵﾝ ｿﾞｰﾝ ﾗﾝ"</v>
      </c>
      <c r="D375" t="str" cm="1">
        <f t="array" aca="1" ref="D375" ca="1">CONCATENATE(INDIRECT(ADDRESS(1,4,1,0,"KeySet"),0),":","""",valueMaker!D375,"""")</f>
        <v>kainMeiEn:"Feng Zong Lan"</v>
      </c>
      <c r="E375" t="str" cm="1">
        <f t="array" aca="1" ref="E375" ca="1">CONCATENATE(INDIRECT(ADDRESS(1,5,1,0,"KeySet"),0),":","""",valueMaker!E375,"""")</f>
        <v>kainGender:"女性"</v>
      </c>
      <c r="F375" t="str" cm="1">
        <f t="array" aca="1" ref="F375" ca="1">CONCATENATE(INDIRECT(ADDRESS(1,6,1,0,"KeySet"),0),":","""",TEXT(valueMaker!F375,"yyyy/m/d"),"""")</f>
        <v>tanjyoubi:"1971/6/8"</v>
      </c>
      <c r="G375" t="str" cm="1">
        <f t="array" aca="1" ref="G375" ca="1">CONCATENATE(INDIRECT(ADDRESS(1,6,1,0,"KeySet"),0),":","""",TEXT(valueMaker!G375,"yyyy/m/d"),"""")</f>
        <v>tanjyoubi:"2021/3/15"</v>
      </c>
      <c r="H375" t="str" cm="1">
        <f t="array" aca="1" ref="H375" ca="1">CONCATENATE(INDIRECT(ADDRESS(1,6,1,0,"KeySet"),0),":","""",TEXT(valueMaker!H375,"yyyy/m/d"),"""")</f>
        <v>tanjyoubi:"2024/3/14"</v>
      </c>
      <c r="I375" t="str" cm="1">
        <f t="array" aca="1" ref="I375" ca="1">CONCATENATE(INDIRECT(ADDRESS(1,9,1,0,"KeySet"),0),":","""",valueMaker!I375,"""")</f>
        <v>denwaBangou:"090-0273-4949"</v>
      </c>
      <c r="J375" t="str" cm="1">
        <f t="array" aca="1" ref="J375" ca="1">CONCATENATE(INDIRECT(ADDRESS(1,10,1,0,"KeySet"),0),":","""",valueMaker!J375,"""")</f>
        <v>mailAddress:"Feng_Zong_Lan_44270@outlook.jp.co"</v>
      </c>
      <c r="K375" t="str" cm="1">
        <f t="array" aca="1" ref="K375" ca="1">CONCATENATE(INDIRECT(ADDRESS(1,11,1,0,"KeySet"),0),":","""",valueMaker!K375,"""")</f>
        <v>kaninSyubetu:"普通"</v>
      </c>
      <c r="L375" t="str" cm="1">
        <f t="array" aca="1" ref="L375" ca="1">CONCATENATE(INDIRECT(ADDRESS(1,12,1,0,"KeySet"),0),":","""",valueMaker!L375,"""")</f>
        <v>kaninKengenWB:"有り"</v>
      </c>
      <c r="M375" t="str" cm="1">
        <f t="array" aca="1" ref="M375" ca="1">CONCATENATE(INDIRECT(ADDRESS(1,13,1,0,"KeySet"),0),":","""",valueMaker!M375,"""")</f>
        <v>wakibiri:"5%"</v>
      </c>
      <c r="N375" t="str" cm="1">
        <f t="array" aca="1" ref="N375" ca="1">CONCATENATE(INDIRECT(ADDRESS(1,14,1,0,"KeySet"),0),":","""",valueMaker!N375,"""")</f>
        <v>kaninKengenPoint:"有り"</v>
      </c>
      <c r="O375" t="str" cm="1">
        <f t="array" aca="1" ref="O375" ca="1">CONCATENATE(INDIRECT(ADDRESS(1,15,1,0,"KeySet"),0),":","""",valueMaker!O375,"""")</f>
        <v>point:"819"</v>
      </c>
      <c r="P375" t="str" cm="1">
        <f t="array" aca="1" ref="P375" ca="1">CONCATENATE(INDIRECT(ADDRESS(1,16,1,0,"KeySet"),0),":","""",valueMaker!P375,"""")</f>
        <v>bikou:""</v>
      </c>
    </row>
    <row r="376" spans="1:16">
      <c r="A376" t="str" cm="1">
        <f t="array" aca="1" ref="A376" ca="1">CONCATENATE(INDIRECT(ADDRESS(1,1,1,0,"KeySet"),0),":","""",valueMaker!A376,"""")</f>
        <v>kainBangou:"TD10375"</v>
      </c>
      <c r="B376" t="str" cm="1">
        <f t="array" aca="1" ref="B376" ca="1">CONCATENATE(INDIRECT(ADDRESS(1,2,1,0,"KeySet"),0),":","""",valueMaker!B376,"""")</f>
        <v>kainMeiKanji:"趙致複"</v>
      </c>
      <c r="C376" t="str" cm="1">
        <f t="array" aca="1" ref="C376" ca="1">CONCATENATE(INDIRECT(ADDRESS(1,3,1,0,"KeySet"),0),":","""",valueMaker!C376,"""")</f>
        <v>kainMeiKana:"ｼﾞｬｵ ｼﾞｰ ﾌｩ"</v>
      </c>
      <c r="D376" t="str" cm="1">
        <f t="array" aca="1" ref="D376" ca="1">CONCATENATE(INDIRECT(ADDRESS(1,4,1,0,"KeySet"),0),":","""",valueMaker!D376,"""")</f>
        <v>kainMeiEn:"Zhao Zhi Fu"</v>
      </c>
      <c r="E376" t="str" cm="1">
        <f t="array" aca="1" ref="E376" ca="1">CONCATENATE(INDIRECT(ADDRESS(1,5,1,0,"KeySet"),0),":","""",valueMaker!E376,"""")</f>
        <v>kainGender:"男性"</v>
      </c>
      <c r="F376" t="str" cm="1">
        <f t="array" aca="1" ref="F376" ca="1">CONCATENATE(INDIRECT(ADDRESS(1,6,1,0,"KeySet"),0),":","""",TEXT(valueMaker!F376,"yyyy/m/d"),"""")</f>
        <v>tanjyoubi:"2005/3/14"</v>
      </c>
      <c r="G376" t="str" cm="1">
        <f t="array" aca="1" ref="G376" ca="1">CONCATENATE(INDIRECT(ADDRESS(1,6,1,0,"KeySet"),0),":","""",TEXT(valueMaker!G376,"yyyy/m/d"),"""")</f>
        <v>tanjyoubi:"2023/12/29"</v>
      </c>
      <c r="H376" t="str" cm="1">
        <f t="array" aca="1" ref="H376" ca="1">CONCATENATE(INDIRECT(ADDRESS(1,6,1,0,"KeySet"),0),":","""",TEXT(valueMaker!H376,"yyyy/m/d"),"""")</f>
        <v>tanjyoubi:"2024/12/28"</v>
      </c>
      <c r="I376" t="str" cm="1">
        <f t="array" aca="1" ref="I376" ca="1">CONCATENATE(INDIRECT(ADDRESS(1,9,1,0,"KeySet"),0),":","""",valueMaker!I376,"""")</f>
        <v>denwaBangou:"090-5094-2705"</v>
      </c>
      <c r="J376" t="str" cm="1">
        <f t="array" aca="1" ref="J376" ca="1">CONCATENATE(INDIRECT(ADDRESS(1,10,1,0,"KeySet"),0),":","""",valueMaker!J376,"""")</f>
        <v>mailAddress:"Zhao_Zhi_Fu_45289@outlook.jp.co"</v>
      </c>
      <c r="K376" t="str" cm="1">
        <f t="array" aca="1" ref="K376" ca="1">CONCATENATE(INDIRECT(ADDRESS(1,11,1,0,"KeySet"),0),":","""",valueMaker!K376,"""")</f>
        <v>kaninSyubetu:"高級"</v>
      </c>
      <c r="L376" t="str" cm="1">
        <f t="array" aca="1" ref="L376" ca="1">CONCATENATE(INDIRECT(ADDRESS(1,12,1,0,"KeySet"),0),":","""",valueMaker!L376,"""")</f>
        <v>kaninKengenWB:"有り"</v>
      </c>
      <c r="M376" t="str" cm="1">
        <f t="array" aca="1" ref="M376" ca="1">CONCATENATE(INDIRECT(ADDRESS(1,13,1,0,"KeySet"),0),":","""",valueMaker!M376,"""")</f>
        <v>wakibiri:"10%"</v>
      </c>
      <c r="N376" t="str" cm="1">
        <f t="array" aca="1" ref="N376" ca="1">CONCATENATE(INDIRECT(ADDRESS(1,14,1,0,"KeySet"),0),":","""",valueMaker!N376,"""")</f>
        <v>kaninKengenPoint:"有り"</v>
      </c>
      <c r="O376" t="str" cm="1">
        <f t="array" aca="1" ref="O376" ca="1">CONCATENATE(INDIRECT(ADDRESS(1,15,1,0,"KeySet"),0),":","""",valueMaker!O376,"""")</f>
        <v>point:"625"</v>
      </c>
      <c r="P376" t="str" cm="1">
        <f t="array" aca="1" ref="P376" ca="1">CONCATENATE(INDIRECT(ADDRESS(1,16,1,0,"KeySet"),0),":","""",valueMaker!P376,"""")</f>
        <v>bikou:""</v>
      </c>
    </row>
    <row r="377" spans="1:16">
      <c r="A377" t="str" cm="1">
        <f t="array" aca="1" ref="A377" ca="1">CONCATENATE(INDIRECT(ADDRESS(1,1,1,0,"KeySet"),0),":","""",valueMaker!A377,"""")</f>
        <v>kainBangou:"TD10376"</v>
      </c>
      <c r="B377" t="str" cm="1">
        <f t="array" aca="1" ref="B377" ca="1">CONCATENATE(INDIRECT(ADDRESS(1,2,1,0,"KeySet"),0),":","""",valueMaker!B377,"""")</f>
        <v>kainMeiKanji:"馮旋衡"</v>
      </c>
      <c r="C377" t="str" cm="1">
        <f t="array" aca="1" ref="C377" ca="1">CONCATENATE(INDIRECT(ADDRESS(1,3,1,0,"KeySet"),0),":","""",valueMaker!C377,"""")</f>
        <v>kainMeiKana:"ﾌｵﾝ ｼｭｴﾝ ﾎｩｵﾝ"</v>
      </c>
      <c r="D377" t="str" cm="1">
        <f t="array" aca="1" ref="D377" ca="1">CONCATENATE(INDIRECT(ADDRESS(1,4,1,0,"KeySet"),0),":","""",valueMaker!D377,"""")</f>
        <v>kainMeiEn:"Feng Xuan Heng"</v>
      </c>
      <c r="E377" t="str" cm="1">
        <f t="array" aca="1" ref="E377" ca="1">CONCATENATE(INDIRECT(ADDRESS(1,5,1,0,"KeySet"),0),":","""",valueMaker!E377,"""")</f>
        <v>kainGender:"女性"</v>
      </c>
      <c r="F377" t="str" cm="1">
        <f t="array" aca="1" ref="F377" ca="1">CONCATENATE(INDIRECT(ADDRESS(1,6,1,0,"KeySet"),0),":","""",TEXT(valueMaker!F377,"yyyy/m/d"),"""")</f>
        <v>tanjyoubi:"1988/1/27"</v>
      </c>
      <c r="G377" t="str" cm="1">
        <f t="array" aca="1" ref="G377" ca="1">CONCATENATE(INDIRECT(ADDRESS(1,6,1,0,"KeySet"),0),":","""",TEXT(valueMaker!G377,"yyyy/m/d"),"""")</f>
        <v>tanjyoubi:"2014/2/19"</v>
      </c>
      <c r="H377" t="str" cm="1">
        <f t="array" aca="1" ref="H377" ca="1">CONCATENATE(INDIRECT(ADDRESS(1,6,1,0,"KeySet"),0),":","""",TEXT(valueMaker!H377,"yyyy/m/d"),"""")</f>
        <v>tanjyoubi:"2017/2/18"</v>
      </c>
      <c r="I377" t="str" cm="1">
        <f t="array" aca="1" ref="I377" ca="1">CONCATENATE(INDIRECT(ADDRESS(1,9,1,0,"KeySet"),0),":","""",valueMaker!I377,"""")</f>
        <v>denwaBangou:"090-9905-2846"</v>
      </c>
      <c r="J377" t="str" cm="1">
        <f t="array" aca="1" ref="J377" ca="1">CONCATENATE(INDIRECT(ADDRESS(1,10,1,0,"KeySet"),0),":","""",valueMaker!J377,"""")</f>
        <v>mailAddress:"Feng_Xuan_Heng_41689@outlook.jp.co"</v>
      </c>
      <c r="K377" t="str" cm="1">
        <f t="array" aca="1" ref="K377" ca="1">CONCATENATE(INDIRECT(ADDRESS(1,11,1,0,"KeySet"),0),":","""",valueMaker!K377,"""")</f>
        <v>kaninSyubetu:"普通"</v>
      </c>
      <c r="L377" t="str" cm="1">
        <f t="array" aca="1" ref="L377" ca="1">CONCATENATE(INDIRECT(ADDRESS(1,12,1,0,"KeySet"),0),":","""",valueMaker!L377,"""")</f>
        <v>kaninKengenWB:"有り"</v>
      </c>
      <c r="M377" t="str" cm="1">
        <f t="array" aca="1" ref="M377" ca="1">CONCATENATE(INDIRECT(ADDRESS(1,13,1,0,"KeySet"),0),":","""",valueMaker!M377,"""")</f>
        <v>wakibiri:"5%"</v>
      </c>
      <c r="N377" t="str" cm="1">
        <f t="array" aca="1" ref="N377" ca="1">CONCATENATE(INDIRECT(ADDRESS(1,14,1,0,"KeySet"),0),":","""",valueMaker!N377,"""")</f>
        <v>kaninKengenPoint:"有り"</v>
      </c>
      <c r="O377" t="str" cm="1">
        <f t="array" aca="1" ref="O377" ca="1">CONCATENATE(INDIRECT(ADDRESS(1,15,1,0,"KeySet"),0),":","""",valueMaker!O377,"""")</f>
        <v>point:"692"</v>
      </c>
      <c r="P377" t="str" cm="1">
        <f t="array" aca="1" ref="P377" ca="1">CONCATENATE(INDIRECT(ADDRESS(1,16,1,0,"KeySet"),0),":","""",valueMaker!P377,"""")</f>
        <v>bikou:""</v>
      </c>
    </row>
    <row r="378" spans="1:16">
      <c r="A378" t="str" cm="1">
        <f t="array" aca="1" ref="A378" ca="1">CONCATENATE(INDIRECT(ADDRESS(1,1,1,0,"KeySet"),0),":","""",valueMaker!A378,"""")</f>
        <v>kainBangou:"TD10377"</v>
      </c>
      <c r="B378" t="str" cm="1">
        <f t="array" aca="1" ref="B378" ca="1">CONCATENATE(INDIRECT(ADDRESS(1,2,1,0,"KeySet"),0),":","""",valueMaker!B378,"""")</f>
        <v>kainMeiKanji:"鄭嘉時"</v>
      </c>
      <c r="C378" t="str" cm="1">
        <f t="array" aca="1" ref="C378" ca="1">CONCATENATE(INDIRECT(ADDRESS(1,3,1,0,"KeySet"),0),":","""",valueMaker!C378,"""")</f>
        <v>kainMeiKana:"ｼﾞｭﾖﾝ ｼﾞｱ ｼｰ"</v>
      </c>
      <c r="D378" t="str" cm="1">
        <f t="array" aca="1" ref="D378" ca="1">CONCATENATE(INDIRECT(ADDRESS(1,4,1,0,"KeySet"),0),":","""",valueMaker!D378,"""")</f>
        <v>kainMeiEn:"Zheng Jia Shi"</v>
      </c>
      <c r="E378" t="str" cm="1">
        <f t="array" aca="1" ref="E378" ca="1">CONCATENATE(INDIRECT(ADDRESS(1,5,1,0,"KeySet"),0),":","""",valueMaker!E378,"""")</f>
        <v>kainGender:"男性"</v>
      </c>
      <c r="F378" t="str" cm="1">
        <f t="array" aca="1" ref="F378" ca="1">CONCATENATE(INDIRECT(ADDRESS(1,6,1,0,"KeySet"),0),":","""",TEXT(valueMaker!F378,"yyyy/m/d"),"""")</f>
        <v>tanjyoubi:"2002/12/28"</v>
      </c>
      <c r="G378" t="str" cm="1">
        <f t="array" aca="1" ref="G378" ca="1">CONCATENATE(INDIRECT(ADDRESS(1,6,1,0,"KeySet"),0),":","""",TEXT(valueMaker!G378,"yyyy/m/d"),"""")</f>
        <v>tanjyoubi:"2024/3/14"</v>
      </c>
      <c r="H378" t="str" cm="1">
        <f t="array" aca="1" ref="H378" ca="1">CONCATENATE(INDIRECT(ADDRESS(1,6,1,0,"KeySet"),0),":","""",TEXT(valueMaker!H378,"yyyy/m/d"),"""")</f>
        <v>tanjyoubi:"2027/3/14"</v>
      </c>
      <c r="I378" t="str" cm="1">
        <f t="array" aca="1" ref="I378" ca="1">CONCATENATE(INDIRECT(ADDRESS(1,9,1,0,"KeySet"),0),":","""",valueMaker!I378,"""")</f>
        <v>denwaBangou:"080-8561-8465"</v>
      </c>
      <c r="J378" t="str" cm="1">
        <f t="array" aca="1" ref="J378" ca="1">CONCATENATE(INDIRECT(ADDRESS(1,10,1,0,"KeySet"),0),":","""",valueMaker!J378,"""")</f>
        <v>mailAddress:"Zheng_Jia_Shi_45365@outlook.jp.co"</v>
      </c>
      <c r="K378" t="str" cm="1">
        <f t="array" aca="1" ref="K378" ca="1">CONCATENATE(INDIRECT(ADDRESS(1,11,1,0,"KeySet"),0),":","""",valueMaker!K378,"""")</f>
        <v>kaninSyubetu:"高級"</v>
      </c>
      <c r="L378" t="str" cm="1">
        <f t="array" aca="1" ref="L378" ca="1">CONCATENATE(INDIRECT(ADDRESS(1,12,1,0,"KeySet"),0),":","""",valueMaker!L378,"""")</f>
        <v>kaninKengenWB:"有り"</v>
      </c>
      <c r="M378" t="str" cm="1">
        <f t="array" aca="1" ref="M378" ca="1">CONCATENATE(INDIRECT(ADDRESS(1,13,1,0,"KeySet"),0),":","""",valueMaker!M378,"""")</f>
        <v>wakibiri:"10%"</v>
      </c>
      <c r="N378" t="str" cm="1">
        <f t="array" aca="1" ref="N378" ca="1">CONCATENATE(INDIRECT(ADDRESS(1,14,1,0,"KeySet"),0),":","""",valueMaker!N378,"""")</f>
        <v>kaninKengenPoint:"有り"</v>
      </c>
      <c r="O378" t="str" cm="1">
        <f t="array" aca="1" ref="O378" ca="1">CONCATENATE(INDIRECT(ADDRESS(1,15,1,0,"KeySet"),0),":","""",valueMaker!O378,"""")</f>
        <v>point:"439"</v>
      </c>
      <c r="P378" t="str" cm="1">
        <f t="array" aca="1" ref="P378" ca="1">CONCATENATE(INDIRECT(ADDRESS(1,16,1,0,"KeySet"),0),":","""",valueMaker!P378,"""")</f>
        <v>bikou:""</v>
      </c>
    </row>
    <row r="379" spans="1:16">
      <c r="A379" t="str" cm="1">
        <f t="array" aca="1" ref="A379" ca="1">CONCATENATE(INDIRECT(ADDRESS(1,1,1,0,"KeySet"),0),":","""",valueMaker!A379,"""")</f>
        <v>kainBangou:"TD10378"</v>
      </c>
      <c r="B379" t="str" cm="1">
        <f t="array" aca="1" ref="B379" ca="1">CONCATENATE(INDIRECT(ADDRESS(1,2,1,0,"KeySet"),0),":","""",valueMaker!B379,"""")</f>
        <v>kainMeiKanji:"朱皇特"</v>
      </c>
      <c r="C379" t="str" cm="1">
        <f t="array" aca="1" ref="C379" ca="1">CONCATENATE(INDIRECT(ADDRESS(1,3,1,0,"KeySet"),0),":","""",valueMaker!C379,"""")</f>
        <v>kainMeiKana:"ｼﾞｭｳ ﾎﾜｰﾝ ﾄｰｧ"</v>
      </c>
      <c r="D379" t="str" cm="1">
        <f t="array" aca="1" ref="D379" ca="1">CONCATENATE(INDIRECT(ADDRESS(1,4,1,0,"KeySet"),0),":","""",valueMaker!D379,"""")</f>
        <v>kainMeiEn:"Zhu Huang Te"</v>
      </c>
      <c r="E379" t="str" cm="1">
        <f t="array" aca="1" ref="E379" ca="1">CONCATENATE(INDIRECT(ADDRESS(1,5,1,0,"KeySet"),0),":","""",valueMaker!E379,"""")</f>
        <v>kainGender:"男性"</v>
      </c>
      <c r="F379" t="str" cm="1">
        <f t="array" aca="1" ref="F379" ca="1">CONCATENATE(INDIRECT(ADDRESS(1,6,1,0,"KeySet"),0),":","""",TEXT(valueMaker!F379,"yyyy/m/d"),"""")</f>
        <v>tanjyoubi:"1979/9/16"</v>
      </c>
      <c r="G379" t="str" cm="1">
        <f t="array" aca="1" ref="G379" ca="1">CONCATENATE(INDIRECT(ADDRESS(1,6,1,0,"KeySet"),0),":","""",TEXT(valueMaker!G379,"yyyy/m/d"),"""")</f>
        <v>tanjyoubi:"2005/1/15"</v>
      </c>
      <c r="H379" t="str" cm="1">
        <f t="array" aca="1" ref="H379" ca="1">CONCATENATE(INDIRECT(ADDRESS(1,6,1,0,"KeySet"),0),":","""",TEXT(valueMaker!H379,"yyyy/m/d"),"""")</f>
        <v>tanjyoubi:"2006/1/15"</v>
      </c>
      <c r="I379" t="str" cm="1">
        <f t="array" aca="1" ref="I379" ca="1">CONCATENATE(INDIRECT(ADDRESS(1,9,1,0,"KeySet"),0),":","""",valueMaker!I379,"""")</f>
        <v>denwaBangou:"090-2304-6342"</v>
      </c>
      <c r="J379" t="str" cm="1">
        <f t="array" aca="1" ref="J379" ca="1">CONCATENATE(INDIRECT(ADDRESS(1,10,1,0,"KeySet"),0),":","""",valueMaker!J379,"""")</f>
        <v>mailAddress:"Zhu_Huang_Te_38367@outlook.jp.co"</v>
      </c>
      <c r="K379" t="str" cm="1">
        <f t="array" aca="1" ref="K379" ca="1">CONCATENATE(INDIRECT(ADDRESS(1,11,1,0,"KeySet"),0),":","""",valueMaker!K379,"""")</f>
        <v>kaninSyubetu:"普通"</v>
      </c>
      <c r="L379" t="str" cm="1">
        <f t="array" aca="1" ref="L379" ca="1">CONCATENATE(INDIRECT(ADDRESS(1,12,1,0,"KeySet"),0),":","""",valueMaker!L379,"""")</f>
        <v>kaninKengenWB:"-"</v>
      </c>
      <c r="M379" t="str" cm="1">
        <f t="array" aca="1" ref="M379" ca="1">CONCATENATE(INDIRECT(ADDRESS(1,13,1,0,"KeySet"),0),":","""",valueMaker!M379,"""")</f>
        <v>wakibiri:"-"</v>
      </c>
      <c r="N379" t="str" cm="1">
        <f t="array" aca="1" ref="N379" ca="1">CONCATENATE(INDIRECT(ADDRESS(1,14,1,0,"KeySet"),0),":","""",valueMaker!N379,"""")</f>
        <v>kaninKengenPoint:"有り"</v>
      </c>
      <c r="O379" t="str" cm="1">
        <f t="array" aca="1" ref="O379" ca="1">CONCATENATE(INDIRECT(ADDRESS(1,15,1,0,"KeySet"),0),":","""",valueMaker!O379,"""")</f>
        <v>point:"209"</v>
      </c>
      <c r="P379" t="str" cm="1">
        <f t="array" aca="1" ref="P379" ca="1">CONCATENATE(INDIRECT(ADDRESS(1,16,1,0,"KeySet"),0),":","""",valueMaker!P379,"""")</f>
        <v>bikou:""</v>
      </c>
    </row>
    <row r="380" spans="1:16">
      <c r="A380" t="str" cm="1">
        <f t="array" aca="1" ref="A380" ca="1">CONCATENATE(INDIRECT(ADDRESS(1,1,1,0,"KeySet"),0),":","""",valueMaker!A380,"""")</f>
        <v>kainBangou:"TD10379"</v>
      </c>
      <c r="B380" t="str" cm="1">
        <f t="array" aca="1" ref="B380" ca="1">CONCATENATE(INDIRECT(ADDRESS(1,2,1,0,"KeySet"),0),":","""",valueMaker!B380,"""")</f>
        <v>kainMeiKanji:"趙相輝"</v>
      </c>
      <c r="C380" t="str" cm="1">
        <f t="array" aca="1" ref="C380" ca="1">CONCATENATE(INDIRECT(ADDRESS(1,3,1,0,"KeySet"),0),":","""",valueMaker!C380,"""")</f>
        <v>kainMeiKana:"ｼﾞｬｵ ｼｱｰﾝ ﾎｩｲ"</v>
      </c>
      <c r="D380" t="str" cm="1">
        <f t="array" aca="1" ref="D380" ca="1">CONCATENATE(INDIRECT(ADDRESS(1,4,1,0,"KeySet"),0),":","""",valueMaker!D380,"""")</f>
        <v>kainMeiEn:"Zhao Xiang Hui"</v>
      </c>
      <c r="E380" t="str" cm="1">
        <f t="array" aca="1" ref="E380" ca="1">CONCATENATE(INDIRECT(ADDRESS(1,5,1,0,"KeySet"),0),":","""",valueMaker!E380,"""")</f>
        <v>kainGender:"男性"</v>
      </c>
      <c r="F380" t="str" cm="1">
        <f t="array" aca="1" ref="F380" ca="1">CONCATENATE(INDIRECT(ADDRESS(1,6,1,0,"KeySet"),0),":","""",TEXT(valueMaker!F380,"yyyy/m/d"),"""")</f>
        <v>tanjyoubi:"1996/6/1"</v>
      </c>
      <c r="G380" t="str" cm="1">
        <f t="array" aca="1" ref="G380" ca="1">CONCATENATE(INDIRECT(ADDRESS(1,6,1,0,"KeySet"),0),":","""",TEXT(valueMaker!G380,"yyyy/m/d"),"""")</f>
        <v>tanjyoubi:"2016/9/19"</v>
      </c>
      <c r="H380" t="str" cm="1">
        <f t="array" aca="1" ref="H380" ca="1">CONCATENATE(INDIRECT(ADDRESS(1,6,1,0,"KeySet"),0),":","""",TEXT(valueMaker!H380,"yyyy/m/d"),"""")</f>
        <v>tanjyoubi:"2017/9/19"</v>
      </c>
      <c r="I380" t="str" cm="1">
        <f t="array" aca="1" ref="I380" ca="1">CONCATENATE(INDIRECT(ADDRESS(1,9,1,0,"KeySet"),0),":","""",valueMaker!I380,"""")</f>
        <v>denwaBangou:"080-9462-1274"</v>
      </c>
      <c r="J380" t="str" cm="1">
        <f t="array" aca="1" ref="J380" ca="1">CONCATENATE(INDIRECT(ADDRESS(1,10,1,0,"KeySet"),0),":","""",valueMaker!J380,"""")</f>
        <v>mailAddress:"Zhao_Xiang_Hui_42632@outlook.jp.co"</v>
      </c>
      <c r="K380" t="str" cm="1">
        <f t="array" aca="1" ref="K380" ca="1">CONCATENATE(INDIRECT(ADDRESS(1,11,1,0,"KeySet"),0),":","""",valueMaker!K380,"""")</f>
        <v>kaninSyubetu:"普通"</v>
      </c>
      <c r="L380" t="str" cm="1">
        <f t="array" aca="1" ref="L380" ca="1">CONCATENATE(INDIRECT(ADDRESS(1,12,1,0,"KeySet"),0),":","""",valueMaker!L380,"""")</f>
        <v>kaninKengenWB:"有り"</v>
      </c>
      <c r="M380" t="str" cm="1">
        <f t="array" aca="1" ref="M380" ca="1">CONCATENATE(INDIRECT(ADDRESS(1,13,1,0,"KeySet"),0),":","""",valueMaker!M380,"""")</f>
        <v>wakibiri:"5%"</v>
      </c>
      <c r="N380" t="str" cm="1">
        <f t="array" aca="1" ref="N380" ca="1">CONCATENATE(INDIRECT(ADDRESS(1,14,1,0,"KeySet"),0),":","""",valueMaker!N380,"""")</f>
        <v>kaninKengenPoint:"有り"</v>
      </c>
      <c r="O380" t="str" cm="1">
        <f t="array" aca="1" ref="O380" ca="1">CONCATENATE(INDIRECT(ADDRESS(1,15,1,0,"KeySet"),0),":","""",valueMaker!O380,"""")</f>
        <v>point:"648"</v>
      </c>
      <c r="P380" t="str" cm="1">
        <f t="array" aca="1" ref="P380" ca="1">CONCATENATE(INDIRECT(ADDRESS(1,16,1,0,"KeySet"),0),":","""",valueMaker!P380,"""")</f>
        <v>bikou:""</v>
      </c>
    </row>
    <row r="381" spans="1:16">
      <c r="A381" t="str" cm="1">
        <f t="array" aca="1" ref="A381" ca="1">CONCATENATE(INDIRECT(ADDRESS(1,1,1,0,"KeySet"),0),":","""",valueMaker!A381,"""")</f>
        <v>kainBangou:"TD10380"</v>
      </c>
      <c r="B381" t="str" cm="1">
        <f t="array" aca="1" ref="B381" ca="1">CONCATENATE(INDIRECT(ADDRESS(1,2,1,0,"KeySet"),0),":","""",valueMaker!B381,"""")</f>
        <v>kainMeiKanji:"宋金訊"</v>
      </c>
      <c r="C381" t="str" cm="1">
        <f t="array" aca="1" ref="C381" ca="1">CONCATENATE(INDIRECT(ADDRESS(1,3,1,0,"KeySet"),0),":","""",valueMaker!C381,"""")</f>
        <v>kainMeiKana:"ｿｰﾝ ｼﾞﾝ ｼｭｲﾝ"</v>
      </c>
      <c r="D381" t="str" cm="1">
        <f t="array" aca="1" ref="D381" ca="1">CONCATENATE(INDIRECT(ADDRESS(1,4,1,0,"KeySet"),0),":","""",valueMaker!D381,"""")</f>
        <v>kainMeiEn:"Song Jin Xun"</v>
      </c>
      <c r="E381" t="str" cm="1">
        <f t="array" aca="1" ref="E381" ca="1">CONCATENATE(INDIRECT(ADDRESS(1,5,1,0,"KeySet"),0),":","""",valueMaker!E381,"""")</f>
        <v>kainGender:"男性"</v>
      </c>
      <c r="F381" t="str" cm="1">
        <f t="array" aca="1" ref="F381" ca="1">CONCATENATE(INDIRECT(ADDRESS(1,6,1,0,"KeySet"),0),":","""",TEXT(valueMaker!F381,"yyyy/m/d"),"""")</f>
        <v>tanjyoubi:"1964/9/10"</v>
      </c>
      <c r="G381" t="str" cm="1">
        <f t="array" aca="1" ref="G381" ca="1">CONCATENATE(INDIRECT(ADDRESS(1,6,1,0,"KeySet"),0),":","""",TEXT(valueMaker!G381,"yyyy/m/d"),"""")</f>
        <v>tanjyoubi:"2016/5/28"</v>
      </c>
      <c r="H381" t="str" cm="1">
        <f t="array" aca="1" ref="H381" ca="1">CONCATENATE(INDIRECT(ADDRESS(1,6,1,0,"KeySet"),0),":","""",TEXT(valueMaker!H381,"yyyy/m/d"),"""")</f>
        <v>tanjyoubi:"2017/5/28"</v>
      </c>
      <c r="I381" t="str" cm="1">
        <f t="array" aca="1" ref="I381" ca="1">CONCATENATE(INDIRECT(ADDRESS(1,9,1,0,"KeySet"),0),":","""",valueMaker!I381,"""")</f>
        <v>denwaBangou:"080-2849-1410"</v>
      </c>
      <c r="J381" t="str" cm="1">
        <f t="array" aca="1" ref="J381" ca="1">CONCATENATE(INDIRECT(ADDRESS(1,10,1,0,"KeySet"),0),":","""",valueMaker!J381,"""")</f>
        <v>mailAddress:"Song_Jin_Xun_42518@outlook.jp.co"</v>
      </c>
      <c r="K381" t="str" cm="1">
        <f t="array" aca="1" ref="K381" ca="1">CONCATENATE(INDIRECT(ADDRESS(1,11,1,0,"KeySet"),0),":","""",valueMaker!K381,"""")</f>
        <v>kaninSyubetu:"普通"</v>
      </c>
      <c r="L381" t="str" cm="1">
        <f t="array" aca="1" ref="L381" ca="1">CONCATENATE(INDIRECT(ADDRESS(1,12,1,0,"KeySet"),0),":","""",valueMaker!L381,"""")</f>
        <v>kaninKengenWB:"有り"</v>
      </c>
      <c r="M381" t="str" cm="1">
        <f t="array" aca="1" ref="M381" ca="1">CONCATENATE(INDIRECT(ADDRESS(1,13,1,0,"KeySet"),0),":","""",valueMaker!M381,"""")</f>
        <v>wakibiri:"5%"</v>
      </c>
      <c r="N381" t="str" cm="1">
        <f t="array" aca="1" ref="N381" ca="1">CONCATENATE(INDIRECT(ADDRESS(1,14,1,0,"KeySet"),0),":","""",valueMaker!N381,"""")</f>
        <v>kaninKengenPoint:"有り"</v>
      </c>
      <c r="O381" t="str" cm="1">
        <f t="array" aca="1" ref="O381" ca="1">CONCATENATE(INDIRECT(ADDRESS(1,15,1,0,"KeySet"),0),":","""",valueMaker!O381,"""")</f>
        <v>point:"922"</v>
      </c>
      <c r="P381" t="str" cm="1">
        <f t="array" aca="1" ref="P381" ca="1">CONCATENATE(INDIRECT(ADDRESS(1,16,1,0,"KeySet"),0),":","""",valueMaker!P381,"""")</f>
        <v>bikou:""</v>
      </c>
    </row>
    <row r="382" spans="1:16">
      <c r="A382" t="str" cm="1">
        <f t="array" aca="1" ref="A382" ca="1">CONCATENATE(INDIRECT(ADDRESS(1,1,1,0,"KeySet"),0),":","""",valueMaker!A382,"""")</f>
        <v>kainBangou:"TD10381"</v>
      </c>
      <c r="B382" t="str" cm="1">
        <f t="array" aca="1" ref="B382" ca="1">CONCATENATE(INDIRECT(ADDRESS(1,2,1,0,"KeySet"),0),":","""",valueMaker!B382,"""")</f>
        <v>kainMeiKanji:"楊潤頓"</v>
      </c>
      <c r="C382" t="str" cm="1">
        <f t="array" aca="1" ref="C382" ca="1">CONCATENATE(INDIRECT(ADDRESS(1,3,1,0,"KeySet"),0),":","""",valueMaker!C382,"""")</f>
        <v>kainMeiKana:"ﾔｰﾝ ｩﾙﾝ ﾄﾞｩﾝ"</v>
      </c>
      <c r="D382" t="str" cm="1">
        <f t="array" aca="1" ref="D382" ca="1">CONCATENATE(INDIRECT(ADDRESS(1,4,1,0,"KeySet"),0),":","""",valueMaker!D382,"""")</f>
        <v>kainMeiEn:"Yang Run Dun"</v>
      </c>
      <c r="E382" t="str" cm="1">
        <f t="array" aca="1" ref="E382" ca="1">CONCATENATE(INDIRECT(ADDRESS(1,5,1,0,"KeySet"),0),":","""",valueMaker!E382,"""")</f>
        <v>kainGender:"女性"</v>
      </c>
      <c r="F382" t="str" cm="1">
        <f t="array" aca="1" ref="F382" ca="1">CONCATENATE(INDIRECT(ADDRESS(1,6,1,0,"KeySet"),0),":","""",TEXT(valueMaker!F382,"yyyy/m/d"),"""")</f>
        <v>tanjyoubi:"1966/2/5"</v>
      </c>
      <c r="G382" t="str" cm="1">
        <f t="array" aca="1" ref="G382" ca="1">CONCATENATE(INDIRECT(ADDRESS(1,6,1,0,"KeySet"),0),":","""",TEXT(valueMaker!G382,"yyyy/m/d"),"""")</f>
        <v>tanjyoubi:"2011/3/11"</v>
      </c>
      <c r="H382" t="str" cm="1">
        <f t="array" aca="1" ref="H382" ca="1">CONCATENATE(INDIRECT(ADDRESS(1,6,1,0,"KeySet"),0),":","""",TEXT(valueMaker!H382,"yyyy/m/d"),"""")</f>
        <v>tanjyoubi:"2013/3/10"</v>
      </c>
      <c r="I382" t="str" cm="1">
        <f t="array" aca="1" ref="I382" ca="1">CONCATENATE(INDIRECT(ADDRESS(1,9,1,0,"KeySet"),0),":","""",valueMaker!I382,"""")</f>
        <v>denwaBangou:"080-8927-5673"</v>
      </c>
      <c r="J382" t="str" cm="1">
        <f t="array" aca="1" ref="J382" ca="1">CONCATENATE(INDIRECT(ADDRESS(1,10,1,0,"KeySet"),0),":","""",valueMaker!J382,"""")</f>
        <v>mailAddress:"Yang_Run Dun_40613@outlook.jp.co"</v>
      </c>
      <c r="K382" t="str" cm="1">
        <f t="array" aca="1" ref="K382" ca="1">CONCATENATE(INDIRECT(ADDRESS(1,11,1,0,"KeySet"),0),":","""",valueMaker!K382,"""")</f>
        <v>kaninSyubetu:"普通"</v>
      </c>
      <c r="L382" t="str" cm="1">
        <f t="array" aca="1" ref="L382" ca="1">CONCATENATE(INDIRECT(ADDRESS(1,12,1,0,"KeySet"),0),":","""",valueMaker!L382,"""")</f>
        <v>kaninKengenWB:"有り"</v>
      </c>
      <c r="M382" t="str" cm="1">
        <f t="array" aca="1" ref="M382" ca="1">CONCATENATE(INDIRECT(ADDRESS(1,13,1,0,"KeySet"),0),":","""",valueMaker!M382,"""")</f>
        <v>wakibiri:"5%"</v>
      </c>
      <c r="N382" t="str" cm="1">
        <f t="array" aca="1" ref="N382" ca="1">CONCATENATE(INDIRECT(ADDRESS(1,14,1,0,"KeySet"),0),":","""",valueMaker!N382,"""")</f>
        <v>kaninKengenPoint:"有り"</v>
      </c>
      <c r="O382" t="str" cm="1">
        <f t="array" aca="1" ref="O382" ca="1">CONCATENATE(INDIRECT(ADDRESS(1,15,1,0,"KeySet"),0),":","""",valueMaker!O382,"""")</f>
        <v>point:"710"</v>
      </c>
      <c r="P382" t="str" cm="1">
        <f t="array" aca="1" ref="P382" ca="1">CONCATENATE(INDIRECT(ADDRESS(1,16,1,0,"KeySet"),0),":","""",valueMaker!P382,"""")</f>
        <v>bikou:""</v>
      </c>
    </row>
    <row r="383" spans="1:16">
      <c r="A383" t="str" cm="1">
        <f t="array" aca="1" ref="A383" ca="1">CONCATENATE(INDIRECT(ADDRESS(1,1,1,0,"KeySet"),0),":","""",valueMaker!A383,"""")</f>
        <v>kainBangou:"TD10382"</v>
      </c>
      <c r="B383" t="str" cm="1">
        <f t="array" aca="1" ref="B383" ca="1">CONCATENATE(INDIRECT(ADDRESS(1,2,1,0,"KeySet"),0),":","""",valueMaker!B383,"""")</f>
        <v>kainMeiKanji:"趙勳林"</v>
      </c>
      <c r="C383" t="str" cm="1">
        <f t="array" aca="1" ref="C383" ca="1">CONCATENATE(INDIRECT(ADDRESS(1,3,1,0,"KeySet"),0),":","""",valueMaker!C383,"""")</f>
        <v>kainMeiKana:"ｼﾞｬｵ ｼｭｲﾝ ﾘﾝ"</v>
      </c>
      <c r="D383" t="str" cm="1">
        <f t="array" aca="1" ref="D383" ca="1">CONCATENATE(INDIRECT(ADDRESS(1,4,1,0,"KeySet"),0),":","""",valueMaker!D383,"""")</f>
        <v>kainMeiEn:"Zhao Xun Lin"</v>
      </c>
      <c r="E383" t="str" cm="1">
        <f t="array" aca="1" ref="E383" ca="1">CONCATENATE(INDIRECT(ADDRESS(1,5,1,0,"KeySet"),0),":","""",valueMaker!E383,"""")</f>
        <v>kainGender:"男性"</v>
      </c>
      <c r="F383" t="str" cm="1">
        <f t="array" aca="1" ref="F383" ca="1">CONCATENATE(INDIRECT(ADDRESS(1,6,1,0,"KeySet"),0),":","""",TEXT(valueMaker!F383,"yyyy/m/d"),"""")</f>
        <v>tanjyoubi:"1971/11/26"</v>
      </c>
      <c r="G383" t="str" cm="1">
        <f t="array" aca="1" ref="G383" ca="1">CONCATENATE(INDIRECT(ADDRESS(1,6,1,0,"KeySet"),0),":","""",TEXT(valueMaker!G383,"yyyy/m/d"),"""")</f>
        <v>tanjyoubi:"1993/4/4"</v>
      </c>
      <c r="H383" t="str" cm="1">
        <f t="array" aca="1" ref="H383" ca="1">CONCATENATE(INDIRECT(ADDRESS(1,6,1,0,"KeySet"),0),":","""",TEXT(valueMaker!H383,"yyyy/m/d"),"""")</f>
        <v>tanjyoubi:"1994/4/4"</v>
      </c>
      <c r="I383" t="str" cm="1">
        <f t="array" aca="1" ref="I383" ca="1">CONCATENATE(INDIRECT(ADDRESS(1,9,1,0,"KeySet"),0),":","""",valueMaker!I383,"""")</f>
        <v>denwaBangou:"090-9498-0227"</v>
      </c>
      <c r="J383" t="str" cm="1">
        <f t="array" aca="1" ref="J383" ca="1">CONCATENATE(INDIRECT(ADDRESS(1,10,1,0,"KeySet"),0),":","""",valueMaker!J383,"""")</f>
        <v>mailAddress:"Zhao_Xun_Lin_34063@outlook.jp.co"</v>
      </c>
      <c r="K383" t="str" cm="1">
        <f t="array" aca="1" ref="K383" ca="1">CONCATENATE(INDIRECT(ADDRESS(1,11,1,0,"KeySet"),0),":","""",valueMaker!K383,"""")</f>
        <v>kaninSyubetu:"高級"</v>
      </c>
      <c r="L383" t="str" cm="1">
        <f t="array" aca="1" ref="L383" ca="1">CONCATENATE(INDIRECT(ADDRESS(1,12,1,0,"KeySet"),0),":","""",valueMaker!L383,"""")</f>
        <v>kaninKengenWB:"有り"</v>
      </c>
      <c r="M383" t="str" cm="1">
        <f t="array" aca="1" ref="M383" ca="1">CONCATENATE(INDIRECT(ADDRESS(1,13,1,0,"KeySet"),0),":","""",valueMaker!M383,"""")</f>
        <v>wakibiri:"10%"</v>
      </c>
      <c r="N383" t="str" cm="1">
        <f t="array" aca="1" ref="N383" ca="1">CONCATENATE(INDIRECT(ADDRESS(1,14,1,0,"KeySet"),0),":","""",valueMaker!N383,"""")</f>
        <v>kaninKengenPoint:"有り"</v>
      </c>
      <c r="O383" t="str" cm="1">
        <f t="array" aca="1" ref="O383" ca="1">CONCATENATE(INDIRECT(ADDRESS(1,15,1,0,"KeySet"),0),":","""",valueMaker!O383,"""")</f>
        <v>point:"100"</v>
      </c>
      <c r="P383" t="str" cm="1">
        <f t="array" aca="1" ref="P383" ca="1">CONCATENATE(INDIRECT(ADDRESS(1,16,1,0,"KeySet"),0),":","""",valueMaker!P383,"""")</f>
        <v>bikou:""</v>
      </c>
    </row>
    <row r="384" spans="1:16">
      <c r="A384" t="str" cm="1">
        <f t="array" aca="1" ref="A384" ca="1">CONCATENATE(INDIRECT(ADDRESS(1,1,1,0,"KeySet"),0),":","""",valueMaker!A384,"""")</f>
        <v>kainBangou:"TD10383"</v>
      </c>
      <c r="B384" t="str" cm="1">
        <f t="array" aca="1" ref="B384" ca="1">CONCATENATE(INDIRECT(ADDRESS(1,2,1,0,"KeySet"),0),":","""",valueMaker!B384,"""")</f>
        <v>kainMeiKanji:"馮偉榮"</v>
      </c>
      <c r="C384" t="str" cm="1">
        <f t="array" aca="1" ref="C384" ca="1">CONCATENATE(INDIRECT(ADDRESS(1,3,1,0,"KeySet"),0),":","""",valueMaker!C384,"""")</f>
        <v>kainMeiKana:"ﾌｵﾝ ｳｴｲ ｩﾛｰﾝ"</v>
      </c>
      <c r="D384" t="str" cm="1">
        <f t="array" aca="1" ref="D384" ca="1">CONCATENATE(INDIRECT(ADDRESS(1,4,1,0,"KeySet"),0),":","""",valueMaker!D384,"""")</f>
        <v>kainMeiEn:"Feng Wei Rong"</v>
      </c>
      <c r="E384" t="str" cm="1">
        <f t="array" aca="1" ref="E384" ca="1">CONCATENATE(INDIRECT(ADDRESS(1,5,1,0,"KeySet"),0),":","""",valueMaker!E384,"""")</f>
        <v>kainGender:"男性"</v>
      </c>
      <c r="F384" t="str" cm="1">
        <f t="array" aca="1" ref="F384" ca="1">CONCATENATE(INDIRECT(ADDRESS(1,6,1,0,"KeySet"),0),":","""",TEXT(valueMaker!F384,"yyyy/m/d"),"""")</f>
        <v>tanjyoubi:"1981/12/8"</v>
      </c>
      <c r="G384" t="str" cm="1">
        <f t="array" aca="1" ref="G384" ca="1">CONCATENATE(INDIRECT(ADDRESS(1,6,1,0,"KeySet"),0),":","""",TEXT(valueMaker!G384,"yyyy/m/d"),"""")</f>
        <v>tanjyoubi:"2020/12/9"</v>
      </c>
      <c r="H384" t="str" cm="1">
        <f t="array" aca="1" ref="H384" ca="1">CONCATENATE(INDIRECT(ADDRESS(1,6,1,0,"KeySet"),0),":","""",TEXT(valueMaker!H384,"yyyy/m/d"),"""")</f>
        <v>tanjyoubi:"2022/12/9"</v>
      </c>
      <c r="I384" t="str" cm="1">
        <f t="array" aca="1" ref="I384" ca="1">CONCATENATE(INDIRECT(ADDRESS(1,9,1,0,"KeySet"),0),":","""",valueMaker!I384,"""")</f>
        <v>denwaBangou:"080-6314-8020"</v>
      </c>
      <c r="J384" t="str" cm="1">
        <f t="array" aca="1" ref="J384" ca="1">CONCATENATE(INDIRECT(ADDRESS(1,10,1,0,"KeySet"),0),":","""",valueMaker!J384,"""")</f>
        <v>mailAddress:"Feng_Wei_Rong_44174@outlook.jp.co"</v>
      </c>
      <c r="K384" t="str" cm="1">
        <f t="array" aca="1" ref="K384" ca="1">CONCATENATE(INDIRECT(ADDRESS(1,11,1,0,"KeySet"),0),":","""",valueMaker!K384,"""")</f>
        <v>kaninSyubetu:"普通"</v>
      </c>
      <c r="L384" t="str" cm="1">
        <f t="array" aca="1" ref="L384" ca="1">CONCATENATE(INDIRECT(ADDRESS(1,12,1,0,"KeySet"),0),":","""",valueMaker!L384,"""")</f>
        <v>kaninKengenWB:"有り"</v>
      </c>
      <c r="M384" t="str" cm="1">
        <f t="array" aca="1" ref="M384" ca="1">CONCATENATE(INDIRECT(ADDRESS(1,13,1,0,"KeySet"),0),":","""",valueMaker!M384,"""")</f>
        <v>wakibiri:"5%"</v>
      </c>
      <c r="N384" t="str" cm="1">
        <f t="array" aca="1" ref="N384" ca="1">CONCATENATE(INDIRECT(ADDRESS(1,14,1,0,"KeySet"),0),":","""",valueMaker!N384,"""")</f>
        <v>kaninKengenPoint:"有り"</v>
      </c>
      <c r="O384" t="str" cm="1">
        <f t="array" aca="1" ref="O384" ca="1">CONCATENATE(INDIRECT(ADDRESS(1,15,1,0,"KeySet"),0),":","""",valueMaker!O384,"""")</f>
        <v>point:"591"</v>
      </c>
      <c r="P384" t="str" cm="1">
        <f t="array" aca="1" ref="P384" ca="1">CONCATENATE(INDIRECT(ADDRESS(1,16,1,0,"KeySet"),0),":","""",valueMaker!P384,"""")</f>
        <v>bikou:""</v>
      </c>
    </row>
    <row r="385" spans="1:16">
      <c r="A385" t="str" cm="1">
        <f t="array" aca="1" ref="A385" ca="1">CONCATENATE(INDIRECT(ADDRESS(1,1,1,0,"KeySet"),0),":","""",valueMaker!A385,"""")</f>
        <v>kainBangou:"TD10384"</v>
      </c>
      <c r="B385" t="str" cm="1">
        <f t="array" aca="1" ref="B385" ca="1">CONCATENATE(INDIRECT(ADDRESS(1,2,1,0,"KeySet"),0),":","""",valueMaker!B385,"""")</f>
        <v>kainMeiKanji:"梁月心"</v>
      </c>
      <c r="C385" t="str" cm="1">
        <f t="array" aca="1" ref="C385" ca="1">CONCATENATE(INDIRECT(ADDRESS(1,3,1,0,"KeySet"),0),":","""",valueMaker!C385,"""")</f>
        <v>kainMeiKana:"ﾘﾔｰﾝ ﾕｴ ｼﾝ"</v>
      </c>
      <c r="D385" t="str" cm="1">
        <f t="array" aca="1" ref="D385" ca="1">CONCATENATE(INDIRECT(ADDRESS(1,4,1,0,"KeySet"),0),":","""",valueMaker!D385,"""")</f>
        <v>kainMeiEn:"Liang Yue Xin"</v>
      </c>
      <c r="E385" t="str" cm="1">
        <f t="array" aca="1" ref="E385" ca="1">CONCATENATE(INDIRECT(ADDRESS(1,5,1,0,"KeySet"),0),":","""",valueMaker!E385,"""")</f>
        <v>kainGender:"女性"</v>
      </c>
      <c r="F385" t="str" cm="1">
        <f t="array" aca="1" ref="F385" ca="1">CONCATENATE(INDIRECT(ADDRESS(1,6,1,0,"KeySet"),0),":","""",TEXT(valueMaker!F385,"yyyy/m/d"),"""")</f>
        <v>tanjyoubi:"1985/3/25"</v>
      </c>
      <c r="G385" t="str" cm="1">
        <f t="array" aca="1" ref="G385" ca="1">CONCATENATE(INDIRECT(ADDRESS(1,6,1,0,"KeySet"),0),":","""",TEXT(valueMaker!G385,"yyyy/m/d"),"""")</f>
        <v>tanjyoubi:"2010/4/12"</v>
      </c>
      <c r="H385" t="str" cm="1">
        <f t="array" aca="1" ref="H385" ca="1">CONCATENATE(INDIRECT(ADDRESS(1,6,1,0,"KeySet"),0),":","""",TEXT(valueMaker!H385,"yyyy/m/d"),"""")</f>
        <v>tanjyoubi:"2011/4/12"</v>
      </c>
      <c r="I385" t="str" cm="1">
        <f t="array" aca="1" ref="I385" ca="1">CONCATENATE(INDIRECT(ADDRESS(1,9,1,0,"KeySet"),0),":","""",valueMaker!I385,"""")</f>
        <v>denwaBangou:"080-0701-8893"</v>
      </c>
      <c r="J385" t="str" cm="1">
        <f t="array" aca="1" ref="J385" ca="1">CONCATENATE(INDIRECT(ADDRESS(1,10,1,0,"KeySet"),0),":","""",valueMaker!J385,"""")</f>
        <v>mailAddress:"Liang_Yue_Xin_40280@outlook.jp.co"</v>
      </c>
      <c r="K385" t="str" cm="1">
        <f t="array" aca="1" ref="K385" ca="1">CONCATENATE(INDIRECT(ADDRESS(1,11,1,0,"KeySet"),0),":","""",valueMaker!K385,"""")</f>
        <v>kaninSyubetu:"普通"</v>
      </c>
      <c r="L385" t="str" cm="1">
        <f t="array" aca="1" ref="L385" ca="1">CONCATENATE(INDIRECT(ADDRESS(1,12,1,0,"KeySet"),0),":","""",valueMaker!L385,"""")</f>
        <v>kaninKengenWB:"有り"</v>
      </c>
      <c r="M385" t="str" cm="1">
        <f t="array" aca="1" ref="M385" ca="1">CONCATENATE(INDIRECT(ADDRESS(1,13,1,0,"KeySet"),0),":","""",valueMaker!M385,"""")</f>
        <v>wakibiri:"5%"</v>
      </c>
      <c r="N385" t="str" cm="1">
        <f t="array" aca="1" ref="N385" ca="1">CONCATENATE(INDIRECT(ADDRESS(1,14,1,0,"KeySet"),0),":","""",valueMaker!N385,"""")</f>
        <v>kaninKengenPoint:"有り"</v>
      </c>
      <c r="O385" t="str" cm="1">
        <f t="array" aca="1" ref="O385" ca="1">CONCATENATE(INDIRECT(ADDRESS(1,15,1,0,"KeySet"),0),":","""",valueMaker!O385,"""")</f>
        <v>point:"288"</v>
      </c>
      <c r="P385" t="str" cm="1">
        <f t="array" aca="1" ref="P385" ca="1">CONCATENATE(INDIRECT(ADDRESS(1,16,1,0,"KeySet"),0),":","""",valueMaker!P385,"""")</f>
        <v>bikou:""</v>
      </c>
    </row>
    <row r="386" spans="1:16">
      <c r="A386" t="str" cm="1">
        <f t="array" aca="1" ref="A386" ca="1">CONCATENATE(INDIRECT(ADDRESS(1,1,1,0,"KeySet"),0),":","""",valueMaker!A386,"""")</f>
        <v>kainBangou:"TD10385"</v>
      </c>
      <c r="B386" t="str" cm="1">
        <f t="array" aca="1" ref="B386" ca="1">CONCATENATE(INDIRECT(ADDRESS(1,2,1,0,"KeySet"),0),":","""",valueMaker!B386,"""")</f>
        <v>kainMeiKanji:"梁萌至"</v>
      </c>
      <c r="C386" t="str" cm="1">
        <f t="array" aca="1" ref="C386" ca="1">CONCATENATE(INDIRECT(ADDRESS(1,3,1,0,"KeySet"),0),":","""",valueMaker!C386,"""")</f>
        <v>kainMeiKana:"ﾘﾔｰﾝ ﾑｵﾝ ｼﾞｰ"</v>
      </c>
      <c r="D386" t="str" cm="1">
        <f t="array" aca="1" ref="D386" ca="1">CONCATENATE(INDIRECT(ADDRESS(1,4,1,0,"KeySet"),0),":","""",valueMaker!D386,"""")</f>
        <v>kainMeiEn:"Liang Meng Zhi"</v>
      </c>
      <c r="E386" t="str" cm="1">
        <f t="array" aca="1" ref="E386" ca="1">CONCATENATE(INDIRECT(ADDRESS(1,5,1,0,"KeySet"),0),":","""",valueMaker!E386,"""")</f>
        <v>kainGender:"女性"</v>
      </c>
      <c r="F386" t="str" cm="1">
        <f t="array" aca="1" ref="F386" ca="1">CONCATENATE(INDIRECT(ADDRESS(1,6,1,0,"KeySet"),0),":","""",TEXT(valueMaker!F386,"yyyy/m/d"),"""")</f>
        <v>tanjyoubi:"2000/1/5"</v>
      </c>
      <c r="G386" t="str" cm="1">
        <f t="array" aca="1" ref="G386" ca="1">CONCATENATE(INDIRECT(ADDRESS(1,6,1,0,"KeySet"),0),":","""",TEXT(valueMaker!G386,"yyyy/m/d"),"""")</f>
        <v>tanjyoubi:"2021/11/18"</v>
      </c>
      <c r="H386" t="str" cm="1">
        <f t="array" aca="1" ref="H386" ca="1">CONCATENATE(INDIRECT(ADDRESS(1,6,1,0,"KeySet"),0),":","""",TEXT(valueMaker!H386,"yyyy/m/d"),"""")</f>
        <v>tanjyoubi:"2023/11/18"</v>
      </c>
      <c r="I386" t="str" cm="1">
        <f t="array" aca="1" ref="I386" ca="1">CONCATENATE(INDIRECT(ADDRESS(1,9,1,0,"KeySet"),0),":","""",valueMaker!I386,"""")</f>
        <v>denwaBangou:"080-4485-0989"</v>
      </c>
      <c r="J386" t="str" cm="1">
        <f t="array" aca="1" ref="J386" ca="1">CONCATENATE(INDIRECT(ADDRESS(1,10,1,0,"KeySet"),0),":","""",valueMaker!J386,"""")</f>
        <v>mailAddress:"Liang_Meng_Zhi_44518@outlook.jp.co"</v>
      </c>
      <c r="K386" t="str" cm="1">
        <f t="array" aca="1" ref="K386" ca="1">CONCATENATE(INDIRECT(ADDRESS(1,11,1,0,"KeySet"),0),":","""",valueMaker!K386,"""")</f>
        <v>kaninSyubetu:"普通"</v>
      </c>
      <c r="L386" t="str" cm="1">
        <f t="array" aca="1" ref="L386" ca="1">CONCATENATE(INDIRECT(ADDRESS(1,12,1,0,"KeySet"),0),":","""",valueMaker!L386,"""")</f>
        <v>kaninKengenWB:"有り"</v>
      </c>
      <c r="M386" t="str" cm="1">
        <f t="array" aca="1" ref="M386" ca="1">CONCATENATE(INDIRECT(ADDRESS(1,13,1,0,"KeySet"),0),":","""",valueMaker!M386,"""")</f>
        <v>wakibiri:"5%"</v>
      </c>
      <c r="N386" t="str" cm="1">
        <f t="array" aca="1" ref="N386" ca="1">CONCATENATE(INDIRECT(ADDRESS(1,14,1,0,"KeySet"),0),":","""",valueMaker!N386,"""")</f>
        <v>kaninKengenPoint:"有り"</v>
      </c>
      <c r="O386" t="str" cm="1">
        <f t="array" aca="1" ref="O386" ca="1">CONCATENATE(INDIRECT(ADDRESS(1,15,1,0,"KeySet"),0),":","""",valueMaker!O386,"""")</f>
        <v>point:"838"</v>
      </c>
      <c r="P386" t="str" cm="1">
        <f t="array" aca="1" ref="P386" ca="1">CONCATENATE(INDIRECT(ADDRESS(1,16,1,0,"KeySet"),0),":","""",valueMaker!P386,"""")</f>
        <v>bikou:""</v>
      </c>
    </row>
    <row r="387" spans="1:16">
      <c r="A387" t="str" cm="1">
        <f t="array" aca="1" ref="A387" ca="1">CONCATENATE(INDIRECT(ADDRESS(1,1,1,0,"KeySet"),0),":","""",valueMaker!A387,"""")</f>
        <v>kainBangou:"TD10386"</v>
      </c>
      <c r="B387" t="str" cm="1">
        <f t="array" aca="1" ref="B387" ca="1">CONCATENATE(INDIRECT(ADDRESS(1,2,1,0,"KeySet"),0),":","""",valueMaker!B387,"""")</f>
        <v>kainMeiKanji:"趙彩金"</v>
      </c>
      <c r="C387" t="str" cm="1">
        <f t="array" aca="1" ref="C387" ca="1">CONCATENATE(INDIRECT(ADDRESS(1,3,1,0,"KeySet"),0),":","""",valueMaker!C387,"""")</f>
        <v>kainMeiKana:"ｼﾞｬｵ ﾂｧｲ ｼﾞﾝ"</v>
      </c>
      <c r="D387" t="str" cm="1">
        <f t="array" aca="1" ref="D387" ca="1">CONCATENATE(INDIRECT(ADDRESS(1,4,1,0,"KeySet"),0),":","""",valueMaker!D387,"""")</f>
        <v>kainMeiEn:"Zhao Cai Jin"</v>
      </c>
      <c r="E387" t="str" cm="1">
        <f t="array" aca="1" ref="E387" ca="1">CONCATENATE(INDIRECT(ADDRESS(1,5,1,0,"KeySet"),0),":","""",valueMaker!E387,"""")</f>
        <v>kainGender:"男性"</v>
      </c>
      <c r="F387" t="str" cm="1">
        <f t="array" aca="1" ref="F387" ca="1">CONCATENATE(INDIRECT(ADDRESS(1,6,1,0,"KeySet"),0),":","""",TEXT(valueMaker!F387,"yyyy/m/d"),"""")</f>
        <v>tanjyoubi:"1989/1/2"</v>
      </c>
      <c r="G387" t="str" cm="1">
        <f t="array" aca="1" ref="G387" ca="1">CONCATENATE(INDIRECT(ADDRESS(1,6,1,0,"KeySet"),0),":","""",TEXT(valueMaker!G387,"yyyy/m/d"),"""")</f>
        <v>tanjyoubi:"2013/2/24"</v>
      </c>
      <c r="H387" t="str" cm="1">
        <f t="array" aca="1" ref="H387" ca="1">CONCATENATE(INDIRECT(ADDRESS(1,6,1,0,"KeySet"),0),":","""",TEXT(valueMaker!H387,"yyyy/m/d"),"""")</f>
        <v>tanjyoubi:"2016/2/24"</v>
      </c>
      <c r="I387" t="str" cm="1">
        <f t="array" aca="1" ref="I387" ca="1">CONCATENATE(INDIRECT(ADDRESS(1,9,1,0,"KeySet"),0),":","""",valueMaker!I387,"""")</f>
        <v>denwaBangou:"080-5997-4206"</v>
      </c>
      <c r="J387" t="str" cm="1">
        <f t="array" aca="1" ref="J387" ca="1">CONCATENATE(INDIRECT(ADDRESS(1,10,1,0,"KeySet"),0),":","""",valueMaker!J387,"""")</f>
        <v>mailAddress:"Zhao_Cai_Jin_41329@outlook.jp.co"</v>
      </c>
      <c r="K387" t="str" cm="1">
        <f t="array" aca="1" ref="K387" ca="1">CONCATENATE(INDIRECT(ADDRESS(1,11,1,0,"KeySet"),0),":","""",valueMaker!K387,"""")</f>
        <v>kaninSyubetu:"高級"</v>
      </c>
      <c r="L387" t="str" cm="1">
        <f t="array" aca="1" ref="L387" ca="1">CONCATENATE(INDIRECT(ADDRESS(1,12,1,0,"KeySet"),0),":","""",valueMaker!L387,"""")</f>
        <v>kaninKengenWB:"有り"</v>
      </c>
      <c r="M387" t="str" cm="1">
        <f t="array" aca="1" ref="M387" ca="1">CONCATENATE(INDIRECT(ADDRESS(1,13,1,0,"KeySet"),0),":","""",valueMaker!M387,"""")</f>
        <v>wakibiri:"10%"</v>
      </c>
      <c r="N387" t="str" cm="1">
        <f t="array" aca="1" ref="N387" ca="1">CONCATENATE(INDIRECT(ADDRESS(1,14,1,0,"KeySet"),0),":","""",valueMaker!N387,"""")</f>
        <v>kaninKengenPoint:"有り"</v>
      </c>
      <c r="O387" t="str" cm="1">
        <f t="array" aca="1" ref="O387" ca="1">CONCATENATE(INDIRECT(ADDRESS(1,15,1,0,"KeySet"),0),":","""",valueMaker!O387,"""")</f>
        <v>point:"23"</v>
      </c>
      <c r="P387" t="str" cm="1">
        <f t="array" aca="1" ref="P387" ca="1">CONCATENATE(INDIRECT(ADDRESS(1,16,1,0,"KeySet"),0),":","""",valueMaker!P387,"""")</f>
        <v>bikou:""</v>
      </c>
    </row>
    <row r="388" spans="1:16">
      <c r="A388" t="str" cm="1">
        <f t="array" aca="1" ref="A388" ca="1">CONCATENATE(INDIRECT(ADDRESS(1,1,1,0,"KeySet"),0),":","""",valueMaker!A388,"""")</f>
        <v>kainBangou:"TD10387"</v>
      </c>
      <c r="B388" t="str" cm="1">
        <f t="array" aca="1" ref="B388" ca="1">CONCATENATE(INDIRECT(ADDRESS(1,2,1,0,"KeySet"),0),":","""",valueMaker!B388,"""")</f>
        <v>kainMeiKanji:"陳米慕"</v>
      </c>
      <c r="C388" t="str" cm="1">
        <f t="array" aca="1" ref="C388" ca="1">CONCATENATE(INDIRECT(ADDRESS(1,3,1,0,"KeySet"),0),":","""",valueMaker!C388,"""")</f>
        <v>kainMeiKana:"ﾁｪﾝ ﾐｰ ﾑｩ"</v>
      </c>
      <c r="D388" t="str" cm="1">
        <f t="array" aca="1" ref="D388" ca="1">CONCATENATE(INDIRECT(ADDRESS(1,4,1,0,"KeySet"),0),":","""",valueMaker!D388,"""")</f>
        <v>kainMeiEn:"Chen Mi Mu"</v>
      </c>
      <c r="E388" t="str" cm="1">
        <f t="array" aca="1" ref="E388" ca="1">CONCATENATE(INDIRECT(ADDRESS(1,5,1,0,"KeySet"),0),":","""",valueMaker!E388,"""")</f>
        <v>kainGender:"女性"</v>
      </c>
      <c r="F388" t="str" cm="1">
        <f t="array" aca="1" ref="F388" ca="1">CONCATENATE(INDIRECT(ADDRESS(1,6,1,0,"KeySet"),0),":","""",TEXT(valueMaker!F388,"yyyy/m/d"),"""")</f>
        <v>tanjyoubi:"1992/5/14"</v>
      </c>
      <c r="G388" t="str" cm="1">
        <f t="array" aca="1" ref="G388" ca="1">CONCATENATE(INDIRECT(ADDRESS(1,6,1,0,"KeySet"),0),":","""",TEXT(valueMaker!G388,"yyyy/m/d"),"""")</f>
        <v>tanjyoubi:"2024/6/3"</v>
      </c>
      <c r="H388" t="str" cm="1">
        <f t="array" aca="1" ref="H388" ca="1">CONCATENATE(INDIRECT(ADDRESS(1,6,1,0,"KeySet"),0),":","""",TEXT(valueMaker!H388,"yyyy/m/d"),"""")</f>
        <v>tanjyoubi:"2025/6/3"</v>
      </c>
      <c r="I388" t="str" cm="1">
        <f t="array" aca="1" ref="I388" ca="1">CONCATENATE(INDIRECT(ADDRESS(1,9,1,0,"KeySet"),0),":","""",valueMaker!I388,"""")</f>
        <v>denwaBangou:"090-9427-1643"</v>
      </c>
      <c r="J388" t="str" cm="1">
        <f t="array" aca="1" ref="J388" ca="1">CONCATENATE(INDIRECT(ADDRESS(1,10,1,0,"KeySet"),0),":","""",valueMaker!J388,"""")</f>
        <v>mailAddress:"Chen_Mi_Mu_45446@outlook.jp.co"</v>
      </c>
      <c r="K388" t="str" cm="1">
        <f t="array" aca="1" ref="K388" ca="1">CONCATENATE(INDIRECT(ADDRESS(1,11,1,0,"KeySet"),0),":","""",valueMaker!K388,"""")</f>
        <v>kaninSyubetu:"高級"</v>
      </c>
      <c r="L388" t="str" cm="1">
        <f t="array" aca="1" ref="L388" ca="1">CONCATENATE(INDIRECT(ADDRESS(1,12,1,0,"KeySet"),0),":","""",valueMaker!L388,"""")</f>
        <v>kaninKengenWB:"有り"</v>
      </c>
      <c r="M388" t="str" cm="1">
        <f t="array" aca="1" ref="M388" ca="1">CONCATENATE(INDIRECT(ADDRESS(1,13,1,0,"KeySet"),0),":","""",valueMaker!M388,"""")</f>
        <v>wakibiri:"10%"</v>
      </c>
      <c r="N388" t="str" cm="1">
        <f t="array" aca="1" ref="N388" ca="1">CONCATENATE(INDIRECT(ADDRESS(1,14,1,0,"KeySet"),0),":","""",valueMaker!N388,"""")</f>
        <v>kaninKengenPoint:"有り"</v>
      </c>
      <c r="O388" t="str" cm="1">
        <f t="array" aca="1" ref="O388" ca="1">CONCATENATE(INDIRECT(ADDRESS(1,15,1,0,"KeySet"),0),":","""",valueMaker!O388,"""")</f>
        <v>point:"281"</v>
      </c>
      <c r="P388" t="str" cm="1">
        <f t="array" aca="1" ref="P388" ca="1">CONCATENATE(INDIRECT(ADDRESS(1,16,1,0,"KeySet"),0),":","""",valueMaker!P388,"""")</f>
        <v>bikou:""</v>
      </c>
    </row>
    <row r="389" spans="1:16">
      <c r="A389" t="str" cm="1">
        <f t="array" aca="1" ref="A389" ca="1">CONCATENATE(INDIRECT(ADDRESS(1,1,1,0,"KeySet"),0),":","""",valueMaker!A389,"""")</f>
        <v>kainBangou:"TD10388"</v>
      </c>
      <c r="B389" t="str" cm="1">
        <f t="array" aca="1" ref="B389" ca="1">CONCATENATE(INDIRECT(ADDRESS(1,2,1,0,"KeySet"),0),":","""",valueMaker!B389,"""")</f>
        <v>kainMeiKanji:"唐巨峰"</v>
      </c>
      <c r="C389" t="str" cm="1">
        <f t="array" aca="1" ref="C389" ca="1">CONCATENATE(INDIRECT(ADDRESS(1,3,1,0,"KeySet"),0),":","""",valueMaker!C389,"""")</f>
        <v>kainMeiKana:"ﾀｰﾝ ｼﾞｭｲ ﾌｵﾝ"</v>
      </c>
      <c r="D389" t="str" cm="1">
        <f t="array" aca="1" ref="D389" ca="1">CONCATENATE(INDIRECT(ADDRESS(1,4,1,0,"KeySet"),0),":","""",valueMaker!D389,"""")</f>
        <v>kainMeiEn:"Tang Ju Feng"</v>
      </c>
      <c r="E389" t="str" cm="1">
        <f t="array" aca="1" ref="E389" ca="1">CONCATENATE(INDIRECT(ADDRESS(1,5,1,0,"KeySet"),0),":","""",valueMaker!E389,"""")</f>
        <v>kainGender:"男性"</v>
      </c>
      <c r="F389" t="str" cm="1">
        <f t="array" aca="1" ref="F389" ca="1">CONCATENATE(INDIRECT(ADDRESS(1,6,1,0,"KeySet"),0),":","""",TEXT(valueMaker!F389,"yyyy/m/d"),"""")</f>
        <v>tanjyoubi:"1990/5/17"</v>
      </c>
      <c r="G389" t="str" cm="1">
        <f t="array" aca="1" ref="G389" ca="1">CONCATENATE(INDIRECT(ADDRESS(1,6,1,0,"KeySet"),0),":","""",TEXT(valueMaker!G389,"yyyy/m/d"),"""")</f>
        <v>tanjyoubi:"2016/8/9"</v>
      </c>
      <c r="H389" t="str" cm="1">
        <f t="array" aca="1" ref="H389" ca="1">CONCATENATE(INDIRECT(ADDRESS(1,6,1,0,"KeySet"),0),":","""",TEXT(valueMaker!H389,"yyyy/m/d"),"""")</f>
        <v>tanjyoubi:"2019/8/9"</v>
      </c>
      <c r="I389" t="str" cm="1">
        <f t="array" aca="1" ref="I389" ca="1">CONCATENATE(INDIRECT(ADDRESS(1,9,1,0,"KeySet"),0),":","""",valueMaker!I389,"""")</f>
        <v>denwaBangou:"080-9983-5638"</v>
      </c>
      <c r="J389" t="str" cm="1">
        <f t="array" aca="1" ref="J389" ca="1">CONCATENATE(INDIRECT(ADDRESS(1,10,1,0,"KeySet"),0),":","""",valueMaker!J389,"""")</f>
        <v>mailAddress:"Tang_Ju_Feng_42591@outlook.jp.co"</v>
      </c>
      <c r="K389" t="str" cm="1">
        <f t="array" aca="1" ref="K389" ca="1">CONCATENATE(INDIRECT(ADDRESS(1,11,1,0,"KeySet"),0),":","""",valueMaker!K389,"""")</f>
        <v>kaninSyubetu:"普通"</v>
      </c>
      <c r="L389" t="str" cm="1">
        <f t="array" aca="1" ref="L389" ca="1">CONCATENATE(INDIRECT(ADDRESS(1,12,1,0,"KeySet"),0),":","""",valueMaker!L389,"""")</f>
        <v>kaninKengenWB:"有り"</v>
      </c>
      <c r="M389" t="str" cm="1">
        <f t="array" aca="1" ref="M389" ca="1">CONCATENATE(INDIRECT(ADDRESS(1,13,1,0,"KeySet"),0),":","""",valueMaker!M389,"""")</f>
        <v>wakibiri:"5%"</v>
      </c>
      <c r="N389" t="str" cm="1">
        <f t="array" aca="1" ref="N389" ca="1">CONCATENATE(INDIRECT(ADDRESS(1,14,1,0,"KeySet"),0),":","""",valueMaker!N389,"""")</f>
        <v>kaninKengenPoint:"-"</v>
      </c>
      <c r="O389" t="str" cm="1">
        <f t="array" aca="1" ref="O389" ca="1">CONCATENATE(INDIRECT(ADDRESS(1,15,1,0,"KeySet"),0),":","""",valueMaker!O389,"""")</f>
        <v>point:"-"</v>
      </c>
      <c r="P389" t="str" cm="1">
        <f t="array" aca="1" ref="P389" ca="1">CONCATENATE(INDIRECT(ADDRESS(1,16,1,0,"KeySet"),0),":","""",valueMaker!P389,"""")</f>
        <v>bikou:""</v>
      </c>
    </row>
    <row r="390" spans="1:16">
      <c r="A390" t="str" cm="1">
        <f t="array" aca="1" ref="A390" ca="1">CONCATENATE(INDIRECT(ADDRESS(1,1,1,0,"KeySet"),0),":","""",valueMaker!A390,"""")</f>
        <v>kainBangou:"TD10389"</v>
      </c>
      <c r="B390" t="str" cm="1">
        <f t="array" aca="1" ref="B390" ca="1">CONCATENATE(INDIRECT(ADDRESS(1,2,1,0,"KeySet"),0),":","""",valueMaker!B390,"""")</f>
        <v>kainMeiKanji:"羅軒荒"</v>
      </c>
      <c r="C390" t="str" cm="1">
        <f t="array" aca="1" ref="C390" ca="1">CONCATENATE(INDIRECT(ADDRESS(1,3,1,0,"KeySet"),0),":","""",valueMaker!C390,"""")</f>
        <v>kainMeiKana:"ﾙｵ ｼｭｴﾝ ﾎﾜｰﾝ"</v>
      </c>
      <c r="D390" t="str" cm="1">
        <f t="array" aca="1" ref="D390" ca="1">CONCATENATE(INDIRECT(ADDRESS(1,4,1,0,"KeySet"),0),":","""",valueMaker!D390,"""")</f>
        <v>kainMeiEn:"Luo Xuan Huang"</v>
      </c>
      <c r="E390" t="str" cm="1">
        <f t="array" aca="1" ref="E390" ca="1">CONCATENATE(INDIRECT(ADDRESS(1,5,1,0,"KeySet"),0),":","""",valueMaker!E390,"""")</f>
        <v>kainGender:"女性"</v>
      </c>
      <c r="F390" t="str" cm="1">
        <f t="array" aca="1" ref="F390" ca="1">CONCATENATE(INDIRECT(ADDRESS(1,6,1,0,"KeySet"),0),":","""",TEXT(valueMaker!F390,"yyyy/m/d"),"""")</f>
        <v>tanjyoubi:"1998/6/12"</v>
      </c>
      <c r="G390" t="str" cm="1">
        <f t="array" aca="1" ref="G390" ca="1">CONCATENATE(INDIRECT(ADDRESS(1,6,1,0,"KeySet"),0),":","""",TEXT(valueMaker!G390,"yyyy/m/d"),"""")</f>
        <v>tanjyoubi:"2019/4/1"</v>
      </c>
      <c r="H390" t="str" cm="1">
        <f t="array" aca="1" ref="H390" ca="1">CONCATENATE(INDIRECT(ADDRESS(1,6,1,0,"KeySet"),0),":","""",TEXT(valueMaker!H390,"yyyy/m/d"),"""")</f>
        <v>tanjyoubi:"2022/3/31"</v>
      </c>
      <c r="I390" t="str" cm="1">
        <f t="array" aca="1" ref="I390" ca="1">CONCATENATE(INDIRECT(ADDRESS(1,9,1,0,"KeySet"),0),":","""",valueMaker!I390,"""")</f>
        <v>denwaBangou:"090-4613-7826"</v>
      </c>
      <c r="J390" t="str" cm="1">
        <f t="array" aca="1" ref="J390" ca="1">CONCATENATE(INDIRECT(ADDRESS(1,10,1,0,"KeySet"),0),":","""",valueMaker!J390,"""")</f>
        <v>mailAddress:"Luo_Xuan_Huang_43556@outlook.jp.co"</v>
      </c>
      <c r="K390" t="str" cm="1">
        <f t="array" aca="1" ref="K390" ca="1">CONCATENATE(INDIRECT(ADDRESS(1,11,1,0,"KeySet"),0),":","""",valueMaker!K390,"""")</f>
        <v>kaninSyubetu:"普通"</v>
      </c>
      <c r="L390" t="str" cm="1">
        <f t="array" aca="1" ref="L390" ca="1">CONCATENATE(INDIRECT(ADDRESS(1,12,1,0,"KeySet"),0),":","""",valueMaker!L390,"""")</f>
        <v>kaninKengenWB:"有り"</v>
      </c>
      <c r="M390" t="str" cm="1">
        <f t="array" aca="1" ref="M390" ca="1">CONCATENATE(INDIRECT(ADDRESS(1,13,1,0,"KeySet"),0),":","""",valueMaker!M390,"""")</f>
        <v>wakibiri:"5%"</v>
      </c>
      <c r="N390" t="str" cm="1">
        <f t="array" aca="1" ref="N390" ca="1">CONCATENATE(INDIRECT(ADDRESS(1,14,1,0,"KeySet"),0),":","""",valueMaker!N390,"""")</f>
        <v>kaninKengenPoint:"有り"</v>
      </c>
      <c r="O390" t="str" cm="1">
        <f t="array" aca="1" ref="O390" ca="1">CONCATENATE(INDIRECT(ADDRESS(1,15,1,0,"KeySet"),0),":","""",valueMaker!O390,"""")</f>
        <v>point:"117"</v>
      </c>
      <c r="P390" t="str" cm="1">
        <f t="array" aca="1" ref="P390" ca="1">CONCATENATE(INDIRECT(ADDRESS(1,16,1,0,"KeySet"),0),":","""",valueMaker!P390,"""")</f>
        <v>bikou:""</v>
      </c>
    </row>
    <row r="391" spans="1:16">
      <c r="A391" t="str" cm="1">
        <f t="array" aca="1" ref="A391" ca="1">CONCATENATE(INDIRECT(ADDRESS(1,1,1,0,"KeySet"),0),":","""",valueMaker!A391,"""")</f>
        <v>kainBangou:"TD10390"</v>
      </c>
      <c r="B391" t="str" cm="1">
        <f t="array" aca="1" ref="B391" ca="1">CONCATENATE(INDIRECT(ADDRESS(1,2,1,0,"KeySet"),0),":","""",valueMaker!B391,"""")</f>
        <v>kainMeiKanji:"羅一貿"</v>
      </c>
      <c r="C391" t="str" cm="1">
        <f t="array" aca="1" ref="C391" ca="1">CONCATENATE(INDIRECT(ADDRESS(1,3,1,0,"KeySet"),0),":","""",valueMaker!C391,"""")</f>
        <v>kainMeiKana:"ﾙｵ ｲｰ ﾏｵ"</v>
      </c>
      <c r="D391" t="str" cm="1">
        <f t="array" aca="1" ref="D391" ca="1">CONCATENATE(INDIRECT(ADDRESS(1,4,1,0,"KeySet"),0),":","""",valueMaker!D391,"""")</f>
        <v>kainMeiEn:"Luo Yi Mao"</v>
      </c>
      <c r="E391" t="str" cm="1">
        <f t="array" aca="1" ref="E391" ca="1">CONCATENATE(INDIRECT(ADDRESS(1,5,1,0,"KeySet"),0),":","""",valueMaker!E391,"""")</f>
        <v>kainGender:"男性"</v>
      </c>
      <c r="F391" t="str" cm="1">
        <f t="array" aca="1" ref="F391" ca="1">CONCATENATE(INDIRECT(ADDRESS(1,6,1,0,"KeySet"),0),":","""",TEXT(valueMaker!F391,"yyyy/m/d"),"""")</f>
        <v>tanjyoubi:"1974/8/7"</v>
      </c>
      <c r="G391" t="str" cm="1">
        <f t="array" aca="1" ref="G391" ca="1">CONCATENATE(INDIRECT(ADDRESS(1,6,1,0,"KeySet"),0),":","""",TEXT(valueMaker!G391,"yyyy/m/d"),"""")</f>
        <v>tanjyoubi:"2000/7/23"</v>
      </c>
      <c r="H391" t="str" cm="1">
        <f t="array" aca="1" ref="H391" ca="1">CONCATENATE(INDIRECT(ADDRESS(1,6,1,0,"KeySet"),0),":","""",TEXT(valueMaker!H391,"yyyy/m/d"),"""")</f>
        <v>tanjyoubi:"2001/7/23"</v>
      </c>
      <c r="I391" t="str" cm="1">
        <f t="array" aca="1" ref="I391" ca="1">CONCATENATE(INDIRECT(ADDRESS(1,9,1,0,"KeySet"),0),":","""",valueMaker!I391,"""")</f>
        <v>denwaBangou:"090-8602-0996"</v>
      </c>
      <c r="J391" t="str" cm="1">
        <f t="array" aca="1" ref="J391" ca="1">CONCATENATE(INDIRECT(ADDRESS(1,10,1,0,"KeySet"),0),":","""",valueMaker!J391,"""")</f>
        <v>mailAddress:"Luo_Yi_Mao_36730@outlook.jp.co"</v>
      </c>
      <c r="K391" t="str" cm="1">
        <f t="array" aca="1" ref="K391" ca="1">CONCATENATE(INDIRECT(ADDRESS(1,11,1,0,"KeySet"),0),":","""",valueMaker!K391,"""")</f>
        <v>kaninSyubetu:"普通"</v>
      </c>
      <c r="L391" t="str" cm="1">
        <f t="array" aca="1" ref="L391" ca="1">CONCATENATE(INDIRECT(ADDRESS(1,12,1,0,"KeySet"),0),":","""",valueMaker!L391,"""")</f>
        <v>kaninKengenWB:"-"</v>
      </c>
      <c r="M391" t="str" cm="1">
        <f t="array" aca="1" ref="M391" ca="1">CONCATENATE(INDIRECT(ADDRESS(1,13,1,0,"KeySet"),0),":","""",valueMaker!M391,"""")</f>
        <v>wakibiri:"-"</v>
      </c>
      <c r="N391" t="str" cm="1">
        <f t="array" aca="1" ref="N391" ca="1">CONCATENATE(INDIRECT(ADDRESS(1,14,1,0,"KeySet"),0),":","""",valueMaker!N391,"""")</f>
        <v>kaninKengenPoint:"有り"</v>
      </c>
      <c r="O391" t="str" cm="1">
        <f t="array" aca="1" ref="O391" ca="1">CONCATENATE(INDIRECT(ADDRESS(1,15,1,0,"KeySet"),0),":","""",valueMaker!O391,"""")</f>
        <v>point:"621"</v>
      </c>
      <c r="P391" t="str" cm="1">
        <f t="array" aca="1" ref="P391" ca="1">CONCATENATE(INDIRECT(ADDRESS(1,16,1,0,"KeySet"),0),":","""",valueMaker!P391,"""")</f>
        <v>bikou:""</v>
      </c>
    </row>
    <row r="392" spans="1:16">
      <c r="A392" t="str" cm="1">
        <f t="array" aca="1" ref="A392" ca="1">CONCATENATE(INDIRECT(ADDRESS(1,1,1,0,"KeySet"),0),":","""",valueMaker!A392,"""")</f>
        <v>kainBangou:"TD10391"</v>
      </c>
      <c r="B392" t="str" cm="1">
        <f t="array" aca="1" ref="B392" ca="1">CONCATENATE(INDIRECT(ADDRESS(1,2,1,0,"KeySet"),0),":","""",valueMaker!B392,"""")</f>
        <v>kainMeiKanji:"王媛雲"</v>
      </c>
      <c r="C392" t="str" cm="1">
        <f t="array" aca="1" ref="C392" ca="1">CONCATENATE(INDIRECT(ADDRESS(1,3,1,0,"KeySet"),0),":","""",valueMaker!C392,"""")</f>
        <v>kainMeiKana:"ﾜｰﾝ ﾕｴﾝ ﾕｲﾝ"</v>
      </c>
      <c r="D392" t="str" cm="1">
        <f t="array" aca="1" ref="D392" ca="1">CONCATENATE(INDIRECT(ADDRESS(1,4,1,0,"KeySet"),0),":","""",valueMaker!D392,"""")</f>
        <v>kainMeiEn:"Wang Yuan Yun"</v>
      </c>
      <c r="E392" t="str" cm="1">
        <f t="array" aca="1" ref="E392" ca="1">CONCATENATE(INDIRECT(ADDRESS(1,5,1,0,"KeySet"),0),":","""",valueMaker!E392,"""")</f>
        <v>kainGender:"女性"</v>
      </c>
      <c r="F392" t="str" cm="1">
        <f t="array" aca="1" ref="F392" ca="1">CONCATENATE(INDIRECT(ADDRESS(1,6,1,0,"KeySet"),0),":","""",TEXT(valueMaker!F392,"yyyy/m/d"),"""")</f>
        <v>tanjyoubi:"1997/3/11"</v>
      </c>
      <c r="G392" t="str" cm="1">
        <f t="array" aca="1" ref="G392" ca="1">CONCATENATE(INDIRECT(ADDRESS(1,6,1,0,"KeySet"),0),":","""",TEXT(valueMaker!G392,"yyyy/m/d"),"""")</f>
        <v>tanjyoubi:"2017/6/7"</v>
      </c>
      <c r="H392" t="str" cm="1">
        <f t="array" aca="1" ref="H392" ca="1">CONCATENATE(INDIRECT(ADDRESS(1,6,1,0,"KeySet"),0),":","""",TEXT(valueMaker!H392,"yyyy/m/d"),"""")</f>
        <v>tanjyoubi:"2019/6/7"</v>
      </c>
      <c r="I392" t="str" cm="1">
        <f t="array" aca="1" ref="I392" ca="1">CONCATENATE(INDIRECT(ADDRESS(1,9,1,0,"KeySet"),0),":","""",valueMaker!I392,"""")</f>
        <v>denwaBangou:"090-2116-4519"</v>
      </c>
      <c r="J392" t="str" cm="1">
        <f t="array" aca="1" ref="J392" ca="1">CONCATENATE(INDIRECT(ADDRESS(1,10,1,0,"KeySet"),0),":","""",valueMaker!J392,"""")</f>
        <v>mailAddress:"Wang_Yuan_Yun_42893@outlook.jp.co"</v>
      </c>
      <c r="K392" t="str" cm="1">
        <f t="array" aca="1" ref="K392" ca="1">CONCATENATE(INDIRECT(ADDRESS(1,11,1,0,"KeySet"),0),":","""",valueMaker!K392,"""")</f>
        <v>kaninSyubetu:"普通"</v>
      </c>
      <c r="L392" t="str" cm="1">
        <f t="array" aca="1" ref="L392" ca="1">CONCATENATE(INDIRECT(ADDRESS(1,12,1,0,"KeySet"),0),":","""",valueMaker!L392,"""")</f>
        <v>kaninKengenWB:"有り"</v>
      </c>
      <c r="M392" t="str" cm="1">
        <f t="array" aca="1" ref="M392" ca="1">CONCATENATE(INDIRECT(ADDRESS(1,13,1,0,"KeySet"),0),":","""",valueMaker!M392,"""")</f>
        <v>wakibiri:"5%"</v>
      </c>
      <c r="N392" t="str" cm="1">
        <f t="array" aca="1" ref="N392" ca="1">CONCATENATE(INDIRECT(ADDRESS(1,14,1,0,"KeySet"),0),":","""",valueMaker!N392,"""")</f>
        <v>kaninKengenPoint:"有り"</v>
      </c>
      <c r="O392" t="str" cm="1">
        <f t="array" aca="1" ref="O392" ca="1">CONCATENATE(INDIRECT(ADDRESS(1,15,1,0,"KeySet"),0),":","""",valueMaker!O392,"""")</f>
        <v>point:"261"</v>
      </c>
      <c r="P392" t="str" cm="1">
        <f t="array" aca="1" ref="P392" ca="1">CONCATENATE(INDIRECT(ADDRESS(1,16,1,0,"KeySet"),0),":","""",valueMaker!P392,"""")</f>
        <v>bikou:""</v>
      </c>
    </row>
    <row r="393" spans="1:16">
      <c r="A393" t="str" cm="1">
        <f t="array" aca="1" ref="A393" ca="1">CONCATENATE(INDIRECT(ADDRESS(1,1,1,0,"KeySet"),0),":","""",valueMaker!A393,"""")</f>
        <v>kainBangou:"TD10392"</v>
      </c>
      <c r="B393" t="str" cm="1">
        <f t="array" aca="1" ref="B393" ca="1">CONCATENATE(INDIRECT(ADDRESS(1,2,1,0,"KeySet"),0),":","""",valueMaker!B393,"""")</f>
        <v>kainMeiKanji:"劉至凡"</v>
      </c>
      <c r="C393" t="str" cm="1">
        <f t="array" aca="1" ref="C393" ca="1">CONCATENATE(INDIRECT(ADDRESS(1,3,1,0,"KeySet"),0),":","""",valueMaker!C393,"""")</f>
        <v>kainMeiKana:"ﾘｳ ｼﾞｰ ﾌｧﾝ"</v>
      </c>
      <c r="D393" t="str" cm="1">
        <f t="array" aca="1" ref="D393" ca="1">CONCATENATE(INDIRECT(ADDRESS(1,4,1,0,"KeySet"),0),":","""",valueMaker!D393,"""")</f>
        <v>kainMeiEn:"Liu Zhi Fan"</v>
      </c>
      <c r="E393" t="str" cm="1">
        <f t="array" aca="1" ref="E393" ca="1">CONCATENATE(INDIRECT(ADDRESS(1,5,1,0,"KeySet"),0),":","""",valueMaker!E393,"""")</f>
        <v>kainGender:"女性"</v>
      </c>
      <c r="F393" t="str" cm="1">
        <f t="array" aca="1" ref="F393" ca="1">CONCATENATE(INDIRECT(ADDRESS(1,6,1,0,"KeySet"),0),":","""",TEXT(valueMaker!F393,"yyyy/m/d"),"""")</f>
        <v>tanjyoubi:"1970/5/29"</v>
      </c>
      <c r="G393" t="str" cm="1">
        <f t="array" aca="1" ref="G393" ca="1">CONCATENATE(INDIRECT(ADDRESS(1,6,1,0,"KeySet"),0),":","""",TEXT(valueMaker!G393,"yyyy/m/d"),"""")</f>
        <v>tanjyoubi:"2024/4/5"</v>
      </c>
      <c r="H393" t="str" cm="1">
        <f t="array" aca="1" ref="H393" ca="1">CONCATENATE(INDIRECT(ADDRESS(1,6,1,0,"KeySet"),0),":","""",TEXT(valueMaker!H393,"yyyy/m/d"),"""")</f>
        <v>tanjyoubi:"2027/4/5"</v>
      </c>
      <c r="I393" t="str" cm="1">
        <f t="array" aca="1" ref="I393" ca="1">CONCATENATE(INDIRECT(ADDRESS(1,9,1,0,"KeySet"),0),":","""",valueMaker!I393,"""")</f>
        <v>denwaBangou:"090-0316-9386"</v>
      </c>
      <c r="J393" t="str" cm="1">
        <f t="array" aca="1" ref="J393" ca="1">CONCATENATE(INDIRECT(ADDRESS(1,10,1,0,"KeySet"),0),":","""",valueMaker!J393,"""")</f>
        <v>mailAddress:"Liu_Zhi_Fan_45387@outlook.jp.co"</v>
      </c>
      <c r="K393" t="str" cm="1">
        <f t="array" aca="1" ref="K393" ca="1">CONCATENATE(INDIRECT(ADDRESS(1,11,1,0,"KeySet"),0),":","""",valueMaker!K393,"""")</f>
        <v>kaninSyubetu:"高級"</v>
      </c>
      <c r="L393" t="str" cm="1">
        <f t="array" aca="1" ref="L393" ca="1">CONCATENATE(INDIRECT(ADDRESS(1,12,1,0,"KeySet"),0),":","""",valueMaker!L393,"""")</f>
        <v>kaninKengenWB:"有り"</v>
      </c>
      <c r="M393" t="str" cm="1">
        <f t="array" aca="1" ref="M393" ca="1">CONCATENATE(INDIRECT(ADDRESS(1,13,1,0,"KeySet"),0),":","""",valueMaker!M393,"""")</f>
        <v>wakibiri:"10%"</v>
      </c>
      <c r="N393" t="str" cm="1">
        <f t="array" aca="1" ref="N393" ca="1">CONCATENATE(INDIRECT(ADDRESS(1,14,1,0,"KeySet"),0),":","""",valueMaker!N393,"""")</f>
        <v>kaninKengenPoint:"-"</v>
      </c>
      <c r="O393" t="str" cm="1">
        <f t="array" aca="1" ref="O393" ca="1">CONCATENATE(INDIRECT(ADDRESS(1,15,1,0,"KeySet"),0),":","""",valueMaker!O393,"""")</f>
        <v>point:"-"</v>
      </c>
      <c r="P393" t="str" cm="1">
        <f t="array" aca="1" ref="P393" ca="1">CONCATENATE(INDIRECT(ADDRESS(1,16,1,0,"KeySet"),0),":","""",valueMaker!P393,"""")</f>
        <v>bikou:""</v>
      </c>
    </row>
    <row r="394" spans="1:16">
      <c r="A394" t="str" cm="1">
        <f t="array" aca="1" ref="A394" ca="1">CONCATENATE(INDIRECT(ADDRESS(1,1,1,0,"KeySet"),0),":","""",valueMaker!A394,"""")</f>
        <v>kainBangou:"TD10393"</v>
      </c>
      <c r="B394" t="str" cm="1">
        <f t="array" aca="1" ref="B394" ca="1">CONCATENATE(INDIRECT(ADDRESS(1,2,1,0,"KeySet"),0),":","""",valueMaker!B394,"""")</f>
        <v>kainMeiKanji:"唐曲佳"</v>
      </c>
      <c r="C394" t="str" cm="1">
        <f t="array" aca="1" ref="C394" ca="1">CONCATENATE(INDIRECT(ADDRESS(1,3,1,0,"KeySet"),0),":","""",valueMaker!C394,"""")</f>
        <v>kainMeiKana:"ﾀｰﾝ ﾁｭｲ ｼﾞｱ"</v>
      </c>
      <c r="D394" t="str" cm="1">
        <f t="array" aca="1" ref="D394" ca="1">CONCATENATE(INDIRECT(ADDRESS(1,4,1,0,"KeySet"),0),":","""",valueMaker!D394,"""")</f>
        <v>kainMeiEn:"Tang Qu Jia"</v>
      </c>
      <c r="E394" t="str" cm="1">
        <f t="array" aca="1" ref="E394" ca="1">CONCATENATE(INDIRECT(ADDRESS(1,5,1,0,"KeySet"),0),":","""",valueMaker!E394,"""")</f>
        <v>kainGender:"女性"</v>
      </c>
      <c r="F394" t="str" cm="1">
        <f t="array" aca="1" ref="F394" ca="1">CONCATENATE(INDIRECT(ADDRESS(1,6,1,0,"KeySet"),0),":","""",TEXT(valueMaker!F394,"yyyy/m/d"),"""")</f>
        <v>tanjyoubi:"1974/11/10"</v>
      </c>
      <c r="G394" t="str" cm="1">
        <f t="array" aca="1" ref="G394" ca="1">CONCATENATE(INDIRECT(ADDRESS(1,6,1,0,"KeySet"),0),":","""",TEXT(valueMaker!G394,"yyyy/m/d"),"""")</f>
        <v>tanjyoubi:"2005/11/2"</v>
      </c>
      <c r="H394" t="str" cm="1">
        <f t="array" aca="1" ref="H394" ca="1">CONCATENATE(INDIRECT(ADDRESS(1,6,1,0,"KeySet"),0),":","""",TEXT(valueMaker!H394,"yyyy/m/d"),"""")</f>
        <v>tanjyoubi:"2006/11/2"</v>
      </c>
      <c r="I394" t="str" cm="1">
        <f t="array" aca="1" ref="I394" ca="1">CONCATENATE(INDIRECT(ADDRESS(1,9,1,0,"KeySet"),0),":","""",valueMaker!I394,"""")</f>
        <v>denwaBangou:"090-5746-1922"</v>
      </c>
      <c r="J394" t="str" cm="1">
        <f t="array" aca="1" ref="J394" ca="1">CONCATENATE(INDIRECT(ADDRESS(1,10,1,0,"KeySet"),0),":","""",valueMaker!J394,"""")</f>
        <v>mailAddress:"Tang_Qu_Jia_38658@outlook.jp.co"</v>
      </c>
      <c r="K394" t="str" cm="1">
        <f t="array" aca="1" ref="K394" ca="1">CONCATENATE(INDIRECT(ADDRESS(1,11,1,0,"KeySet"),0),":","""",valueMaker!K394,"""")</f>
        <v>kaninSyubetu:"高級"</v>
      </c>
      <c r="L394" t="str" cm="1">
        <f t="array" aca="1" ref="L394" ca="1">CONCATENATE(INDIRECT(ADDRESS(1,12,1,0,"KeySet"),0),":","""",valueMaker!L394,"""")</f>
        <v>kaninKengenWB:"有り"</v>
      </c>
      <c r="M394" t="str" cm="1">
        <f t="array" aca="1" ref="M394" ca="1">CONCATENATE(INDIRECT(ADDRESS(1,13,1,0,"KeySet"),0),":","""",valueMaker!M394,"""")</f>
        <v>wakibiri:"10%"</v>
      </c>
      <c r="N394" t="str" cm="1">
        <f t="array" aca="1" ref="N394" ca="1">CONCATENATE(INDIRECT(ADDRESS(1,14,1,0,"KeySet"),0),":","""",valueMaker!N394,"""")</f>
        <v>kaninKengenPoint:"-"</v>
      </c>
      <c r="O394" t="str" cm="1">
        <f t="array" aca="1" ref="O394" ca="1">CONCATENATE(INDIRECT(ADDRESS(1,15,1,0,"KeySet"),0),":","""",valueMaker!O394,"""")</f>
        <v>point:"-"</v>
      </c>
      <c r="P394" t="str" cm="1">
        <f t="array" aca="1" ref="P394" ca="1">CONCATENATE(INDIRECT(ADDRESS(1,16,1,0,"KeySet"),0),":","""",valueMaker!P394,"""")</f>
        <v>bikou:""</v>
      </c>
    </row>
    <row r="395" spans="1:16">
      <c r="A395" t="str" cm="1">
        <f t="array" aca="1" ref="A395" ca="1">CONCATENATE(INDIRECT(ADDRESS(1,1,1,0,"KeySet"),0),":","""",valueMaker!A395,"""")</f>
        <v>kainBangou:"TD10394"</v>
      </c>
      <c r="B395" t="str" cm="1">
        <f t="array" aca="1" ref="B395" ca="1">CONCATENATE(INDIRECT(ADDRESS(1,2,1,0,"KeySet"),0),":","""",valueMaker!B395,"""")</f>
        <v>kainMeiKanji:"陳超萬"</v>
      </c>
      <c r="C395" t="str" cm="1">
        <f t="array" aca="1" ref="C395" ca="1">CONCATENATE(INDIRECT(ADDRESS(1,3,1,0,"KeySet"),0),":","""",valueMaker!C395,"""")</f>
        <v>kainMeiKana:"ﾁｪﾝ ﾁｬｵ ﾜﾝ"</v>
      </c>
      <c r="D395" t="str" cm="1">
        <f t="array" aca="1" ref="D395" ca="1">CONCATENATE(INDIRECT(ADDRESS(1,4,1,0,"KeySet"),0),":","""",valueMaker!D395,"""")</f>
        <v>kainMeiEn:"Chen Chao Wan"</v>
      </c>
      <c r="E395" t="str" cm="1">
        <f t="array" aca="1" ref="E395" ca="1">CONCATENATE(INDIRECT(ADDRESS(1,5,1,0,"KeySet"),0),":","""",valueMaker!E395,"""")</f>
        <v>kainGender:"女性"</v>
      </c>
      <c r="F395" t="str" cm="1">
        <f t="array" aca="1" ref="F395" ca="1">CONCATENATE(INDIRECT(ADDRESS(1,6,1,0,"KeySet"),0),":","""",TEXT(valueMaker!F395,"yyyy/m/d"),"""")</f>
        <v>tanjyoubi:"1974/5/11"</v>
      </c>
      <c r="G395" t="str" cm="1">
        <f t="array" aca="1" ref="G395" ca="1">CONCATENATE(INDIRECT(ADDRESS(1,6,1,0,"KeySet"),0),":","""",TEXT(valueMaker!G395,"yyyy/m/d"),"""")</f>
        <v>tanjyoubi:"2019/6/8"</v>
      </c>
      <c r="H395" t="str" cm="1">
        <f t="array" aca="1" ref="H395" ca="1">CONCATENATE(INDIRECT(ADDRESS(1,6,1,0,"KeySet"),0),":","""",TEXT(valueMaker!H395,"yyyy/m/d"),"""")</f>
        <v>tanjyoubi:"2020/6/7"</v>
      </c>
      <c r="I395" t="str" cm="1">
        <f t="array" aca="1" ref="I395" ca="1">CONCATENATE(INDIRECT(ADDRESS(1,9,1,0,"KeySet"),0),":","""",valueMaker!I395,"""")</f>
        <v>denwaBangou:"080-7669-3844"</v>
      </c>
      <c r="J395" t="str" cm="1">
        <f t="array" aca="1" ref="J395" ca="1">CONCATENATE(INDIRECT(ADDRESS(1,10,1,0,"KeySet"),0),":","""",valueMaker!J395,"""")</f>
        <v>mailAddress:"Chen_Chao_Wan_43624@outlook.jp.co"</v>
      </c>
      <c r="K395" t="str" cm="1">
        <f t="array" aca="1" ref="K395" ca="1">CONCATENATE(INDIRECT(ADDRESS(1,11,1,0,"KeySet"),0),":","""",valueMaker!K395,"""")</f>
        <v>kaninSyubetu:"高級"</v>
      </c>
      <c r="L395" t="str" cm="1">
        <f t="array" aca="1" ref="L395" ca="1">CONCATENATE(INDIRECT(ADDRESS(1,12,1,0,"KeySet"),0),":","""",valueMaker!L395,"""")</f>
        <v>kaninKengenWB:"有り"</v>
      </c>
      <c r="M395" t="str" cm="1">
        <f t="array" aca="1" ref="M395" ca="1">CONCATENATE(INDIRECT(ADDRESS(1,13,1,0,"KeySet"),0),":","""",valueMaker!M395,"""")</f>
        <v>wakibiri:"10%"</v>
      </c>
      <c r="N395" t="str" cm="1">
        <f t="array" aca="1" ref="N395" ca="1">CONCATENATE(INDIRECT(ADDRESS(1,14,1,0,"KeySet"),0),":","""",valueMaker!N395,"""")</f>
        <v>kaninKengenPoint:"有り"</v>
      </c>
      <c r="O395" t="str" cm="1">
        <f t="array" aca="1" ref="O395" ca="1">CONCATENATE(INDIRECT(ADDRESS(1,15,1,0,"KeySet"),0),":","""",valueMaker!O395,"""")</f>
        <v>point:"924"</v>
      </c>
      <c r="P395" t="str" cm="1">
        <f t="array" aca="1" ref="P395" ca="1">CONCATENATE(INDIRECT(ADDRESS(1,16,1,0,"KeySet"),0),":","""",valueMaker!P395,"""")</f>
        <v>bikou:""</v>
      </c>
    </row>
    <row r="396" spans="1:16">
      <c r="A396" t="str" cm="1">
        <f t="array" aca="1" ref="A396" ca="1">CONCATENATE(INDIRECT(ADDRESS(1,1,1,0,"KeySet"),0),":","""",valueMaker!A396,"""")</f>
        <v>kainBangou:"TD10395"</v>
      </c>
      <c r="B396" t="str" cm="1">
        <f t="array" aca="1" ref="B396" ca="1">CONCATENATE(INDIRECT(ADDRESS(1,2,1,0,"KeySet"),0),":","""",valueMaker!B396,"""")</f>
        <v>kainMeiKanji:"吳耿晏"</v>
      </c>
      <c r="C396" t="str" cm="1">
        <f t="array" aca="1" ref="C396" ca="1">CONCATENATE(INDIRECT(ADDRESS(1,3,1,0,"KeySet"),0),":","""",valueMaker!C396,"""")</f>
        <v>kainMeiKana:"ｳｰ ｸﾞｵﾝ ｲｴﾝ"</v>
      </c>
      <c r="D396" t="str" cm="1">
        <f t="array" aca="1" ref="D396" ca="1">CONCATENATE(INDIRECT(ADDRESS(1,4,1,0,"KeySet"),0),":","""",valueMaker!D396,"""")</f>
        <v>kainMeiEn:"Wu Geng Yan"</v>
      </c>
      <c r="E396" t="str" cm="1">
        <f t="array" aca="1" ref="E396" ca="1">CONCATENATE(INDIRECT(ADDRESS(1,5,1,0,"KeySet"),0),":","""",valueMaker!E396,"""")</f>
        <v>kainGender:"男性"</v>
      </c>
      <c r="F396" t="str" cm="1">
        <f t="array" aca="1" ref="F396" ca="1">CONCATENATE(INDIRECT(ADDRESS(1,6,1,0,"KeySet"),0),":","""",TEXT(valueMaker!F396,"yyyy/m/d"),"""")</f>
        <v>tanjyoubi:"1993/12/26"</v>
      </c>
      <c r="G396" t="str" cm="1">
        <f t="array" aca="1" ref="G396" ca="1">CONCATENATE(INDIRECT(ADDRESS(1,6,1,0,"KeySet"),0),":","""",TEXT(valueMaker!G396,"yyyy/m/d"),"""")</f>
        <v>tanjyoubi:"2023/12/22"</v>
      </c>
      <c r="H396" t="str" cm="1">
        <f t="array" aca="1" ref="H396" ca="1">CONCATENATE(INDIRECT(ADDRESS(1,6,1,0,"KeySet"),0),":","""",TEXT(valueMaker!H396,"yyyy/m/d"),"""")</f>
        <v>tanjyoubi:"2025/12/21"</v>
      </c>
      <c r="I396" t="str" cm="1">
        <f t="array" aca="1" ref="I396" ca="1">CONCATENATE(INDIRECT(ADDRESS(1,9,1,0,"KeySet"),0),":","""",valueMaker!I396,"""")</f>
        <v>denwaBangou:"090-2567-4612"</v>
      </c>
      <c r="J396" t="str" cm="1">
        <f t="array" aca="1" ref="J396" ca="1">CONCATENATE(INDIRECT(ADDRESS(1,10,1,0,"KeySet"),0),":","""",valueMaker!J396,"""")</f>
        <v>mailAddress:"Wu_Geng_Yan_45282@outlook.jp.co"</v>
      </c>
      <c r="K396" t="str" cm="1">
        <f t="array" aca="1" ref="K396" ca="1">CONCATENATE(INDIRECT(ADDRESS(1,11,1,0,"KeySet"),0),":","""",valueMaker!K396,"""")</f>
        <v>kaninSyubetu:"高級"</v>
      </c>
      <c r="L396" t="str" cm="1">
        <f t="array" aca="1" ref="L396" ca="1">CONCATENATE(INDIRECT(ADDRESS(1,12,1,0,"KeySet"),0),":","""",valueMaker!L396,"""")</f>
        <v>kaninKengenWB:"有り"</v>
      </c>
      <c r="M396" t="str" cm="1">
        <f t="array" aca="1" ref="M396" ca="1">CONCATENATE(INDIRECT(ADDRESS(1,13,1,0,"KeySet"),0),":","""",valueMaker!M396,"""")</f>
        <v>wakibiri:"10%"</v>
      </c>
      <c r="N396" t="str" cm="1">
        <f t="array" aca="1" ref="N396" ca="1">CONCATENATE(INDIRECT(ADDRESS(1,14,1,0,"KeySet"),0),":","""",valueMaker!N396,"""")</f>
        <v>kaninKengenPoint:"有り"</v>
      </c>
      <c r="O396" t="str" cm="1">
        <f t="array" aca="1" ref="O396" ca="1">CONCATENATE(INDIRECT(ADDRESS(1,15,1,0,"KeySet"),0),":","""",valueMaker!O396,"""")</f>
        <v>point:"48"</v>
      </c>
      <c r="P396" t="str" cm="1">
        <f t="array" aca="1" ref="P396" ca="1">CONCATENATE(INDIRECT(ADDRESS(1,16,1,0,"KeySet"),0),":","""",valueMaker!P396,"""")</f>
        <v>bikou:""</v>
      </c>
    </row>
    <row r="397" spans="1:16">
      <c r="A397" t="str" cm="1">
        <f t="array" aca="1" ref="A397" ca="1">CONCATENATE(INDIRECT(ADDRESS(1,1,1,0,"KeySet"),0),":","""",valueMaker!A397,"""")</f>
        <v>kainBangou:"TD10396"</v>
      </c>
      <c r="B397" t="str" cm="1">
        <f t="array" aca="1" ref="B397" ca="1">CONCATENATE(INDIRECT(ADDRESS(1,2,1,0,"KeySet"),0),":","""",valueMaker!B397,"""")</f>
        <v>kainMeiKanji:"高美貿"</v>
      </c>
      <c r="C397" t="str" cm="1">
        <f t="array" aca="1" ref="C397" ca="1">CONCATENATE(INDIRECT(ADDRESS(1,3,1,0,"KeySet"),0),":","""",valueMaker!C397,"""")</f>
        <v>kainMeiKana:"ｶﾞｵ ﾒｲ ﾏｵ"</v>
      </c>
      <c r="D397" t="str" cm="1">
        <f t="array" aca="1" ref="D397" ca="1">CONCATENATE(INDIRECT(ADDRESS(1,4,1,0,"KeySet"),0),":","""",valueMaker!D397,"""")</f>
        <v>kainMeiEn:"Gao Mei Mao"</v>
      </c>
      <c r="E397" t="str" cm="1">
        <f t="array" aca="1" ref="E397" ca="1">CONCATENATE(INDIRECT(ADDRESS(1,5,1,0,"KeySet"),0),":","""",valueMaker!E397,"""")</f>
        <v>kainGender:"女性"</v>
      </c>
      <c r="F397" t="str" cm="1">
        <f t="array" aca="1" ref="F397" ca="1">CONCATENATE(INDIRECT(ADDRESS(1,6,1,0,"KeySet"),0),":","""",TEXT(valueMaker!F397,"yyyy/m/d"),"""")</f>
        <v>tanjyoubi:"1974/12/26"</v>
      </c>
      <c r="G397" t="str" cm="1">
        <f t="array" aca="1" ref="G397" ca="1">CONCATENATE(INDIRECT(ADDRESS(1,6,1,0,"KeySet"),0),":","""",TEXT(valueMaker!G397,"yyyy/m/d"),"""")</f>
        <v>tanjyoubi:"2019/11/15"</v>
      </c>
      <c r="H397" t="str" cm="1">
        <f t="array" aca="1" ref="H397" ca="1">CONCATENATE(INDIRECT(ADDRESS(1,6,1,0,"KeySet"),0),":","""",TEXT(valueMaker!H397,"yyyy/m/d"),"""")</f>
        <v>tanjyoubi:"2022/11/14"</v>
      </c>
      <c r="I397" t="str" cm="1">
        <f t="array" aca="1" ref="I397" ca="1">CONCATENATE(INDIRECT(ADDRESS(1,9,1,0,"KeySet"),0),":","""",valueMaker!I397,"""")</f>
        <v>denwaBangou:"090-1328-6359"</v>
      </c>
      <c r="J397" t="str" cm="1">
        <f t="array" aca="1" ref="J397" ca="1">CONCATENATE(INDIRECT(ADDRESS(1,10,1,0,"KeySet"),0),":","""",valueMaker!J397,"""")</f>
        <v>mailAddress:"Gao_Mei_Mao_43784@outlook.jp.co"</v>
      </c>
      <c r="K397" t="str" cm="1">
        <f t="array" aca="1" ref="K397" ca="1">CONCATENATE(INDIRECT(ADDRESS(1,11,1,0,"KeySet"),0),":","""",valueMaker!K397,"""")</f>
        <v>kaninSyubetu:"普通"</v>
      </c>
      <c r="L397" t="str" cm="1">
        <f t="array" aca="1" ref="L397" ca="1">CONCATENATE(INDIRECT(ADDRESS(1,12,1,0,"KeySet"),0),":","""",valueMaker!L397,"""")</f>
        <v>kaninKengenWB:"-"</v>
      </c>
      <c r="M397" t="str" cm="1">
        <f t="array" aca="1" ref="M397" ca="1">CONCATENATE(INDIRECT(ADDRESS(1,13,1,0,"KeySet"),0),":","""",valueMaker!M397,"""")</f>
        <v>wakibiri:"-"</v>
      </c>
      <c r="N397" t="str" cm="1">
        <f t="array" aca="1" ref="N397" ca="1">CONCATENATE(INDIRECT(ADDRESS(1,14,1,0,"KeySet"),0),":","""",valueMaker!N397,"""")</f>
        <v>kaninKengenPoint:"有り"</v>
      </c>
      <c r="O397" t="str" cm="1">
        <f t="array" aca="1" ref="O397" ca="1">CONCATENATE(INDIRECT(ADDRESS(1,15,1,0,"KeySet"),0),":","""",valueMaker!O397,"""")</f>
        <v>point:"452"</v>
      </c>
      <c r="P397" t="str" cm="1">
        <f t="array" aca="1" ref="P397" ca="1">CONCATENATE(INDIRECT(ADDRESS(1,16,1,0,"KeySet"),0),":","""",valueMaker!P397,"""")</f>
        <v>bikou:""</v>
      </c>
    </row>
    <row r="398" spans="1:16">
      <c r="A398" t="str" cm="1">
        <f t="array" aca="1" ref="A398" ca="1">CONCATENATE(INDIRECT(ADDRESS(1,1,1,0,"KeySet"),0),":","""",valueMaker!A398,"""")</f>
        <v>kainBangou:"TD10397"</v>
      </c>
      <c r="B398" t="str" cm="1">
        <f t="array" aca="1" ref="B398" ca="1">CONCATENATE(INDIRECT(ADDRESS(1,2,1,0,"KeySet"),0),":","""",valueMaker!B398,"""")</f>
        <v>kainMeiKanji:"馮忠本"</v>
      </c>
      <c r="C398" t="str" cm="1">
        <f t="array" aca="1" ref="C398" ca="1">CONCATENATE(INDIRECT(ADDRESS(1,3,1,0,"KeySet"),0),":","""",valueMaker!C398,"""")</f>
        <v>kainMeiKana:"ﾌｵﾝ ｼﾞｮｰﾝ ﾍﾞﾝ"</v>
      </c>
      <c r="D398" t="str" cm="1">
        <f t="array" aca="1" ref="D398" ca="1">CONCATENATE(INDIRECT(ADDRESS(1,4,1,0,"KeySet"),0),":","""",valueMaker!D398,"""")</f>
        <v>kainMeiEn:"Feng Zhong Ben"</v>
      </c>
      <c r="E398" t="str" cm="1">
        <f t="array" aca="1" ref="E398" ca="1">CONCATENATE(INDIRECT(ADDRESS(1,5,1,0,"KeySet"),0),":","""",valueMaker!E398,"""")</f>
        <v>kainGender:"女性"</v>
      </c>
      <c r="F398" t="str" cm="1">
        <f t="array" aca="1" ref="F398" ca="1">CONCATENATE(INDIRECT(ADDRESS(1,6,1,0,"KeySet"),0),":","""",TEXT(valueMaker!F398,"yyyy/m/d"),"""")</f>
        <v>tanjyoubi:"1981/12/6"</v>
      </c>
      <c r="G398" t="str" cm="1">
        <f t="array" aca="1" ref="G398" ca="1">CONCATENATE(INDIRECT(ADDRESS(1,6,1,0,"KeySet"),0),":","""",TEXT(valueMaker!G398,"yyyy/m/d"),"""")</f>
        <v>tanjyoubi:"2008/3/22"</v>
      </c>
      <c r="H398" t="str" cm="1">
        <f t="array" aca="1" ref="H398" ca="1">CONCATENATE(INDIRECT(ADDRESS(1,6,1,0,"KeySet"),0),":","""",TEXT(valueMaker!H398,"yyyy/m/d"),"""")</f>
        <v>tanjyoubi:"2010/3/22"</v>
      </c>
      <c r="I398" t="str" cm="1">
        <f t="array" aca="1" ref="I398" ca="1">CONCATENATE(INDIRECT(ADDRESS(1,9,1,0,"KeySet"),0),":","""",valueMaker!I398,"""")</f>
        <v>denwaBangou:"080-8689-8954"</v>
      </c>
      <c r="J398" t="str" cm="1">
        <f t="array" aca="1" ref="J398" ca="1">CONCATENATE(INDIRECT(ADDRESS(1,10,1,0,"KeySet"),0),":","""",valueMaker!J398,"""")</f>
        <v>mailAddress:"Feng_Zhong_Ben_39529@outlook.jp.co"</v>
      </c>
      <c r="K398" t="str" cm="1">
        <f t="array" aca="1" ref="K398" ca="1">CONCATENATE(INDIRECT(ADDRESS(1,11,1,0,"KeySet"),0),":","""",valueMaker!K398,"""")</f>
        <v>kaninSyubetu:"普通"</v>
      </c>
      <c r="L398" t="str" cm="1">
        <f t="array" aca="1" ref="L398" ca="1">CONCATENATE(INDIRECT(ADDRESS(1,12,1,0,"KeySet"),0),":","""",valueMaker!L398,"""")</f>
        <v>kaninKengenWB:"有り"</v>
      </c>
      <c r="M398" t="str" cm="1">
        <f t="array" aca="1" ref="M398" ca="1">CONCATENATE(INDIRECT(ADDRESS(1,13,1,0,"KeySet"),0),":","""",valueMaker!M398,"""")</f>
        <v>wakibiri:"5%"</v>
      </c>
      <c r="N398" t="str" cm="1">
        <f t="array" aca="1" ref="N398" ca="1">CONCATENATE(INDIRECT(ADDRESS(1,14,1,0,"KeySet"),0),":","""",valueMaker!N398,"""")</f>
        <v>kaninKengenPoint:"有り"</v>
      </c>
      <c r="O398" t="str" cm="1">
        <f t="array" aca="1" ref="O398" ca="1">CONCATENATE(INDIRECT(ADDRESS(1,15,1,0,"KeySet"),0),":","""",valueMaker!O398,"""")</f>
        <v>point:"875"</v>
      </c>
      <c r="P398" t="str" cm="1">
        <f t="array" aca="1" ref="P398" ca="1">CONCATENATE(INDIRECT(ADDRESS(1,16,1,0,"KeySet"),0),":","""",valueMaker!P398,"""")</f>
        <v>bikou:""</v>
      </c>
    </row>
    <row r="399" spans="1:16">
      <c r="A399" t="str" cm="1">
        <f t="array" aca="1" ref="A399" ca="1">CONCATENATE(INDIRECT(ADDRESS(1,1,1,0,"KeySet"),0),":","""",valueMaker!A399,"""")</f>
        <v>kainBangou:"TD10398"</v>
      </c>
      <c r="B399" t="str" cm="1">
        <f t="array" aca="1" ref="B399" ca="1">CONCATENATE(INDIRECT(ADDRESS(1,2,1,0,"KeySet"),0),":","""",valueMaker!B399,"""")</f>
        <v>kainMeiKanji:"何影雙"</v>
      </c>
      <c r="C399" t="str" cm="1">
        <f t="array" aca="1" ref="C399" ca="1">CONCATENATE(INDIRECT(ADDRESS(1,3,1,0,"KeySet"),0),":","""",valueMaker!C399,"""")</f>
        <v>kainMeiKana:"ﾎｰｧ ｲｰﾝ ｼｭﾜｰﾝ"</v>
      </c>
      <c r="D399" t="str" cm="1">
        <f t="array" aca="1" ref="D399" ca="1">CONCATENATE(INDIRECT(ADDRESS(1,4,1,0,"KeySet"),0),":","""",valueMaker!D399,"""")</f>
        <v>kainMeiEn:"He Ying Shuang"</v>
      </c>
      <c r="E399" t="str" cm="1">
        <f t="array" aca="1" ref="E399" ca="1">CONCATENATE(INDIRECT(ADDRESS(1,5,1,0,"KeySet"),0),":","""",valueMaker!E399,"""")</f>
        <v>kainGender:"男性"</v>
      </c>
      <c r="F399" t="str" cm="1">
        <f t="array" aca="1" ref="F399" ca="1">CONCATENATE(INDIRECT(ADDRESS(1,6,1,0,"KeySet"),0),":","""",TEXT(valueMaker!F399,"yyyy/m/d"),"""")</f>
        <v>tanjyoubi:"1964/10/20"</v>
      </c>
      <c r="G399" t="str" cm="1">
        <f t="array" aca="1" ref="G399" ca="1">CONCATENATE(INDIRECT(ADDRESS(1,6,1,0,"KeySet"),0),":","""",TEXT(valueMaker!G399,"yyyy/m/d"),"""")</f>
        <v>tanjyoubi:"2020/9/10"</v>
      </c>
      <c r="H399" t="str" cm="1">
        <f t="array" aca="1" ref="H399" ca="1">CONCATENATE(INDIRECT(ADDRESS(1,6,1,0,"KeySet"),0),":","""",TEXT(valueMaker!H399,"yyyy/m/d"),"""")</f>
        <v>tanjyoubi:"2022/9/10"</v>
      </c>
      <c r="I399" t="str" cm="1">
        <f t="array" aca="1" ref="I399" ca="1">CONCATENATE(INDIRECT(ADDRESS(1,9,1,0,"KeySet"),0),":","""",valueMaker!I399,"""")</f>
        <v>denwaBangou:"090-6513-4056"</v>
      </c>
      <c r="J399" t="str" cm="1">
        <f t="array" aca="1" ref="J399" ca="1">CONCATENATE(INDIRECT(ADDRESS(1,10,1,0,"KeySet"),0),":","""",valueMaker!J399,"""")</f>
        <v>mailAddress:"He_Ying_Shuang_44084@outlook.jp.co"</v>
      </c>
      <c r="K399" t="str" cm="1">
        <f t="array" aca="1" ref="K399" ca="1">CONCATENATE(INDIRECT(ADDRESS(1,11,1,0,"KeySet"),0),":","""",valueMaker!K399,"""")</f>
        <v>kaninSyubetu:"高級"</v>
      </c>
      <c r="L399" t="str" cm="1">
        <f t="array" aca="1" ref="L399" ca="1">CONCATENATE(INDIRECT(ADDRESS(1,12,1,0,"KeySet"),0),":","""",valueMaker!L399,"""")</f>
        <v>kaninKengenWB:"有り"</v>
      </c>
      <c r="M399" t="str" cm="1">
        <f t="array" aca="1" ref="M399" ca="1">CONCATENATE(INDIRECT(ADDRESS(1,13,1,0,"KeySet"),0),":","""",valueMaker!M399,"""")</f>
        <v>wakibiri:"10%"</v>
      </c>
      <c r="N399" t="str" cm="1">
        <f t="array" aca="1" ref="N399" ca="1">CONCATENATE(INDIRECT(ADDRESS(1,14,1,0,"KeySet"),0),":","""",valueMaker!N399,"""")</f>
        <v>kaninKengenPoint:"-"</v>
      </c>
      <c r="O399" t="str" cm="1">
        <f t="array" aca="1" ref="O399" ca="1">CONCATENATE(INDIRECT(ADDRESS(1,15,1,0,"KeySet"),0),":","""",valueMaker!O399,"""")</f>
        <v>point:"-"</v>
      </c>
      <c r="P399" t="str" cm="1">
        <f t="array" aca="1" ref="P399" ca="1">CONCATENATE(INDIRECT(ADDRESS(1,16,1,0,"KeySet"),0),":","""",valueMaker!P399,"""")</f>
        <v>bikou:""</v>
      </c>
    </row>
    <row r="400" spans="1:16">
      <c r="A400" t="str" cm="1">
        <f t="array" aca="1" ref="A400" ca="1">CONCATENATE(INDIRECT(ADDRESS(1,1,1,0,"KeySet"),0),":","""",valueMaker!A400,"""")</f>
        <v>kainBangou:"TD10399"</v>
      </c>
      <c r="B400" t="str" cm="1">
        <f t="array" aca="1" ref="B400" ca="1">CONCATENATE(INDIRECT(ADDRESS(1,2,1,0,"KeySet"),0),":","""",valueMaker!B400,"""")</f>
        <v>kainMeiKanji:"劉濤松"</v>
      </c>
      <c r="C400" t="str" cm="1">
        <f t="array" aca="1" ref="C400" ca="1">CONCATENATE(INDIRECT(ADDRESS(1,3,1,0,"KeySet"),0),":","""",valueMaker!C400,"""")</f>
        <v>kainMeiKana:"ﾘｳ ﾀｵ ｿｰﾝ"</v>
      </c>
      <c r="D400" t="str" cm="1">
        <f t="array" aca="1" ref="D400" ca="1">CONCATENATE(INDIRECT(ADDRESS(1,4,1,0,"KeySet"),0),":","""",valueMaker!D400,"""")</f>
        <v>kainMeiEn:"Liu Tao Song"</v>
      </c>
      <c r="E400" t="str" cm="1">
        <f t="array" aca="1" ref="E400" ca="1">CONCATENATE(INDIRECT(ADDRESS(1,5,1,0,"KeySet"),0),":","""",valueMaker!E400,"""")</f>
        <v>kainGender:"女性"</v>
      </c>
      <c r="F400" t="str" cm="1">
        <f t="array" aca="1" ref="F400" ca="1">CONCATENATE(INDIRECT(ADDRESS(1,6,1,0,"KeySet"),0),":","""",TEXT(valueMaker!F400,"yyyy/m/d"),"""")</f>
        <v>tanjyoubi:"1990/12/14"</v>
      </c>
      <c r="G400" t="str" cm="1">
        <f t="array" aca="1" ref="G400" ca="1">CONCATENATE(INDIRECT(ADDRESS(1,6,1,0,"KeySet"),0),":","""",TEXT(valueMaker!G400,"yyyy/m/d"),"""")</f>
        <v>tanjyoubi:"2019/4/11"</v>
      </c>
      <c r="H400" t="str" cm="1">
        <f t="array" aca="1" ref="H400" ca="1">CONCATENATE(INDIRECT(ADDRESS(1,6,1,0,"KeySet"),0),":","""",TEXT(valueMaker!H400,"yyyy/m/d"),"""")</f>
        <v>tanjyoubi:"2020/4/10"</v>
      </c>
      <c r="I400" t="str" cm="1">
        <f t="array" aca="1" ref="I400" ca="1">CONCATENATE(INDIRECT(ADDRESS(1,9,1,0,"KeySet"),0),":","""",valueMaker!I400,"""")</f>
        <v>denwaBangou:"080-9425-9345"</v>
      </c>
      <c r="J400" t="str" cm="1">
        <f t="array" aca="1" ref="J400" ca="1">CONCATENATE(INDIRECT(ADDRESS(1,10,1,0,"KeySet"),0),":","""",valueMaker!J400,"""")</f>
        <v>mailAddress:"Liu_Tao_Song_43566@outlook.jp.co"</v>
      </c>
      <c r="K400" t="str" cm="1">
        <f t="array" aca="1" ref="K400" ca="1">CONCATENATE(INDIRECT(ADDRESS(1,11,1,0,"KeySet"),0),":","""",valueMaker!K400,"""")</f>
        <v>kaninSyubetu:"高級"</v>
      </c>
      <c r="L400" t="str" cm="1">
        <f t="array" aca="1" ref="L400" ca="1">CONCATENATE(INDIRECT(ADDRESS(1,12,1,0,"KeySet"),0),":","""",valueMaker!L400,"""")</f>
        <v>kaninKengenWB:"有り"</v>
      </c>
      <c r="M400" t="str" cm="1">
        <f t="array" aca="1" ref="M400" ca="1">CONCATENATE(INDIRECT(ADDRESS(1,13,1,0,"KeySet"),0),":","""",valueMaker!M400,"""")</f>
        <v>wakibiri:"10%"</v>
      </c>
      <c r="N400" t="str" cm="1">
        <f t="array" aca="1" ref="N400" ca="1">CONCATENATE(INDIRECT(ADDRESS(1,14,1,0,"KeySet"),0),":","""",valueMaker!N400,"""")</f>
        <v>kaninKengenPoint:"有り"</v>
      </c>
      <c r="O400" t="str" cm="1">
        <f t="array" aca="1" ref="O400" ca="1">CONCATENATE(INDIRECT(ADDRESS(1,15,1,0,"KeySet"),0),":","""",valueMaker!O400,"""")</f>
        <v>point:"680"</v>
      </c>
      <c r="P400" t="str" cm="1">
        <f t="array" aca="1" ref="P400" ca="1">CONCATENATE(INDIRECT(ADDRESS(1,16,1,0,"KeySet"),0),":","""",valueMaker!P400,"""")</f>
        <v>bikou:""</v>
      </c>
    </row>
    <row r="401" spans="1:16">
      <c r="A401" t="str" cm="1">
        <f t="array" aca="1" ref="A401" ca="1">CONCATENATE(INDIRECT(ADDRESS(1,1,1,0,"KeySet"),0),":","""",valueMaker!A401,"""")</f>
        <v>kainBangou:"TD10400"</v>
      </c>
      <c r="B401" t="str" cm="1">
        <f t="array" aca="1" ref="B401" ca="1">CONCATENATE(INDIRECT(ADDRESS(1,2,1,0,"KeySet"),0),":","""",valueMaker!B401,"""")</f>
        <v>kainMeiKanji:"楊儒銀"</v>
      </c>
      <c r="C401" t="str" cm="1">
        <f t="array" aca="1" ref="C401" ca="1">CONCATENATE(INDIRECT(ADDRESS(1,3,1,0,"KeySet"),0),":","""",valueMaker!C401,"""")</f>
        <v>kainMeiKana:"ﾔｰﾝ ｩﾙｩ ｲﾝ"</v>
      </c>
      <c r="D401" t="str" cm="1">
        <f t="array" aca="1" ref="D401" ca="1">CONCATENATE(INDIRECT(ADDRESS(1,4,1,0,"KeySet"),0),":","""",valueMaker!D401,"""")</f>
        <v>kainMeiEn:"Yang Ru Yin"</v>
      </c>
      <c r="E401" t="str" cm="1">
        <f t="array" aca="1" ref="E401" ca="1">CONCATENATE(INDIRECT(ADDRESS(1,5,1,0,"KeySet"),0),":","""",valueMaker!E401,"""")</f>
        <v>kainGender:"男性"</v>
      </c>
      <c r="F401" t="str" cm="1">
        <f t="array" aca="1" ref="F401" ca="1">CONCATENATE(INDIRECT(ADDRESS(1,6,1,0,"KeySet"),0),":","""",TEXT(valueMaker!F401,"yyyy/m/d"),"""")</f>
        <v>tanjyoubi:"1995/10/11"</v>
      </c>
      <c r="G401" t="str" cm="1">
        <f t="array" aca="1" ref="G401" ca="1">CONCATENATE(INDIRECT(ADDRESS(1,6,1,0,"KeySet"),0),":","""",TEXT(valueMaker!G401,"yyyy/m/d"),"""")</f>
        <v>tanjyoubi:"2021/2/26"</v>
      </c>
      <c r="H401" t="str" cm="1">
        <f t="array" aca="1" ref="H401" ca="1">CONCATENATE(INDIRECT(ADDRESS(1,6,1,0,"KeySet"),0),":","""",TEXT(valueMaker!H401,"yyyy/m/d"),"""")</f>
        <v>tanjyoubi:"2022/2/26"</v>
      </c>
      <c r="I401" t="str" cm="1">
        <f t="array" aca="1" ref="I401" ca="1">CONCATENATE(INDIRECT(ADDRESS(1,9,1,0,"KeySet"),0),":","""",valueMaker!I401,"""")</f>
        <v>denwaBangou:"080-3742-9680"</v>
      </c>
      <c r="J401" t="str" cm="1">
        <f t="array" aca="1" ref="J401" ca="1">CONCATENATE(INDIRECT(ADDRESS(1,10,1,0,"KeySet"),0),":","""",valueMaker!J401,"""")</f>
        <v>mailAddress:"Yang_Ru_Yin_44253@outlook.jp.co"</v>
      </c>
      <c r="K401" t="str" cm="1">
        <f t="array" aca="1" ref="K401" ca="1">CONCATENATE(INDIRECT(ADDRESS(1,11,1,0,"KeySet"),0),":","""",valueMaker!K401,"""")</f>
        <v>kaninSyubetu:"高級"</v>
      </c>
      <c r="L401" t="str" cm="1">
        <f t="array" aca="1" ref="L401" ca="1">CONCATENATE(INDIRECT(ADDRESS(1,12,1,0,"KeySet"),0),":","""",valueMaker!L401,"""")</f>
        <v>kaninKengenWB:"有り"</v>
      </c>
      <c r="M401" t="str" cm="1">
        <f t="array" aca="1" ref="M401" ca="1">CONCATENATE(INDIRECT(ADDRESS(1,13,1,0,"KeySet"),0),":","""",valueMaker!M401,"""")</f>
        <v>wakibiri:"10%"</v>
      </c>
      <c r="N401" t="str" cm="1">
        <f t="array" aca="1" ref="N401" ca="1">CONCATENATE(INDIRECT(ADDRESS(1,14,1,0,"KeySet"),0),":","""",valueMaker!N401,"""")</f>
        <v>kaninKengenPoint:"-"</v>
      </c>
      <c r="O401" t="str" cm="1">
        <f t="array" aca="1" ref="O401" ca="1">CONCATENATE(INDIRECT(ADDRESS(1,15,1,0,"KeySet"),0),":","""",valueMaker!O401,"""")</f>
        <v>point:"-"</v>
      </c>
      <c r="P401" t="str" cm="1">
        <f t="array" aca="1" ref="P401" ca="1">CONCATENATE(INDIRECT(ADDRESS(1,16,1,0,"KeySet"),0),":","""",valueMaker!P401,"""")</f>
        <v>bikou:""</v>
      </c>
    </row>
    <row r="402" spans="1:16">
      <c r="A402" t="str" cm="1">
        <f t="array" aca="1" ref="A402" ca="1">CONCATENATE(INDIRECT(ADDRESS(1,1,1,0,"KeySet"),0),":","""",valueMaker!A402,"""")</f>
        <v>kainBangou:"TD10401"</v>
      </c>
      <c r="B402" t="str" cm="1">
        <f t="array" aca="1" ref="B402" ca="1">CONCATENATE(INDIRECT(ADDRESS(1,2,1,0,"KeySet"),0),":","""",valueMaker!B402,"""")</f>
        <v>kainMeiKanji:"楊若彬"</v>
      </c>
      <c r="C402" t="str" cm="1">
        <f t="array" aca="1" ref="C402" ca="1">CONCATENATE(INDIRECT(ADDRESS(1,3,1,0,"KeySet"),0),":","""",valueMaker!C402,"""")</f>
        <v>kainMeiKana:"ﾔｰﾝ ｩﾙｵ ﾋﾞﾝ"</v>
      </c>
      <c r="D402" t="str" cm="1">
        <f t="array" aca="1" ref="D402" ca="1">CONCATENATE(INDIRECT(ADDRESS(1,4,1,0,"KeySet"),0),":","""",valueMaker!D402,"""")</f>
        <v>kainMeiEn:"Yang Ruo Bin"</v>
      </c>
      <c r="E402" t="str" cm="1">
        <f t="array" aca="1" ref="E402" ca="1">CONCATENATE(INDIRECT(ADDRESS(1,5,1,0,"KeySet"),0),":","""",valueMaker!E402,"""")</f>
        <v>kainGender:"女性"</v>
      </c>
      <c r="F402" t="str" cm="1">
        <f t="array" aca="1" ref="F402" ca="1">CONCATENATE(INDIRECT(ADDRESS(1,6,1,0,"KeySet"),0),":","""",TEXT(valueMaker!F402,"yyyy/m/d"),"""")</f>
        <v>tanjyoubi:"1969/2/6"</v>
      </c>
      <c r="G402" t="str" cm="1">
        <f t="array" aca="1" ref="G402" ca="1">CONCATENATE(INDIRECT(ADDRESS(1,6,1,0,"KeySet"),0),":","""",TEXT(valueMaker!G402,"yyyy/m/d"),"""")</f>
        <v>tanjyoubi:"1992/7/4"</v>
      </c>
      <c r="H402" t="str" cm="1">
        <f t="array" aca="1" ref="H402" ca="1">CONCATENATE(INDIRECT(ADDRESS(1,6,1,0,"KeySet"),0),":","""",TEXT(valueMaker!H402,"yyyy/m/d"),"""")</f>
        <v>tanjyoubi:"1995/7/4"</v>
      </c>
      <c r="I402" t="str" cm="1">
        <f t="array" aca="1" ref="I402" ca="1">CONCATENATE(INDIRECT(ADDRESS(1,9,1,0,"KeySet"),0),":","""",valueMaker!I402,"""")</f>
        <v>denwaBangou:"090-2056-3614"</v>
      </c>
      <c r="J402" t="str" cm="1">
        <f t="array" aca="1" ref="J402" ca="1">CONCATENATE(INDIRECT(ADDRESS(1,10,1,0,"KeySet"),0),":","""",valueMaker!J402,"""")</f>
        <v>mailAddress:"Yang_Ruo Bin_33789@outlook.jp.co"</v>
      </c>
      <c r="K402" t="str" cm="1">
        <f t="array" aca="1" ref="K402" ca="1">CONCATENATE(INDIRECT(ADDRESS(1,11,1,0,"KeySet"),0),":","""",valueMaker!K402,"""")</f>
        <v>kaninSyubetu:"高級"</v>
      </c>
      <c r="L402" t="str" cm="1">
        <f t="array" aca="1" ref="L402" ca="1">CONCATENATE(INDIRECT(ADDRESS(1,12,1,0,"KeySet"),0),":","""",valueMaker!L402,"""")</f>
        <v>kaninKengenWB:"-"</v>
      </c>
      <c r="M402" t="str" cm="1">
        <f t="array" aca="1" ref="M402" ca="1">CONCATENATE(INDIRECT(ADDRESS(1,13,1,0,"KeySet"),0),":","""",valueMaker!M402,"""")</f>
        <v>wakibiri:"-"</v>
      </c>
      <c r="N402" t="str" cm="1">
        <f t="array" aca="1" ref="N402" ca="1">CONCATENATE(INDIRECT(ADDRESS(1,14,1,0,"KeySet"),0),":","""",valueMaker!N402,"""")</f>
        <v>kaninKengenPoint:"有り"</v>
      </c>
      <c r="O402" t="str" cm="1">
        <f t="array" aca="1" ref="O402" ca="1">CONCATENATE(INDIRECT(ADDRESS(1,15,1,0,"KeySet"),0),":","""",valueMaker!O402,"""")</f>
        <v>point:"115"</v>
      </c>
      <c r="P402" t="str" cm="1">
        <f t="array" aca="1" ref="P402" ca="1">CONCATENATE(INDIRECT(ADDRESS(1,16,1,0,"KeySet"),0),":","""",valueMaker!P402,"""")</f>
        <v>bikou:""</v>
      </c>
    </row>
    <row r="403" spans="1:16">
      <c r="A403" t="str" cm="1">
        <f t="array" aca="1" ref="A403" ca="1">CONCATENATE(INDIRECT(ADDRESS(1,1,1,0,"KeySet"),0),":","""",valueMaker!A403,"""")</f>
        <v>kainBangou:"TD10402"</v>
      </c>
      <c r="B403" t="str" cm="1">
        <f t="array" aca="1" ref="B403" ca="1">CONCATENATE(INDIRECT(ADDRESS(1,2,1,0,"KeySet"),0),":","""",valueMaker!B403,"""")</f>
        <v>kainMeiKanji:"陳武巧"</v>
      </c>
      <c r="C403" t="str" cm="1">
        <f t="array" aca="1" ref="C403" ca="1">CONCATENATE(INDIRECT(ADDRESS(1,3,1,0,"KeySet"),0),":","""",valueMaker!C403,"""")</f>
        <v>kainMeiKana:"ﾁｪﾝ ｳｰ ﾁﾔｵ"</v>
      </c>
      <c r="D403" t="str" cm="1">
        <f t="array" aca="1" ref="D403" ca="1">CONCATENATE(INDIRECT(ADDRESS(1,4,1,0,"KeySet"),0),":","""",valueMaker!D403,"""")</f>
        <v>kainMeiEn:"Chen Wu Qiao"</v>
      </c>
      <c r="E403" t="str" cm="1">
        <f t="array" aca="1" ref="E403" ca="1">CONCATENATE(INDIRECT(ADDRESS(1,5,1,0,"KeySet"),0),":","""",valueMaker!E403,"""")</f>
        <v>kainGender:"女性"</v>
      </c>
      <c r="F403" t="str" cm="1">
        <f t="array" aca="1" ref="F403" ca="1">CONCATENATE(INDIRECT(ADDRESS(1,6,1,0,"KeySet"),0),":","""",TEXT(valueMaker!F403,"yyyy/m/d"),"""")</f>
        <v>tanjyoubi:"1993/11/22"</v>
      </c>
      <c r="G403" t="str" cm="1">
        <f t="array" aca="1" ref="G403" ca="1">CONCATENATE(INDIRECT(ADDRESS(1,6,1,0,"KeySet"),0),":","""",TEXT(valueMaker!G403,"yyyy/m/d"),"""")</f>
        <v>tanjyoubi:"2020/3/12"</v>
      </c>
      <c r="H403" t="str" cm="1">
        <f t="array" aca="1" ref="H403" ca="1">CONCATENATE(INDIRECT(ADDRESS(1,6,1,0,"KeySet"),0),":","""",TEXT(valueMaker!H403,"yyyy/m/d"),"""")</f>
        <v>tanjyoubi:"2021/3/12"</v>
      </c>
      <c r="I403" t="str" cm="1">
        <f t="array" aca="1" ref="I403" ca="1">CONCATENATE(INDIRECT(ADDRESS(1,9,1,0,"KeySet"),0),":","""",valueMaker!I403,"""")</f>
        <v>denwaBangou:"080-4278-0932"</v>
      </c>
      <c r="J403" t="str" cm="1">
        <f t="array" aca="1" ref="J403" ca="1">CONCATENATE(INDIRECT(ADDRESS(1,10,1,0,"KeySet"),0),":","""",valueMaker!J403,"""")</f>
        <v>mailAddress:"Chen_Wu_Qiao_43902@outlook.jp.co"</v>
      </c>
      <c r="K403" t="str" cm="1">
        <f t="array" aca="1" ref="K403" ca="1">CONCATENATE(INDIRECT(ADDRESS(1,11,1,0,"KeySet"),0),":","""",valueMaker!K403,"""")</f>
        <v>kaninSyubetu:"普通"</v>
      </c>
      <c r="L403" t="str" cm="1">
        <f t="array" aca="1" ref="L403" ca="1">CONCATENATE(INDIRECT(ADDRESS(1,12,1,0,"KeySet"),0),":","""",valueMaker!L403,"""")</f>
        <v>kaninKengenWB:"有り"</v>
      </c>
      <c r="M403" t="str" cm="1">
        <f t="array" aca="1" ref="M403" ca="1">CONCATENATE(INDIRECT(ADDRESS(1,13,1,0,"KeySet"),0),":","""",valueMaker!M403,"""")</f>
        <v>wakibiri:"5%"</v>
      </c>
      <c r="N403" t="str" cm="1">
        <f t="array" aca="1" ref="N403" ca="1">CONCATENATE(INDIRECT(ADDRESS(1,14,1,0,"KeySet"),0),":","""",valueMaker!N403,"""")</f>
        <v>kaninKengenPoint:"有り"</v>
      </c>
      <c r="O403" t="str" cm="1">
        <f t="array" aca="1" ref="O403" ca="1">CONCATENATE(INDIRECT(ADDRESS(1,15,1,0,"KeySet"),0),":","""",valueMaker!O403,"""")</f>
        <v>point:"856"</v>
      </c>
      <c r="P403" t="str" cm="1">
        <f t="array" aca="1" ref="P403" ca="1">CONCATENATE(INDIRECT(ADDRESS(1,16,1,0,"KeySet"),0),":","""",valueMaker!P403,"""")</f>
        <v>bikou:""</v>
      </c>
    </row>
    <row r="404" spans="1:16">
      <c r="A404" t="str" cm="1">
        <f t="array" aca="1" ref="A404" ca="1">CONCATENATE(INDIRECT(ADDRESS(1,1,1,0,"KeySet"),0),":","""",valueMaker!A404,"""")</f>
        <v>kainBangou:"TD10403"</v>
      </c>
      <c r="B404" t="str" cm="1">
        <f t="array" aca="1" ref="B404" ca="1">CONCATENATE(INDIRECT(ADDRESS(1,2,1,0,"KeySet"),0),":","""",valueMaker!B404,"""")</f>
        <v>kainMeiKanji:"徐皇特"</v>
      </c>
      <c r="C404" t="str" cm="1">
        <f t="array" aca="1" ref="C404" ca="1">CONCATENATE(INDIRECT(ADDRESS(1,3,1,0,"KeySet"),0),":","""",valueMaker!C404,"""")</f>
        <v>kainMeiKana:"ｼｭｲ ﾎﾜｰﾝ ﾄｰｧ"</v>
      </c>
      <c r="D404" t="str" cm="1">
        <f t="array" aca="1" ref="D404" ca="1">CONCATENATE(INDIRECT(ADDRESS(1,4,1,0,"KeySet"),0),":","""",valueMaker!D404,"""")</f>
        <v>kainMeiEn:"Xu Huang Te"</v>
      </c>
      <c r="E404" t="str" cm="1">
        <f t="array" aca="1" ref="E404" ca="1">CONCATENATE(INDIRECT(ADDRESS(1,5,1,0,"KeySet"),0),":","""",valueMaker!E404,"""")</f>
        <v>kainGender:"女性"</v>
      </c>
      <c r="F404" t="str" cm="1">
        <f t="array" aca="1" ref="F404" ca="1">CONCATENATE(INDIRECT(ADDRESS(1,6,1,0,"KeySet"),0),":","""",TEXT(valueMaker!F404,"yyyy/m/d"),"""")</f>
        <v>tanjyoubi:"2003/12/11"</v>
      </c>
      <c r="G404" t="str" cm="1">
        <f t="array" aca="1" ref="G404" ca="1">CONCATENATE(INDIRECT(ADDRESS(1,6,1,0,"KeySet"),0),":","""",TEXT(valueMaker!G404,"yyyy/m/d"),"""")</f>
        <v>tanjyoubi:"2023/6/22"</v>
      </c>
      <c r="H404" t="str" cm="1">
        <f t="array" aca="1" ref="H404" ca="1">CONCATENATE(INDIRECT(ADDRESS(1,6,1,0,"KeySet"),0),":","""",TEXT(valueMaker!H404,"yyyy/m/d"),"""")</f>
        <v>tanjyoubi:"2026/6/21"</v>
      </c>
      <c r="I404" t="str" cm="1">
        <f t="array" aca="1" ref="I404" ca="1">CONCATENATE(INDIRECT(ADDRESS(1,9,1,0,"KeySet"),0),":","""",valueMaker!I404,"""")</f>
        <v>denwaBangou:"080-7914-2288"</v>
      </c>
      <c r="J404" t="str" cm="1">
        <f t="array" aca="1" ref="J404" ca="1">CONCATENATE(INDIRECT(ADDRESS(1,10,1,0,"KeySet"),0),":","""",valueMaker!J404,"""")</f>
        <v>mailAddress:"Xu_Huang_Te_45099@outlook.jp.co"</v>
      </c>
      <c r="K404" t="str" cm="1">
        <f t="array" aca="1" ref="K404" ca="1">CONCATENATE(INDIRECT(ADDRESS(1,11,1,0,"KeySet"),0),":","""",valueMaker!K404,"""")</f>
        <v>kaninSyubetu:"高級"</v>
      </c>
      <c r="L404" t="str" cm="1">
        <f t="array" aca="1" ref="L404" ca="1">CONCATENATE(INDIRECT(ADDRESS(1,12,1,0,"KeySet"),0),":","""",valueMaker!L404,"""")</f>
        <v>kaninKengenWB:"有り"</v>
      </c>
      <c r="M404" t="str" cm="1">
        <f t="array" aca="1" ref="M404" ca="1">CONCATENATE(INDIRECT(ADDRESS(1,13,1,0,"KeySet"),0),":","""",valueMaker!M404,"""")</f>
        <v>wakibiri:"10%"</v>
      </c>
      <c r="N404" t="str" cm="1">
        <f t="array" aca="1" ref="N404" ca="1">CONCATENATE(INDIRECT(ADDRESS(1,14,1,0,"KeySet"),0),":","""",valueMaker!N404,"""")</f>
        <v>kaninKengenPoint:"有り"</v>
      </c>
      <c r="O404" t="str" cm="1">
        <f t="array" aca="1" ref="O404" ca="1">CONCATENATE(INDIRECT(ADDRESS(1,15,1,0,"KeySet"),0),":","""",valueMaker!O404,"""")</f>
        <v>point:"449"</v>
      </c>
      <c r="P404" t="str" cm="1">
        <f t="array" aca="1" ref="P404" ca="1">CONCATENATE(INDIRECT(ADDRESS(1,16,1,0,"KeySet"),0),":","""",valueMaker!P404,"""")</f>
        <v>bikou:""</v>
      </c>
    </row>
    <row r="405" spans="1:16">
      <c r="A405" t="str" cm="1">
        <f t="array" aca="1" ref="A405" ca="1">CONCATENATE(INDIRECT(ADDRESS(1,1,1,0,"KeySet"),0),":","""",valueMaker!A405,"""")</f>
        <v>kainBangou:"TD10404"</v>
      </c>
      <c r="B405" t="str" cm="1">
        <f t="array" aca="1" ref="B405" ca="1">CONCATENATE(INDIRECT(ADDRESS(1,2,1,0,"KeySet"),0),":","""",valueMaker!B405,"""")</f>
        <v>kainMeiKanji:"鄭慶祖"</v>
      </c>
      <c r="C405" t="str" cm="1">
        <f t="array" aca="1" ref="C405" ca="1">CONCATENATE(INDIRECT(ADDRESS(1,3,1,0,"KeySet"),0),":","""",valueMaker!C405,"""")</f>
        <v>kainMeiKana:"ｼﾞｭﾖﾝ ﾁｰﾝ ｽﾞｩ"</v>
      </c>
      <c r="D405" t="str" cm="1">
        <f t="array" aca="1" ref="D405" ca="1">CONCATENATE(INDIRECT(ADDRESS(1,4,1,0,"KeySet"),0),":","""",valueMaker!D405,"""")</f>
        <v>kainMeiEn:"Zheng Qing Zu"</v>
      </c>
      <c r="E405" t="str" cm="1">
        <f t="array" aca="1" ref="E405" ca="1">CONCATENATE(INDIRECT(ADDRESS(1,5,1,0,"KeySet"),0),":","""",valueMaker!E405,"""")</f>
        <v>kainGender:"-"</v>
      </c>
      <c r="F405" t="str" cm="1">
        <f t="array" aca="1" ref="F405" ca="1">CONCATENATE(INDIRECT(ADDRESS(1,6,1,0,"KeySet"),0),":","""",TEXT(valueMaker!F405,"yyyy/m/d"),"""")</f>
        <v>tanjyoubi:"1985/12/4"</v>
      </c>
      <c r="G405" t="str" cm="1">
        <f t="array" aca="1" ref="G405" ca="1">CONCATENATE(INDIRECT(ADDRESS(1,6,1,0,"KeySet"),0),":","""",TEXT(valueMaker!G405,"yyyy/m/d"),"""")</f>
        <v>tanjyoubi:"2013/10/1"</v>
      </c>
      <c r="H405" t="str" cm="1">
        <f t="array" aca="1" ref="H405" ca="1">CONCATENATE(INDIRECT(ADDRESS(1,6,1,0,"KeySet"),0),":","""",TEXT(valueMaker!H405,"yyyy/m/d"),"""")</f>
        <v>tanjyoubi:"2015/10/1"</v>
      </c>
      <c r="I405" t="str" cm="1">
        <f t="array" aca="1" ref="I405" ca="1">CONCATENATE(INDIRECT(ADDRESS(1,9,1,0,"KeySet"),0),":","""",valueMaker!I405,"""")</f>
        <v>denwaBangou:"090-0256-7899"</v>
      </c>
      <c r="J405" t="str" cm="1">
        <f t="array" aca="1" ref="J405" ca="1">CONCATENATE(INDIRECT(ADDRESS(1,10,1,0,"KeySet"),0),":","""",valueMaker!J405,"""")</f>
        <v>mailAddress:"Zheng_Qing_Zu_41548@outlook.jp.co"</v>
      </c>
      <c r="K405" t="str" cm="1">
        <f t="array" aca="1" ref="K405" ca="1">CONCATENATE(INDIRECT(ADDRESS(1,11,1,0,"KeySet"),0),":","""",valueMaker!K405,"""")</f>
        <v>kaninSyubetu:"普通"</v>
      </c>
      <c r="L405" t="str" cm="1">
        <f t="array" aca="1" ref="L405" ca="1">CONCATENATE(INDIRECT(ADDRESS(1,12,1,0,"KeySet"),0),":","""",valueMaker!L405,"""")</f>
        <v>kaninKengenWB:"-"</v>
      </c>
      <c r="M405" t="str" cm="1">
        <f t="array" aca="1" ref="M405" ca="1">CONCATENATE(INDIRECT(ADDRESS(1,13,1,0,"KeySet"),0),":","""",valueMaker!M405,"""")</f>
        <v>wakibiri:"-"</v>
      </c>
      <c r="N405" t="str" cm="1">
        <f t="array" aca="1" ref="N405" ca="1">CONCATENATE(INDIRECT(ADDRESS(1,14,1,0,"KeySet"),0),":","""",valueMaker!N405,"""")</f>
        <v>kaninKengenPoint:"有り"</v>
      </c>
      <c r="O405" t="str" cm="1">
        <f t="array" aca="1" ref="O405" ca="1">CONCATENATE(INDIRECT(ADDRESS(1,15,1,0,"KeySet"),0),":","""",valueMaker!O405,"""")</f>
        <v>point:"419"</v>
      </c>
      <c r="P405" t="str" cm="1">
        <f t="array" aca="1" ref="P405" ca="1">CONCATENATE(INDIRECT(ADDRESS(1,16,1,0,"KeySet"),0),":","""",valueMaker!P405,"""")</f>
        <v>bikou:""</v>
      </c>
    </row>
    <row r="406" spans="1:16">
      <c r="A406" t="str" cm="1">
        <f t="array" aca="1" ref="A406" ca="1">CONCATENATE(INDIRECT(ADDRESS(1,1,1,0,"KeySet"),0),":","""",valueMaker!A406,"""")</f>
        <v>kainBangou:"TD10405"</v>
      </c>
      <c r="B406" t="str" cm="1">
        <f t="array" aca="1" ref="B406" ca="1">CONCATENATE(INDIRECT(ADDRESS(1,2,1,0,"KeySet"),0),":","""",valueMaker!B406,"""")</f>
        <v>kainMeiKanji:"楊悅協"</v>
      </c>
      <c r="C406" t="str" cm="1">
        <f t="array" aca="1" ref="C406" ca="1">CONCATENATE(INDIRECT(ADDRESS(1,3,1,0,"KeySet"),0),":","""",valueMaker!C406,"""")</f>
        <v>kainMeiKana:"ﾔｰﾝ ﾕｴ ｼｴ"</v>
      </c>
      <c r="D406" t="str" cm="1">
        <f t="array" aca="1" ref="D406" ca="1">CONCATENATE(INDIRECT(ADDRESS(1,4,1,0,"KeySet"),0),":","""",valueMaker!D406,"""")</f>
        <v>kainMeiEn:"Yang Yue Xie"</v>
      </c>
      <c r="E406" t="str" cm="1">
        <f t="array" aca="1" ref="E406" ca="1">CONCATENATE(INDIRECT(ADDRESS(1,5,1,0,"KeySet"),0),":","""",valueMaker!E406,"""")</f>
        <v>kainGender:"男性"</v>
      </c>
      <c r="F406" t="str" cm="1">
        <f t="array" aca="1" ref="F406" ca="1">CONCATENATE(INDIRECT(ADDRESS(1,6,1,0,"KeySet"),0),":","""",TEXT(valueMaker!F406,"yyyy/m/d"),"""")</f>
        <v>tanjyoubi:"1969/6/21"</v>
      </c>
      <c r="G406" t="str" cm="1">
        <f t="array" aca="1" ref="G406" ca="1">CONCATENATE(INDIRECT(ADDRESS(1,6,1,0,"KeySet"),0),":","""",TEXT(valueMaker!G406,"yyyy/m/d"),"""")</f>
        <v>tanjyoubi:"2001/8/15"</v>
      </c>
      <c r="H406" t="str" cm="1">
        <f t="array" aca="1" ref="H406" ca="1">CONCATENATE(INDIRECT(ADDRESS(1,6,1,0,"KeySet"),0),":","""",TEXT(valueMaker!H406,"yyyy/m/d"),"""")</f>
        <v>tanjyoubi:"2004/8/14"</v>
      </c>
      <c r="I406" t="str" cm="1">
        <f t="array" aca="1" ref="I406" ca="1">CONCATENATE(INDIRECT(ADDRESS(1,9,1,0,"KeySet"),0),":","""",valueMaker!I406,"""")</f>
        <v>denwaBangou:"080-5673-3452"</v>
      </c>
      <c r="J406" t="str" cm="1">
        <f t="array" aca="1" ref="J406" ca="1">CONCATENATE(INDIRECT(ADDRESS(1,10,1,0,"KeySet"),0),":","""",valueMaker!J406,"""")</f>
        <v>mailAddress:"Yang_Yue_Xie_37118@outlook.jp.co"</v>
      </c>
      <c r="K406" t="str" cm="1">
        <f t="array" aca="1" ref="K406" ca="1">CONCATENATE(INDIRECT(ADDRESS(1,11,1,0,"KeySet"),0),":","""",valueMaker!K406,"""")</f>
        <v>kaninSyubetu:"普通"</v>
      </c>
      <c r="L406" t="str" cm="1">
        <f t="array" aca="1" ref="L406" ca="1">CONCATENATE(INDIRECT(ADDRESS(1,12,1,0,"KeySet"),0),":","""",valueMaker!L406,"""")</f>
        <v>kaninKengenWB:"-"</v>
      </c>
      <c r="M406" t="str" cm="1">
        <f t="array" aca="1" ref="M406" ca="1">CONCATENATE(INDIRECT(ADDRESS(1,13,1,0,"KeySet"),0),":","""",valueMaker!M406,"""")</f>
        <v>wakibiri:"-"</v>
      </c>
      <c r="N406" t="str" cm="1">
        <f t="array" aca="1" ref="N406" ca="1">CONCATENATE(INDIRECT(ADDRESS(1,14,1,0,"KeySet"),0),":","""",valueMaker!N406,"""")</f>
        <v>kaninKengenPoint:"有り"</v>
      </c>
      <c r="O406" t="str" cm="1">
        <f t="array" aca="1" ref="O406" ca="1">CONCATENATE(INDIRECT(ADDRESS(1,15,1,0,"KeySet"),0),":","""",valueMaker!O406,"""")</f>
        <v>point:"436"</v>
      </c>
      <c r="P406" t="str" cm="1">
        <f t="array" aca="1" ref="P406" ca="1">CONCATENATE(INDIRECT(ADDRESS(1,16,1,0,"KeySet"),0),":","""",valueMaker!P406,"""")</f>
        <v>bikou:""</v>
      </c>
    </row>
    <row r="407" spans="1:16">
      <c r="A407" t="str" cm="1">
        <f t="array" aca="1" ref="A407" ca="1">CONCATENATE(INDIRECT(ADDRESS(1,1,1,0,"KeySet"),0),":","""",valueMaker!A407,"""")</f>
        <v>kainBangou:"TD10406"</v>
      </c>
      <c r="B407" t="str" cm="1">
        <f t="array" aca="1" ref="B407" ca="1">CONCATENATE(INDIRECT(ADDRESS(1,2,1,0,"KeySet"),0),":","""",valueMaker!B407,"""")</f>
        <v>kainMeiKanji:"吳暉晨"</v>
      </c>
      <c r="C407" t="str" cm="1">
        <f t="array" aca="1" ref="C407" ca="1">CONCATENATE(INDIRECT(ADDRESS(1,3,1,0,"KeySet"),0),":","""",valueMaker!C407,"""")</f>
        <v>kainMeiKana:"ｳｰ ﾎｩｲ ﾁｪﾝ"</v>
      </c>
      <c r="D407" t="str" cm="1">
        <f t="array" aca="1" ref="D407" ca="1">CONCATENATE(INDIRECT(ADDRESS(1,4,1,0,"KeySet"),0),":","""",valueMaker!D407,"""")</f>
        <v>kainMeiEn:"Wu Hui Chen"</v>
      </c>
      <c r="E407" t="str" cm="1">
        <f t="array" aca="1" ref="E407" ca="1">CONCATENATE(INDIRECT(ADDRESS(1,5,1,0,"KeySet"),0),":","""",valueMaker!E407,"""")</f>
        <v>kainGender:"男性"</v>
      </c>
      <c r="F407" t="str" cm="1">
        <f t="array" aca="1" ref="F407" ca="1">CONCATENATE(INDIRECT(ADDRESS(1,6,1,0,"KeySet"),0),":","""",TEXT(valueMaker!F407,"yyyy/m/d"),"""")</f>
        <v>tanjyoubi:"1988/1/16"</v>
      </c>
      <c r="G407" t="str" cm="1">
        <f t="array" aca="1" ref="G407" ca="1">CONCATENATE(INDIRECT(ADDRESS(1,6,1,0,"KeySet"),0),":","""",TEXT(valueMaker!G407,"yyyy/m/d"),"""")</f>
        <v>tanjyoubi:"2012/11/25"</v>
      </c>
      <c r="H407" t="str" cm="1">
        <f t="array" aca="1" ref="H407" ca="1">CONCATENATE(INDIRECT(ADDRESS(1,6,1,0,"KeySet"),0),":","""",TEXT(valueMaker!H407,"yyyy/m/d"),"""")</f>
        <v>tanjyoubi:"2015/11/25"</v>
      </c>
      <c r="I407" t="str" cm="1">
        <f t="array" aca="1" ref="I407" ca="1">CONCATENATE(INDIRECT(ADDRESS(1,9,1,0,"KeySet"),0),":","""",valueMaker!I407,"""")</f>
        <v>denwaBangou:"090-8172-1826"</v>
      </c>
      <c r="J407" t="str" cm="1">
        <f t="array" aca="1" ref="J407" ca="1">CONCATENATE(INDIRECT(ADDRESS(1,10,1,0,"KeySet"),0),":","""",valueMaker!J407,"""")</f>
        <v>mailAddress:"Wu_Hui_Chen_41238@outlook.jp.co"</v>
      </c>
      <c r="K407" t="str" cm="1">
        <f t="array" aca="1" ref="K407" ca="1">CONCATENATE(INDIRECT(ADDRESS(1,11,1,0,"KeySet"),0),":","""",valueMaker!K407,"""")</f>
        <v>kaninSyubetu:"高級"</v>
      </c>
      <c r="L407" t="str" cm="1">
        <f t="array" aca="1" ref="L407" ca="1">CONCATENATE(INDIRECT(ADDRESS(1,12,1,0,"KeySet"),0),":","""",valueMaker!L407,"""")</f>
        <v>kaninKengenWB:"有り"</v>
      </c>
      <c r="M407" t="str" cm="1">
        <f t="array" aca="1" ref="M407" ca="1">CONCATENATE(INDIRECT(ADDRESS(1,13,1,0,"KeySet"),0),":","""",valueMaker!M407,"""")</f>
        <v>wakibiri:"10%"</v>
      </c>
      <c r="N407" t="str" cm="1">
        <f t="array" aca="1" ref="N407" ca="1">CONCATENATE(INDIRECT(ADDRESS(1,14,1,0,"KeySet"),0),":","""",valueMaker!N407,"""")</f>
        <v>kaninKengenPoint:"有り"</v>
      </c>
      <c r="O407" t="str" cm="1">
        <f t="array" aca="1" ref="O407" ca="1">CONCATENATE(INDIRECT(ADDRESS(1,15,1,0,"KeySet"),0),":","""",valueMaker!O407,"""")</f>
        <v>point:"926"</v>
      </c>
      <c r="P407" t="str" cm="1">
        <f t="array" aca="1" ref="P407" ca="1">CONCATENATE(INDIRECT(ADDRESS(1,16,1,0,"KeySet"),0),":","""",valueMaker!P407,"""")</f>
        <v>bikou:""</v>
      </c>
    </row>
    <row r="408" spans="1:16">
      <c r="A408" t="str" cm="1">
        <f t="array" aca="1" ref="A408" ca="1">CONCATENATE(INDIRECT(ADDRESS(1,1,1,0,"KeySet"),0),":","""",valueMaker!A408,"""")</f>
        <v>kainBangou:"TD10407"</v>
      </c>
      <c r="B408" t="str" cm="1">
        <f t="array" aca="1" ref="B408" ca="1">CONCATENATE(INDIRECT(ADDRESS(1,2,1,0,"KeySet"),0),":","""",valueMaker!B408,"""")</f>
        <v>kainMeiKanji:"于冠複"</v>
      </c>
      <c r="C408" t="str" cm="1">
        <f t="array" aca="1" ref="C408" ca="1">CONCATENATE(INDIRECT(ADDRESS(1,3,1,0,"KeySet"),0),":","""",valueMaker!C408,"""")</f>
        <v>kainMeiKana:"ﾕｲ ｸﾞﾜﾝ ﾌｩ"</v>
      </c>
      <c r="D408" t="str" cm="1">
        <f t="array" aca="1" ref="D408" ca="1">CONCATENATE(INDIRECT(ADDRESS(1,4,1,0,"KeySet"),0),":","""",valueMaker!D408,"""")</f>
        <v>kainMeiEn:"Yu Guan Fu"</v>
      </c>
      <c r="E408" t="str" cm="1">
        <f t="array" aca="1" ref="E408" ca="1">CONCATENATE(INDIRECT(ADDRESS(1,5,1,0,"KeySet"),0),":","""",valueMaker!E408,"""")</f>
        <v>kainGender:"女性"</v>
      </c>
      <c r="F408" t="str" cm="1">
        <f t="array" aca="1" ref="F408" ca="1">CONCATENATE(INDIRECT(ADDRESS(1,6,1,0,"KeySet"),0),":","""",TEXT(valueMaker!F408,"yyyy/m/d"),"""")</f>
        <v>tanjyoubi:"1998/9/8"</v>
      </c>
      <c r="G408" t="str" cm="1">
        <f t="array" aca="1" ref="G408" ca="1">CONCATENATE(INDIRECT(ADDRESS(1,6,1,0,"KeySet"),0),":","""",TEXT(valueMaker!G408,"yyyy/m/d"),"""")</f>
        <v>tanjyoubi:"2020/8/3"</v>
      </c>
      <c r="H408" t="str" cm="1">
        <f t="array" aca="1" ref="H408" ca="1">CONCATENATE(INDIRECT(ADDRESS(1,6,1,0,"KeySet"),0),":","""",TEXT(valueMaker!H408,"yyyy/m/d"),"""")</f>
        <v>tanjyoubi:"2021/8/3"</v>
      </c>
      <c r="I408" t="str" cm="1">
        <f t="array" aca="1" ref="I408" ca="1">CONCATENATE(INDIRECT(ADDRESS(1,9,1,0,"KeySet"),0),":","""",valueMaker!I408,"""")</f>
        <v>denwaBangou:"080-2174-3783"</v>
      </c>
      <c r="J408" t="str" cm="1">
        <f t="array" aca="1" ref="J408" ca="1">CONCATENATE(INDIRECT(ADDRESS(1,10,1,0,"KeySet"),0),":","""",valueMaker!J408,"""")</f>
        <v>mailAddress:"Yu_Guan_Fu_44046@outlook.jp.co"</v>
      </c>
      <c r="K408" t="str" cm="1">
        <f t="array" aca="1" ref="K408" ca="1">CONCATENATE(INDIRECT(ADDRESS(1,11,1,0,"KeySet"),0),":","""",valueMaker!K408,"""")</f>
        <v>kaninSyubetu:"普通"</v>
      </c>
      <c r="L408" t="str" cm="1">
        <f t="array" aca="1" ref="L408" ca="1">CONCATENATE(INDIRECT(ADDRESS(1,12,1,0,"KeySet"),0),":","""",valueMaker!L408,"""")</f>
        <v>kaninKengenWB:"有り"</v>
      </c>
      <c r="M408" t="str" cm="1">
        <f t="array" aca="1" ref="M408" ca="1">CONCATENATE(INDIRECT(ADDRESS(1,13,1,0,"KeySet"),0),":","""",valueMaker!M408,"""")</f>
        <v>wakibiri:"5%"</v>
      </c>
      <c r="N408" t="str" cm="1">
        <f t="array" aca="1" ref="N408" ca="1">CONCATENATE(INDIRECT(ADDRESS(1,14,1,0,"KeySet"),0),":","""",valueMaker!N408,"""")</f>
        <v>kaninKengenPoint:"有り"</v>
      </c>
      <c r="O408" t="str" cm="1">
        <f t="array" aca="1" ref="O408" ca="1">CONCATENATE(INDIRECT(ADDRESS(1,15,1,0,"KeySet"),0),":","""",valueMaker!O408,"""")</f>
        <v>point:"593"</v>
      </c>
      <c r="P408" t="str" cm="1">
        <f t="array" aca="1" ref="P408" ca="1">CONCATENATE(INDIRECT(ADDRESS(1,16,1,0,"KeySet"),0),":","""",valueMaker!P408,"""")</f>
        <v>bikou:""</v>
      </c>
    </row>
    <row r="409" spans="1:16">
      <c r="A409" t="str" cm="1">
        <f t="array" aca="1" ref="A409" ca="1">CONCATENATE(INDIRECT(ADDRESS(1,1,1,0,"KeySet"),0),":","""",valueMaker!A409,"""")</f>
        <v>kainBangou:"TD10408"</v>
      </c>
      <c r="B409" t="str" cm="1">
        <f t="array" aca="1" ref="B409" ca="1">CONCATENATE(INDIRECT(ADDRESS(1,2,1,0,"KeySet"),0),":","""",valueMaker!B409,"""")</f>
        <v>kainMeiKanji:"林謙枝"</v>
      </c>
      <c r="C409" t="str" cm="1">
        <f t="array" aca="1" ref="C409" ca="1">CONCATENATE(INDIRECT(ADDRESS(1,3,1,0,"KeySet"),0),":","""",valueMaker!C409,"""")</f>
        <v>kainMeiKana:"ﾘﾝ ﾁｴﾝ ｼﾞｰ"</v>
      </c>
      <c r="D409" t="str" cm="1">
        <f t="array" aca="1" ref="D409" ca="1">CONCATENATE(INDIRECT(ADDRESS(1,4,1,0,"KeySet"),0),":","""",valueMaker!D409,"""")</f>
        <v>kainMeiEn:"Lin Qian Zhi"</v>
      </c>
      <c r="E409" t="str" cm="1">
        <f t="array" aca="1" ref="E409" ca="1">CONCATENATE(INDIRECT(ADDRESS(1,5,1,0,"KeySet"),0),":","""",valueMaker!E409,"""")</f>
        <v>kainGender:"女性"</v>
      </c>
      <c r="F409" t="str" cm="1">
        <f t="array" aca="1" ref="F409" ca="1">CONCATENATE(INDIRECT(ADDRESS(1,6,1,0,"KeySet"),0),":","""",TEXT(valueMaker!F409,"yyyy/m/d"),"""")</f>
        <v>tanjyoubi:"1985/2/5"</v>
      </c>
      <c r="G409" t="str" cm="1">
        <f t="array" aca="1" ref="G409" ca="1">CONCATENATE(INDIRECT(ADDRESS(1,6,1,0,"KeySet"),0),":","""",TEXT(valueMaker!G409,"yyyy/m/d"),"""")</f>
        <v>tanjyoubi:"2012/3/11"</v>
      </c>
      <c r="H409" t="str" cm="1">
        <f t="array" aca="1" ref="H409" ca="1">CONCATENATE(INDIRECT(ADDRESS(1,6,1,0,"KeySet"),0),":","""",TEXT(valueMaker!H409,"yyyy/m/d"),"""")</f>
        <v>tanjyoubi:"2014/3/11"</v>
      </c>
      <c r="I409" t="str" cm="1">
        <f t="array" aca="1" ref="I409" ca="1">CONCATENATE(INDIRECT(ADDRESS(1,9,1,0,"KeySet"),0),":","""",valueMaker!I409,"""")</f>
        <v>denwaBangou:"090-3464-7065"</v>
      </c>
      <c r="J409" t="str" cm="1">
        <f t="array" aca="1" ref="J409" ca="1">CONCATENATE(INDIRECT(ADDRESS(1,10,1,0,"KeySet"),0),":","""",valueMaker!J409,"""")</f>
        <v>mailAddress:"Lin_Qian_Zhi_40979@outlook.jp.co"</v>
      </c>
      <c r="K409" t="str" cm="1">
        <f t="array" aca="1" ref="K409" ca="1">CONCATENATE(INDIRECT(ADDRESS(1,11,1,0,"KeySet"),0),":","""",valueMaker!K409,"""")</f>
        <v>kaninSyubetu:"高級"</v>
      </c>
      <c r="L409" t="str" cm="1">
        <f t="array" aca="1" ref="L409" ca="1">CONCATENATE(INDIRECT(ADDRESS(1,12,1,0,"KeySet"),0),":","""",valueMaker!L409,"""")</f>
        <v>kaninKengenWB:"有り"</v>
      </c>
      <c r="M409" t="str" cm="1">
        <f t="array" aca="1" ref="M409" ca="1">CONCATENATE(INDIRECT(ADDRESS(1,13,1,0,"KeySet"),0),":","""",valueMaker!M409,"""")</f>
        <v>wakibiri:"10%"</v>
      </c>
      <c r="N409" t="str" cm="1">
        <f t="array" aca="1" ref="N409" ca="1">CONCATENATE(INDIRECT(ADDRESS(1,14,1,0,"KeySet"),0),":","""",valueMaker!N409,"""")</f>
        <v>kaninKengenPoint:"有り"</v>
      </c>
      <c r="O409" t="str" cm="1">
        <f t="array" aca="1" ref="O409" ca="1">CONCATENATE(INDIRECT(ADDRESS(1,15,1,0,"KeySet"),0),":","""",valueMaker!O409,"""")</f>
        <v>point:"843"</v>
      </c>
      <c r="P409" t="str" cm="1">
        <f t="array" aca="1" ref="P409" ca="1">CONCATENATE(INDIRECT(ADDRESS(1,16,1,0,"KeySet"),0),":","""",valueMaker!P409,"""")</f>
        <v>bikou:""</v>
      </c>
    </row>
    <row r="410" spans="1:16">
      <c r="A410" t="str" cm="1">
        <f t="array" aca="1" ref="A410" ca="1">CONCATENATE(INDIRECT(ADDRESS(1,1,1,0,"KeySet"),0),":","""",valueMaker!A410,"""")</f>
        <v>kainBangou:"TD10409"</v>
      </c>
      <c r="B410" t="str" cm="1">
        <f t="array" aca="1" ref="B410" ca="1">CONCATENATE(INDIRECT(ADDRESS(1,2,1,0,"KeySet"),0),":","""",valueMaker!B410,"""")</f>
        <v>kainMeiKanji:"徐狂宗"</v>
      </c>
      <c r="C410" t="str" cm="1">
        <f t="array" aca="1" ref="C410" ca="1">CONCATENATE(INDIRECT(ADDRESS(1,3,1,0,"KeySet"),0),":","""",valueMaker!C410,"""")</f>
        <v>kainMeiKana:"ｼｭｲ ｸﾜｰﾝ ｿﾞｰﾝ"</v>
      </c>
      <c r="D410" t="str" cm="1">
        <f t="array" aca="1" ref="D410" ca="1">CONCATENATE(INDIRECT(ADDRESS(1,4,1,0,"KeySet"),0),":","""",valueMaker!D410,"""")</f>
        <v>kainMeiEn:"Xu Kuang Zong"</v>
      </c>
      <c r="E410" t="str" cm="1">
        <f t="array" aca="1" ref="E410" ca="1">CONCATENATE(INDIRECT(ADDRESS(1,5,1,0,"KeySet"),0),":","""",valueMaker!E410,"""")</f>
        <v>kainGender:"女性"</v>
      </c>
      <c r="F410" t="str" cm="1">
        <f t="array" aca="1" ref="F410" ca="1">CONCATENATE(INDIRECT(ADDRESS(1,6,1,0,"KeySet"),0),":","""",TEXT(valueMaker!F410,"yyyy/m/d"),"""")</f>
        <v>tanjyoubi:"1971/3/28"</v>
      </c>
      <c r="G410" t="str" cm="1">
        <f t="array" aca="1" ref="G410" ca="1">CONCATENATE(INDIRECT(ADDRESS(1,6,1,0,"KeySet"),0),":","""",TEXT(valueMaker!G410,"yyyy/m/d"),"""")</f>
        <v>tanjyoubi:"2023/5/10"</v>
      </c>
      <c r="H410" t="str" cm="1">
        <f t="array" aca="1" ref="H410" ca="1">CONCATENATE(INDIRECT(ADDRESS(1,6,1,0,"KeySet"),0),":","""",TEXT(valueMaker!H410,"yyyy/m/d"),"""")</f>
        <v>tanjyoubi:"2025/5/9"</v>
      </c>
      <c r="I410" t="str" cm="1">
        <f t="array" aca="1" ref="I410" ca="1">CONCATENATE(INDIRECT(ADDRESS(1,9,1,0,"KeySet"),0),":","""",valueMaker!I410,"""")</f>
        <v>denwaBangou:"090-8537-5910"</v>
      </c>
      <c r="J410" t="str" cm="1">
        <f t="array" aca="1" ref="J410" ca="1">CONCATENATE(INDIRECT(ADDRESS(1,10,1,0,"KeySet"),0),":","""",valueMaker!J410,"""")</f>
        <v>mailAddress:"Xu_Kuang_Zong_45056@outlook.jp.co"</v>
      </c>
      <c r="K410" t="str" cm="1">
        <f t="array" aca="1" ref="K410" ca="1">CONCATENATE(INDIRECT(ADDRESS(1,11,1,0,"KeySet"),0),":","""",valueMaker!K410,"""")</f>
        <v>kaninSyubetu:"高級"</v>
      </c>
      <c r="L410" t="str" cm="1">
        <f t="array" aca="1" ref="L410" ca="1">CONCATENATE(INDIRECT(ADDRESS(1,12,1,0,"KeySet"),0),":","""",valueMaker!L410,"""")</f>
        <v>kaninKengenWB:"有り"</v>
      </c>
      <c r="M410" t="str" cm="1">
        <f t="array" aca="1" ref="M410" ca="1">CONCATENATE(INDIRECT(ADDRESS(1,13,1,0,"KeySet"),0),":","""",valueMaker!M410,"""")</f>
        <v>wakibiri:"10%"</v>
      </c>
      <c r="N410" t="str" cm="1">
        <f t="array" aca="1" ref="N410" ca="1">CONCATENATE(INDIRECT(ADDRESS(1,14,1,0,"KeySet"),0),":","""",valueMaker!N410,"""")</f>
        <v>kaninKengenPoint:"有り"</v>
      </c>
      <c r="O410" t="str" cm="1">
        <f t="array" aca="1" ref="O410" ca="1">CONCATENATE(INDIRECT(ADDRESS(1,15,1,0,"KeySet"),0),":","""",valueMaker!O410,"""")</f>
        <v>point:"574"</v>
      </c>
      <c r="P410" t="str" cm="1">
        <f t="array" aca="1" ref="P410" ca="1">CONCATENATE(INDIRECT(ADDRESS(1,16,1,0,"KeySet"),0),":","""",valueMaker!P410,"""")</f>
        <v>bikou:""</v>
      </c>
    </row>
    <row r="411" spans="1:16">
      <c r="A411" t="str" cm="1">
        <f t="array" aca="1" ref="A411" ca="1">CONCATENATE(INDIRECT(ADDRESS(1,1,1,0,"KeySet"),0),":","""",valueMaker!A411,"""")</f>
        <v>kainBangou:"TD10410"</v>
      </c>
      <c r="B411" t="str" cm="1">
        <f t="array" aca="1" ref="B411" ca="1">CONCATENATE(INDIRECT(ADDRESS(1,2,1,0,"KeySet"),0),":","""",valueMaker!B411,"""")</f>
        <v>kainMeiKanji:"吳折東"</v>
      </c>
      <c r="C411" t="str" cm="1">
        <f t="array" aca="1" ref="C411" ca="1">CONCATENATE(INDIRECT(ADDRESS(1,3,1,0,"KeySet"),0),":","""",valueMaker!C411,"""")</f>
        <v>kainMeiKana:"ｳｰ ｼﾞｮｰｧ ﾄﾞｰﾝ"</v>
      </c>
      <c r="D411" t="str" cm="1">
        <f t="array" aca="1" ref="D411" ca="1">CONCATENATE(INDIRECT(ADDRESS(1,4,1,0,"KeySet"),0),":","""",valueMaker!D411,"""")</f>
        <v>kainMeiEn:"Wu Zhe Dong"</v>
      </c>
      <c r="E411" t="str" cm="1">
        <f t="array" aca="1" ref="E411" ca="1">CONCATENATE(INDIRECT(ADDRESS(1,5,1,0,"KeySet"),0),":","""",valueMaker!E411,"""")</f>
        <v>kainGender:"女性"</v>
      </c>
      <c r="F411" t="str" cm="1">
        <f t="array" aca="1" ref="F411" ca="1">CONCATENATE(INDIRECT(ADDRESS(1,6,1,0,"KeySet"),0),":","""",TEXT(valueMaker!F411,"yyyy/m/d"),"""")</f>
        <v>tanjyoubi:"1972/7/28"</v>
      </c>
      <c r="G411" t="str" cm="1">
        <f t="array" aca="1" ref="G411" ca="1">CONCATENATE(INDIRECT(ADDRESS(1,6,1,0,"KeySet"),0),":","""",TEXT(valueMaker!G411,"yyyy/m/d"),"""")</f>
        <v>tanjyoubi:"2004/12/1"</v>
      </c>
      <c r="H411" t="str" cm="1">
        <f t="array" aca="1" ref="H411" ca="1">CONCATENATE(INDIRECT(ADDRESS(1,6,1,0,"KeySet"),0),":","""",TEXT(valueMaker!H411,"yyyy/m/d"),"""")</f>
        <v>tanjyoubi:"2005/12/1"</v>
      </c>
      <c r="I411" t="str" cm="1">
        <f t="array" aca="1" ref="I411" ca="1">CONCATENATE(INDIRECT(ADDRESS(1,9,1,0,"KeySet"),0),":","""",valueMaker!I411,"""")</f>
        <v>denwaBangou:"090-9406-8992"</v>
      </c>
      <c r="J411" t="str" cm="1">
        <f t="array" aca="1" ref="J411" ca="1">CONCATENATE(INDIRECT(ADDRESS(1,10,1,0,"KeySet"),0),":","""",valueMaker!J411,"""")</f>
        <v>mailAddress:"Wu_Zhe Dong_38322@outlook.jp.co"</v>
      </c>
      <c r="K411" t="str" cm="1">
        <f t="array" aca="1" ref="K411" ca="1">CONCATENATE(INDIRECT(ADDRESS(1,11,1,0,"KeySet"),0),":","""",valueMaker!K411,"""")</f>
        <v>kaninSyubetu:"高級"</v>
      </c>
      <c r="L411" t="str" cm="1">
        <f t="array" aca="1" ref="L411" ca="1">CONCATENATE(INDIRECT(ADDRESS(1,12,1,0,"KeySet"),0),":","""",valueMaker!L411,"""")</f>
        <v>kaninKengenWB:"有り"</v>
      </c>
      <c r="M411" t="str" cm="1">
        <f t="array" aca="1" ref="M411" ca="1">CONCATENATE(INDIRECT(ADDRESS(1,13,1,0,"KeySet"),0),":","""",valueMaker!M411,"""")</f>
        <v>wakibiri:"10%"</v>
      </c>
      <c r="N411" t="str" cm="1">
        <f t="array" aca="1" ref="N411" ca="1">CONCATENATE(INDIRECT(ADDRESS(1,14,1,0,"KeySet"),0),":","""",valueMaker!N411,"""")</f>
        <v>kaninKengenPoint:"-"</v>
      </c>
      <c r="O411" t="str" cm="1">
        <f t="array" aca="1" ref="O411" ca="1">CONCATENATE(INDIRECT(ADDRESS(1,15,1,0,"KeySet"),0),":","""",valueMaker!O411,"""")</f>
        <v>point:"-"</v>
      </c>
      <c r="P411" t="str" cm="1">
        <f t="array" aca="1" ref="P411" ca="1">CONCATENATE(INDIRECT(ADDRESS(1,16,1,0,"KeySet"),0),":","""",valueMaker!P411,"""")</f>
        <v>bikou:""</v>
      </c>
    </row>
    <row r="412" spans="1:16">
      <c r="A412" t="str" cm="1">
        <f t="array" aca="1" ref="A412" ca="1">CONCATENATE(INDIRECT(ADDRESS(1,1,1,0,"KeySet"),0),":","""",valueMaker!A412,"""")</f>
        <v>kainBangou:"TD10411"</v>
      </c>
      <c r="B412" t="str" cm="1">
        <f t="array" aca="1" ref="B412" ca="1">CONCATENATE(INDIRECT(ADDRESS(1,2,1,0,"KeySet"),0),":","""",valueMaker!B412,"""")</f>
        <v>kainMeiKanji:"劉台亭"</v>
      </c>
      <c r="C412" t="str" cm="1">
        <f t="array" aca="1" ref="C412" ca="1">CONCATENATE(INDIRECT(ADDRESS(1,3,1,0,"KeySet"),0),":","""",valueMaker!C412,"""")</f>
        <v>kainMeiKana:"ﾘｳ ﾀｲ ﾃｨｰﾝ"</v>
      </c>
      <c r="D412" t="str" cm="1">
        <f t="array" aca="1" ref="D412" ca="1">CONCATENATE(INDIRECT(ADDRESS(1,4,1,0,"KeySet"),0),":","""",valueMaker!D412,"""")</f>
        <v>kainMeiEn:"Liu Tai Ting"</v>
      </c>
      <c r="E412" t="str" cm="1">
        <f t="array" aca="1" ref="E412" ca="1">CONCATENATE(INDIRECT(ADDRESS(1,5,1,0,"KeySet"),0),":","""",valueMaker!E412,"""")</f>
        <v>kainGender:"男性"</v>
      </c>
      <c r="F412" t="str" cm="1">
        <f t="array" aca="1" ref="F412" ca="1">CONCATENATE(INDIRECT(ADDRESS(1,6,1,0,"KeySet"),0),":","""",TEXT(valueMaker!F412,"yyyy/m/d"),"""")</f>
        <v>tanjyoubi:"1974/7/11"</v>
      </c>
      <c r="G412" t="str" cm="1">
        <f t="array" aca="1" ref="G412" ca="1">CONCATENATE(INDIRECT(ADDRESS(1,6,1,0,"KeySet"),0),":","""",TEXT(valueMaker!G412,"yyyy/m/d"),"""")</f>
        <v>tanjyoubi:"2010/8/19"</v>
      </c>
      <c r="H412" t="str" cm="1">
        <f t="array" aca="1" ref="H412" ca="1">CONCATENATE(INDIRECT(ADDRESS(1,6,1,0,"KeySet"),0),":","""",TEXT(valueMaker!H412,"yyyy/m/d"),"""")</f>
        <v>tanjyoubi:"2011/8/19"</v>
      </c>
      <c r="I412" t="str" cm="1">
        <f t="array" aca="1" ref="I412" ca="1">CONCATENATE(INDIRECT(ADDRESS(1,9,1,0,"KeySet"),0),":","""",valueMaker!I412,"""")</f>
        <v>denwaBangou:"090-1501-8892"</v>
      </c>
      <c r="J412" t="str" cm="1">
        <f t="array" aca="1" ref="J412" ca="1">CONCATENATE(INDIRECT(ADDRESS(1,10,1,0,"KeySet"),0),":","""",valueMaker!J412,"""")</f>
        <v>mailAddress:"Liu_Tai_Ting_40409@outlook.jp.co"</v>
      </c>
      <c r="K412" t="str" cm="1">
        <f t="array" aca="1" ref="K412" ca="1">CONCATENATE(INDIRECT(ADDRESS(1,11,1,0,"KeySet"),0),":","""",valueMaker!K412,"""")</f>
        <v>kaninSyubetu:"高級"</v>
      </c>
      <c r="L412" t="str" cm="1">
        <f t="array" aca="1" ref="L412" ca="1">CONCATENATE(INDIRECT(ADDRESS(1,12,1,0,"KeySet"),0),":","""",valueMaker!L412,"""")</f>
        <v>kaninKengenWB:"有り"</v>
      </c>
      <c r="M412" t="str" cm="1">
        <f t="array" aca="1" ref="M412" ca="1">CONCATENATE(INDIRECT(ADDRESS(1,13,1,0,"KeySet"),0),":","""",valueMaker!M412,"""")</f>
        <v>wakibiri:"10%"</v>
      </c>
      <c r="N412" t="str" cm="1">
        <f t="array" aca="1" ref="N412" ca="1">CONCATENATE(INDIRECT(ADDRESS(1,14,1,0,"KeySet"),0),":","""",valueMaker!N412,"""")</f>
        <v>kaninKengenPoint:"有り"</v>
      </c>
      <c r="O412" t="str" cm="1">
        <f t="array" aca="1" ref="O412" ca="1">CONCATENATE(INDIRECT(ADDRESS(1,15,1,0,"KeySet"),0),":","""",valueMaker!O412,"""")</f>
        <v>point:"273"</v>
      </c>
      <c r="P412" t="str" cm="1">
        <f t="array" aca="1" ref="P412" ca="1">CONCATENATE(INDIRECT(ADDRESS(1,16,1,0,"KeySet"),0),":","""",valueMaker!P412,"""")</f>
        <v>bikou:""</v>
      </c>
    </row>
    <row r="413" spans="1:16">
      <c r="A413" t="str" cm="1">
        <f t="array" aca="1" ref="A413" ca="1">CONCATENATE(INDIRECT(ADDRESS(1,1,1,0,"KeySet"),0),":","""",valueMaker!A413,"""")</f>
        <v>kainBangou:"TD10412"</v>
      </c>
      <c r="B413" t="str" cm="1">
        <f t="array" aca="1" ref="B413" ca="1">CONCATENATE(INDIRECT(ADDRESS(1,2,1,0,"KeySet"),0),":","""",valueMaker!B413,"""")</f>
        <v>kainMeiKanji:"宋泓聽"</v>
      </c>
      <c r="C413" t="str" cm="1">
        <f t="array" aca="1" ref="C413" ca="1">CONCATENATE(INDIRECT(ADDRESS(1,3,1,0,"KeySet"),0),":","""",valueMaker!C413,"""")</f>
        <v>kainMeiKana:"ｿｰﾝ ﾎｰﾝ ﾃｨｰﾝ"</v>
      </c>
      <c r="D413" t="str" cm="1">
        <f t="array" aca="1" ref="D413" ca="1">CONCATENATE(INDIRECT(ADDRESS(1,4,1,0,"KeySet"),0),":","""",valueMaker!D413,"""")</f>
        <v>kainMeiEn:"Song Hong Ting"</v>
      </c>
      <c r="E413" t="str" cm="1">
        <f t="array" aca="1" ref="E413" ca="1">CONCATENATE(INDIRECT(ADDRESS(1,5,1,0,"KeySet"),0),":","""",valueMaker!E413,"""")</f>
        <v>kainGender:"男性"</v>
      </c>
      <c r="F413" t="str" cm="1">
        <f t="array" aca="1" ref="F413" ca="1">CONCATENATE(INDIRECT(ADDRESS(1,6,1,0,"KeySet"),0),":","""",TEXT(valueMaker!F413,"yyyy/m/d"),"""")</f>
        <v>tanjyoubi:"1975/9/10"</v>
      </c>
      <c r="G413" t="str" cm="1">
        <f t="array" aca="1" ref="G413" ca="1">CONCATENATE(INDIRECT(ADDRESS(1,6,1,0,"KeySet"),0),":","""",TEXT(valueMaker!G413,"yyyy/m/d"),"""")</f>
        <v>tanjyoubi:"2002/3/27"</v>
      </c>
      <c r="H413" t="str" cm="1">
        <f t="array" aca="1" ref="H413" ca="1">CONCATENATE(INDIRECT(ADDRESS(1,6,1,0,"KeySet"),0),":","""",TEXT(valueMaker!H413,"yyyy/m/d"),"""")</f>
        <v>tanjyoubi:"2003/3/27"</v>
      </c>
      <c r="I413" t="str" cm="1">
        <f t="array" aca="1" ref="I413" ca="1">CONCATENATE(INDIRECT(ADDRESS(1,9,1,0,"KeySet"),0),":","""",valueMaker!I413,"""")</f>
        <v>denwaBangou:"080-5862-8202"</v>
      </c>
      <c r="J413" t="str" cm="1">
        <f t="array" aca="1" ref="J413" ca="1">CONCATENATE(INDIRECT(ADDRESS(1,10,1,0,"KeySet"),0),":","""",valueMaker!J413,"""")</f>
        <v>mailAddress:"Song_Hong_Ting_37342@outlook.jp.co"</v>
      </c>
      <c r="K413" t="str" cm="1">
        <f t="array" aca="1" ref="K413" ca="1">CONCATENATE(INDIRECT(ADDRESS(1,11,1,0,"KeySet"),0),":","""",valueMaker!K413,"""")</f>
        <v>kaninSyubetu:"高級"</v>
      </c>
      <c r="L413" t="str" cm="1">
        <f t="array" aca="1" ref="L413" ca="1">CONCATENATE(INDIRECT(ADDRESS(1,12,1,0,"KeySet"),0),":","""",valueMaker!L413,"""")</f>
        <v>kaninKengenWB:"有り"</v>
      </c>
      <c r="M413" t="str" cm="1">
        <f t="array" aca="1" ref="M413" ca="1">CONCATENATE(INDIRECT(ADDRESS(1,13,1,0,"KeySet"),0),":","""",valueMaker!M413,"""")</f>
        <v>wakibiri:"10%"</v>
      </c>
      <c r="N413" t="str" cm="1">
        <f t="array" aca="1" ref="N413" ca="1">CONCATENATE(INDIRECT(ADDRESS(1,14,1,0,"KeySet"),0),":","""",valueMaker!N413,"""")</f>
        <v>kaninKengenPoint:"有り"</v>
      </c>
      <c r="O413" t="str" cm="1">
        <f t="array" aca="1" ref="O413" ca="1">CONCATENATE(INDIRECT(ADDRESS(1,15,1,0,"KeySet"),0),":","""",valueMaker!O413,"""")</f>
        <v>point:"682"</v>
      </c>
      <c r="P413" t="str" cm="1">
        <f t="array" aca="1" ref="P413" ca="1">CONCATENATE(INDIRECT(ADDRESS(1,16,1,0,"KeySet"),0),":","""",valueMaker!P413,"""")</f>
        <v>bikou:""</v>
      </c>
    </row>
    <row r="414" spans="1:16">
      <c r="A414" t="str" cm="1">
        <f t="array" aca="1" ref="A414" ca="1">CONCATENATE(INDIRECT(ADDRESS(1,1,1,0,"KeySet"),0),":","""",valueMaker!A414,"""")</f>
        <v>kainBangou:"TD10413"</v>
      </c>
      <c r="B414" t="str" cm="1">
        <f t="array" aca="1" ref="B414" ca="1">CONCATENATE(INDIRECT(ADDRESS(1,2,1,0,"KeySet"),0),":","""",valueMaker!B414,"""")</f>
        <v>kainMeiKanji:"黃銀池"</v>
      </c>
      <c r="C414" t="str" cm="1">
        <f t="array" aca="1" ref="C414" ca="1">CONCATENATE(INDIRECT(ADDRESS(1,3,1,0,"KeySet"),0),":","""",valueMaker!C414,"""")</f>
        <v>kainMeiKana:"ﾎﾜｰﾝ ｲﾝ ﾁｰ"</v>
      </c>
      <c r="D414" t="str" cm="1">
        <f t="array" aca="1" ref="D414" ca="1">CONCATENATE(INDIRECT(ADDRESS(1,4,1,0,"KeySet"),0),":","""",valueMaker!D414,"""")</f>
        <v>kainMeiEn:"Huang Yin Chi"</v>
      </c>
      <c r="E414" t="str" cm="1">
        <f t="array" aca="1" ref="E414" ca="1">CONCATENATE(INDIRECT(ADDRESS(1,5,1,0,"KeySet"),0),":","""",valueMaker!E414,"""")</f>
        <v>kainGender:"女性"</v>
      </c>
      <c r="F414" t="str" cm="1">
        <f t="array" aca="1" ref="F414" ca="1">CONCATENATE(INDIRECT(ADDRESS(1,6,1,0,"KeySet"),0),":","""",TEXT(valueMaker!F414,"yyyy/m/d"),"""")</f>
        <v>tanjyoubi:"1972/11/20"</v>
      </c>
      <c r="G414" t="str" cm="1">
        <f t="array" aca="1" ref="G414" ca="1">CONCATENATE(INDIRECT(ADDRESS(1,6,1,0,"KeySet"),0),":","""",TEXT(valueMaker!G414,"yyyy/m/d"),"""")</f>
        <v>tanjyoubi:"2009/4/24"</v>
      </c>
      <c r="H414" t="str" cm="1">
        <f t="array" aca="1" ref="H414" ca="1">CONCATENATE(INDIRECT(ADDRESS(1,6,1,0,"KeySet"),0),":","""",TEXT(valueMaker!H414,"yyyy/m/d"),"""")</f>
        <v>tanjyoubi:"2012/4/23"</v>
      </c>
      <c r="I414" t="str" cm="1">
        <f t="array" aca="1" ref="I414" ca="1">CONCATENATE(INDIRECT(ADDRESS(1,9,1,0,"KeySet"),0),":","""",valueMaker!I414,"""")</f>
        <v>denwaBangou:"080-4079-5058"</v>
      </c>
      <c r="J414" t="str" cm="1">
        <f t="array" aca="1" ref="J414" ca="1">CONCATENATE(INDIRECT(ADDRESS(1,10,1,0,"KeySet"),0),":","""",valueMaker!J414,"""")</f>
        <v>mailAddress:"Huang_Yin_Chi_39927@outlook.jp.co"</v>
      </c>
      <c r="K414" t="str" cm="1">
        <f t="array" aca="1" ref="K414" ca="1">CONCATENATE(INDIRECT(ADDRESS(1,11,1,0,"KeySet"),0),":","""",valueMaker!K414,"""")</f>
        <v>kaninSyubetu:"普通"</v>
      </c>
      <c r="L414" t="str" cm="1">
        <f t="array" aca="1" ref="L414" ca="1">CONCATENATE(INDIRECT(ADDRESS(1,12,1,0,"KeySet"),0),":","""",valueMaker!L414,"""")</f>
        <v>kaninKengenWB:"有り"</v>
      </c>
      <c r="M414" t="str" cm="1">
        <f t="array" aca="1" ref="M414" ca="1">CONCATENATE(INDIRECT(ADDRESS(1,13,1,0,"KeySet"),0),":","""",valueMaker!M414,"""")</f>
        <v>wakibiri:"5%"</v>
      </c>
      <c r="N414" t="str" cm="1">
        <f t="array" aca="1" ref="N414" ca="1">CONCATENATE(INDIRECT(ADDRESS(1,14,1,0,"KeySet"),0),":","""",valueMaker!N414,"""")</f>
        <v>kaninKengenPoint:"有り"</v>
      </c>
      <c r="O414" t="str" cm="1">
        <f t="array" aca="1" ref="O414" ca="1">CONCATENATE(INDIRECT(ADDRESS(1,15,1,0,"KeySet"),0),":","""",valueMaker!O414,"""")</f>
        <v>point:"708"</v>
      </c>
      <c r="P414" t="str" cm="1">
        <f t="array" aca="1" ref="P414" ca="1">CONCATENATE(INDIRECT(ADDRESS(1,16,1,0,"KeySet"),0),":","""",valueMaker!P414,"""")</f>
        <v>bikou:""</v>
      </c>
    </row>
    <row r="415" spans="1:16">
      <c r="A415" t="str" cm="1">
        <f t="array" aca="1" ref="A415" ca="1">CONCATENATE(INDIRECT(ADDRESS(1,1,1,0,"KeySet"),0),":","""",valueMaker!A415,"""")</f>
        <v>kainBangou:"TD10414"</v>
      </c>
      <c r="B415" t="str" cm="1">
        <f t="array" aca="1" ref="B415" ca="1">CONCATENATE(INDIRECT(ADDRESS(1,2,1,0,"KeySet"),0),":","""",valueMaker!B415,"""")</f>
        <v>kainMeiKanji:"胡韋覽"</v>
      </c>
      <c r="C415" t="str" cm="1">
        <f t="array" aca="1" ref="C415" ca="1">CONCATENATE(INDIRECT(ADDRESS(1,3,1,0,"KeySet"),0),":","""",valueMaker!C415,"""")</f>
        <v>kainMeiKana:"ﾎｩ ｳｴｲ ﾗﾝ"</v>
      </c>
      <c r="D415" t="str" cm="1">
        <f t="array" aca="1" ref="D415" ca="1">CONCATENATE(INDIRECT(ADDRESS(1,4,1,0,"KeySet"),0),":","""",valueMaker!D415,"""")</f>
        <v>kainMeiEn:"Hu Wei Lan"</v>
      </c>
      <c r="E415" t="str" cm="1">
        <f t="array" aca="1" ref="E415" ca="1">CONCATENATE(INDIRECT(ADDRESS(1,5,1,0,"KeySet"),0),":","""",valueMaker!E415,"""")</f>
        <v>kainGender:"女性"</v>
      </c>
      <c r="F415" t="str" cm="1">
        <f t="array" aca="1" ref="F415" ca="1">CONCATENATE(INDIRECT(ADDRESS(1,6,1,0,"KeySet"),0),":","""",TEXT(valueMaker!F415,"yyyy/m/d"),"""")</f>
        <v>tanjyoubi:"1998/1/27"</v>
      </c>
      <c r="G415" t="str" cm="1">
        <f t="array" aca="1" ref="G415" ca="1">CONCATENATE(INDIRECT(ADDRESS(1,6,1,0,"KeySet"),0),":","""",TEXT(valueMaker!G415,"yyyy/m/d"),"""")</f>
        <v>tanjyoubi:"2017/1/29"</v>
      </c>
      <c r="H415" t="str" cm="1">
        <f t="array" aca="1" ref="H415" ca="1">CONCATENATE(INDIRECT(ADDRESS(1,6,1,0,"KeySet"),0),":","""",TEXT(valueMaker!H415,"yyyy/m/d"),"""")</f>
        <v>tanjyoubi:"2018/1/29"</v>
      </c>
      <c r="I415" t="str" cm="1">
        <f t="array" aca="1" ref="I415" ca="1">CONCATENATE(INDIRECT(ADDRESS(1,9,1,0,"KeySet"),0),":","""",valueMaker!I415,"""")</f>
        <v>denwaBangou:"090-2365-3364"</v>
      </c>
      <c r="J415" t="str" cm="1">
        <f t="array" aca="1" ref="J415" ca="1">CONCATENATE(INDIRECT(ADDRESS(1,10,1,0,"KeySet"),0),":","""",valueMaker!J415,"""")</f>
        <v>mailAddress:"Hu_Wei_Lan_42764@outlook.jp.co"</v>
      </c>
      <c r="K415" t="str" cm="1">
        <f t="array" aca="1" ref="K415" ca="1">CONCATENATE(INDIRECT(ADDRESS(1,11,1,0,"KeySet"),0),":","""",valueMaker!K415,"""")</f>
        <v>kaninSyubetu:"普通"</v>
      </c>
      <c r="L415" t="str" cm="1">
        <f t="array" aca="1" ref="L415" ca="1">CONCATENATE(INDIRECT(ADDRESS(1,12,1,0,"KeySet"),0),":","""",valueMaker!L415,"""")</f>
        <v>kaninKengenWB:"有り"</v>
      </c>
      <c r="M415" t="str" cm="1">
        <f t="array" aca="1" ref="M415" ca="1">CONCATENATE(INDIRECT(ADDRESS(1,13,1,0,"KeySet"),0),":","""",valueMaker!M415,"""")</f>
        <v>wakibiri:"5%"</v>
      </c>
      <c r="N415" t="str" cm="1">
        <f t="array" aca="1" ref="N415" ca="1">CONCATENATE(INDIRECT(ADDRESS(1,14,1,0,"KeySet"),0),":","""",valueMaker!N415,"""")</f>
        <v>kaninKengenPoint:"有り"</v>
      </c>
      <c r="O415" t="str" cm="1">
        <f t="array" aca="1" ref="O415" ca="1">CONCATENATE(INDIRECT(ADDRESS(1,15,1,0,"KeySet"),0),":","""",valueMaker!O415,"""")</f>
        <v>point:"478"</v>
      </c>
      <c r="P415" t="str" cm="1">
        <f t="array" aca="1" ref="P415" ca="1">CONCATENATE(INDIRECT(ADDRESS(1,16,1,0,"KeySet"),0),":","""",valueMaker!P415,"""")</f>
        <v>bikou:""</v>
      </c>
    </row>
    <row r="416" spans="1:16">
      <c r="A416" t="str" cm="1">
        <f t="array" aca="1" ref="A416" ca="1">CONCATENATE(INDIRECT(ADDRESS(1,1,1,0,"KeySet"),0),":","""",valueMaker!A416,"""")</f>
        <v>kainBangou:"TD10415"</v>
      </c>
      <c r="B416" t="str" cm="1">
        <f t="array" aca="1" ref="B416" ca="1">CONCATENATE(INDIRECT(ADDRESS(1,2,1,0,"KeySet"),0),":","""",valueMaker!B416,"""")</f>
        <v>kainMeiKanji:"張唯慶"</v>
      </c>
      <c r="C416" t="str" cm="1">
        <f t="array" aca="1" ref="C416" ca="1">CONCATENATE(INDIRECT(ADDRESS(1,3,1,0,"KeySet"),0),":","""",valueMaker!C416,"""")</f>
        <v>kainMeiKana:"ｼﾞｬｰﾝ ｳｴｲ ﾁｰﾝ"</v>
      </c>
      <c r="D416" t="str" cm="1">
        <f t="array" aca="1" ref="D416" ca="1">CONCATENATE(INDIRECT(ADDRESS(1,4,1,0,"KeySet"),0),":","""",valueMaker!D416,"""")</f>
        <v>kainMeiEn:"Zhang Wei Qing"</v>
      </c>
      <c r="E416" t="str" cm="1">
        <f t="array" aca="1" ref="E416" ca="1">CONCATENATE(INDIRECT(ADDRESS(1,5,1,0,"KeySet"),0),":","""",valueMaker!E416,"""")</f>
        <v>kainGender:"女性"</v>
      </c>
      <c r="F416" t="str" cm="1">
        <f t="array" aca="1" ref="F416" ca="1">CONCATENATE(INDIRECT(ADDRESS(1,6,1,0,"KeySet"),0),":","""",TEXT(valueMaker!F416,"yyyy/m/d"),"""")</f>
        <v>tanjyoubi:"1996/10/23"</v>
      </c>
      <c r="G416" t="str" cm="1">
        <f t="array" aca="1" ref="G416" ca="1">CONCATENATE(INDIRECT(ADDRESS(1,6,1,0,"KeySet"),0),":","""",TEXT(valueMaker!G416,"yyyy/m/d"),"""")</f>
        <v>tanjyoubi:"2020/3/14"</v>
      </c>
      <c r="H416" t="str" cm="1">
        <f t="array" aca="1" ref="H416" ca="1">CONCATENATE(INDIRECT(ADDRESS(1,6,1,0,"KeySet"),0),":","""",TEXT(valueMaker!H416,"yyyy/m/d"),"""")</f>
        <v>tanjyoubi:"2022/3/14"</v>
      </c>
      <c r="I416" t="str" cm="1">
        <f t="array" aca="1" ref="I416" ca="1">CONCATENATE(INDIRECT(ADDRESS(1,9,1,0,"KeySet"),0),":","""",valueMaker!I416,"""")</f>
        <v>denwaBangou:"080-7268-5308"</v>
      </c>
      <c r="J416" t="str" cm="1">
        <f t="array" aca="1" ref="J416" ca="1">CONCATENATE(INDIRECT(ADDRESS(1,10,1,0,"KeySet"),0),":","""",valueMaker!J416,"""")</f>
        <v>mailAddress:"Zhang_Wei_Qing_43904@outlook.jp.co"</v>
      </c>
      <c r="K416" t="str" cm="1">
        <f t="array" aca="1" ref="K416" ca="1">CONCATENATE(INDIRECT(ADDRESS(1,11,1,0,"KeySet"),0),":","""",valueMaker!K416,"""")</f>
        <v>kaninSyubetu:"高級"</v>
      </c>
      <c r="L416" t="str" cm="1">
        <f t="array" aca="1" ref="L416" ca="1">CONCATENATE(INDIRECT(ADDRESS(1,12,1,0,"KeySet"),0),":","""",valueMaker!L416,"""")</f>
        <v>kaninKengenWB:"-"</v>
      </c>
      <c r="M416" t="str" cm="1">
        <f t="array" aca="1" ref="M416" ca="1">CONCATENATE(INDIRECT(ADDRESS(1,13,1,0,"KeySet"),0),":","""",valueMaker!M416,"""")</f>
        <v>wakibiri:"-"</v>
      </c>
      <c r="N416" t="str" cm="1">
        <f t="array" aca="1" ref="N416" ca="1">CONCATENATE(INDIRECT(ADDRESS(1,14,1,0,"KeySet"),0),":","""",valueMaker!N416,"""")</f>
        <v>kaninKengenPoint:"有り"</v>
      </c>
      <c r="O416" t="str" cm="1">
        <f t="array" aca="1" ref="O416" ca="1">CONCATENATE(INDIRECT(ADDRESS(1,15,1,0,"KeySet"),0),":","""",valueMaker!O416,"""")</f>
        <v>point:"497"</v>
      </c>
      <c r="P416" t="str" cm="1">
        <f t="array" aca="1" ref="P416" ca="1">CONCATENATE(INDIRECT(ADDRESS(1,16,1,0,"KeySet"),0),":","""",valueMaker!P416,"""")</f>
        <v>bikou:""</v>
      </c>
    </row>
    <row r="417" spans="1:16">
      <c r="A417" t="str" cm="1">
        <f t="array" aca="1" ref="A417" ca="1">CONCATENATE(INDIRECT(ADDRESS(1,1,1,0,"KeySet"),0),":","""",valueMaker!A417,"""")</f>
        <v>kainBangou:"TD10416"</v>
      </c>
      <c r="B417" t="str" cm="1">
        <f t="array" aca="1" ref="B417" ca="1">CONCATENATE(INDIRECT(ADDRESS(1,2,1,0,"KeySet"),0),":","""",valueMaker!B417,"""")</f>
        <v>kainMeiKanji:"黃真物"</v>
      </c>
      <c r="C417" t="str" cm="1">
        <f t="array" aca="1" ref="C417" ca="1">CONCATENATE(INDIRECT(ADDRESS(1,3,1,0,"KeySet"),0),":","""",valueMaker!C417,"""")</f>
        <v>kainMeiKana:"ﾎﾜｰﾝ ｼﾞｪﾝ ｳｰ"</v>
      </c>
      <c r="D417" t="str" cm="1">
        <f t="array" aca="1" ref="D417" ca="1">CONCATENATE(INDIRECT(ADDRESS(1,4,1,0,"KeySet"),0),":","""",valueMaker!D417,"""")</f>
        <v>kainMeiEn:"Huang Zhen Wu"</v>
      </c>
      <c r="E417" t="str" cm="1">
        <f t="array" aca="1" ref="E417" ca="1">CONCATENATE(INDIRECT(ADDRESS(1,5,1,0,"KeySet"),0),":","""",valueMaker!E417,"""")</f>
        <v>kainGender:"女性"</v>
      </c>
      <c r="F417" t="str" cm="1">
        <f t="array" aca="1" ref="F417" ca="1">CONCATENATE(INDIRECT(ADDRESS(1,6,1,0,"KeySet"),0),":","""",TEXT(valueMaker!F417,"yyyy/m/d"),"""")</f>
        <v>tanjyoubi:"1978/12/1"</v>
      </c>
      <c r="G417" t="str" cm="1">
        <f t="array" aca="1" ref="G417" ca="1">CONCATENATE(INDIRECT(ADDRESS(1,6,1,0,"KeySet"),0),":","""",TEXT(valueMaker!G417,"yyyy/m/d"),"""")</f>
        <v>tanjyoubi:"2022/1/23"</v>
      </c>
      <c r="H417" t="str" cm="1">
        <f t="array" aca="1" ref="H417" ca="1">CONCATENATE(INDIRECT(ADDRESS(1,6,1,0,"KeySet"),0),":","""",TEXT(valueMaker!H417,"yyyy/m/d"),"""")</f>
        <v>tanjyoubi:"2023/1/23"</v>
      </c>
      <c r="I417" t="str" cm="1">
        <f t="array" aca="1" ref="I417" ca="1">CONCATENATE(INDIRECT(ADDRESS(1,9,1,0,"KeySet"),0),":","""",valueMaker!I417,"""")</f>
        <v>denwaBangou:"080-7727-0024"</v>
      </c>
      <c r="J417" t="str" cm="1">
        <f t="array" aca="1" ref="J417" ca="1">CONCATENATE(INDIRECT(ADDRESS(1,10,1,0,"KeySet"),0),":","""",valueMaker!J417,"""")</f>
        <v>mailAddress:"Huang_Zhen_Wu_44584@outlook.jp.co"</v>
      </c>
      <c r="K417" t="str" cm="1">
        <f t="array" aca="1" ref="K417" ca="1">CONCATENATE(INDIRECT(ADDRESS(1,11,1,0,"KeySet"),0),":","""",valueMaker!K417,"""")</f>
        <v>kaninSyubetu:"普通"</v>
      </c>
      <c r="L417" t="str" cm="1">
        <f t="array" aca="1" ref="L417" ca="1">CONCATENATE(INDIRECT(ADDRESS(1,12,1,0,"KeySet"),0),":","""",valueMaker!L417,"""")</f>
        <v>kaninKengenWB:"有り"</v>
      </c>
      <c r="M417" t="str" cm="1">
        <f t="array" aca="1" ref="M417" ca="1">CONCATENATE(INDIRECT(ADDRESS(1,13,1,0,"KeySet"),0),":","""",valueMaker!M417,"""")</f>
        <v>wakibiri:"5%"</v>
      </c>
      <c r="N417" t="str" cm="1">
        <f t="array" aca="1" ref="N417" ca="1">CONCATENATE(INDIRECT(ADDRESS(1,14,1,0,"KeySet"),0),":","""",valueMaker!N417,"""")</f>
        <v>kaninKengenPoint:"-"</v>
      </c>
      <c r="O417" t="str" cm="1">
        <f t="array" aca="1" ref="O417" ca="1">CONCATENATE(INDIRECT(ADDRESS(1,15,1,0,"KeySet"),0),":","""",valueMaker!O417,"""")</f>
        <v>point:"-"</v>
      </c>
      <c r="P417" t="str" cm="1">
        <f t="array" aca="1" ref="P417" ca="1">CONCATENATE(INDIRECT(ADDRESS(1,16,1,0,"KeySet"),0),":","""",valueMaker!P417,"""")</f>
        <v>bikou:""</v>
      </c>
    </row>
    <row r="418" spans="1:16">
      <c r="A418" t="str" cm="1">
        <f t="array" aca="1" ref="A418" ca="1">CONCATENATE(INDIRECT(ADDRESS(1,1,1,0,"KeySet"),0),":","""",valueMaker!A418,"""")</f>
        <v>kainBangou:"TD10417"</v>
      </c>
      <c r="B418" t="str" cm="1">
        <f t="array" aca="1" ref="B418" ca="1">CONCATENATE(INDIRECT(ADDRESS(1,2,1,0,"KeySet"),0),":","""",valueMaker!B418,"""")</f>
        <v>kainMeiKanji:"高唯勳"</v>
      </c>
      <c r="C418" t="str" cm="1">
        <f t="array" aca="1" ref="C418" ca="1">CONCATENATE(INDIRECT(ADDRESS(1,3,1,0,"KeySet"),0),":","""",valueMaker!C418,"""")</f>
        <v>kainMeiKana:"ｶﾞｵ ｳｴｲ ｼｭｲﾝ"</v>
      </c>
      <c r="D418" t="str" cm="1">
        <f t="array" aca="1" ref="D418" ca="1">CONCATENATE(INDIRECT(ADDRESS(1,4,1,0,"KeySet"),0),":","""",valueMaker!D418,"""")</f>
        <v>kainMeiEn:"Gao Wei Xun"</v>
      </c>
      <c r="E418" t="str" cm="1">
        <f t="array" aca="1" ref="E418" ca="1">CONCATENATE(INDIRECT(ADDRESS(1,5,1,0,"KeySet"),0),":","""",valueMaker!E418,"""")</f>
        <v>kainGender:"男性"</v>
      </c>
      <c r="F418" t="str" cm="1">
        <f t="array" aca="1" ref="F418" ca="1">CONCATENATE(INDIRECT(ADDRESS(1,6,1,0,"KeySet"),0),":","""",TEXT(valueMaker!F418,"yyyy/m/d"),"""")</f>
        <v>tanjyoubi:"1986/12/2"</v>
      </c>
      <c r="G418" t="str" cm="1">
        <f t="array" aca="1" ref="G418" ca="1">CONCATENATE(INDIRECT(ADDRESS(1,6,1,0,"KeySet"),0),":","""",TEXT(valueMaker!G418,"yyyy/m/d"),"""")</f>
        <v>tanjyoubi:"2006/3/21"</v>
      </c>
      <c r="H418" t="str" cm="1">
        <f t="array" aca="1" ref="H418" ca="1">CONCATENATE(INDIRECT(ADDRESS(1,6,1,0,"KeySet"),0),":","""",TEXT(valueMaker!H418,"yyyy/m/d"),"""")</f>
        <v>tanjyoubi:"2007/3/21"</v>
      </c>
      <c r="I418" t="str" cm="1">
        <f t="array" aca="1" ref="I418" ca="1">CONCATENATE(INDIRECT(ADDRESS(1,9,1,0,"KeySet"),0),":","""",valueMaker!I418,"""")</f>
        <v>denwaBangou:"090-9585-9723"</v>
      </c>
      <c r="J418" t="str" cm="1">
        <f t="array" aca="1" ref="J418" ca="1">CONCATENATE(INDIRECT(ADDRESS(1,10,1,0,"KeySet"),0),":","""",valueMaker!J418,"""")</f>
        <v>mailAddress:"Gao_Wei_Xun_38797@outlook.jp.co"</v>
      </c>
      <c r="K418" t="str" cm="1">
        <f t="array" aca="1" ref="K418" ca="1">CONCATENATE(INDIRECT(ADDRESS(1,11,1,0,"KeySet"),0),":","""",valueMaker!K418,"""")</f>
        <v>kaninSyubetu:"高級"</v>
      </c>
      <c r="L418" t="str" cm="1">
        <f t="array" aca="1" ref="L418" ca="1">CONCATENATE(INDIRECT(ADDRESS(1,12,1,0,"KeySet"),0),":","""",valueMaker!L418,"""")</f>
        <v>kaninKengenWB:"有り"</v>
      </c>
      <c r="M418" t="str" cm="1">
        <f t="array" aca="1" ref="M418" ca="1">CONCATENATE(INDIRECT(ADDRESS(1,13,1,0,"KeySet"),0),":","""",valueMaker!M418,"""")</f>
        <v>wakibiri:"10%"</v>
      </c>
      <c r="N418" t="str" cm="1">
        <f t="array" aca="1" ref="N418" ca="1">CONCATENATE(INDIRECT(ADDRESS(1,14,1,0,"KeySet"),0),":","""",valueMaker!N418,"""")</f>
        <v>kaninKengenPoint:"有り"</v>
      </c>
      <c r="O418" t="str" cm="1">
        <f t="array" aca="1" ref="O418" ca="1">CONCATENATE(INDIRECT(ADDRESS(1,15,1,0,"KeySet"),0),":","""",valueMaker!O418,"""")</f>
        <v>point:"199"</v>
      </c>
      <c r="P418" t="str" cm="1">
        <f t="array" aca="1" ref="P418" ca="1">CONCATENATE(INDIRECT(ADDRESS(1,16,1,0,"KeySet"),0),":","""",valueMaker!P418,"""")</f>
        <v>bikou:""</v>
      </c>
    </row>
    <row r="419" spans="1:16">
      <c r="A419" t="str" cm="1">
        <f t="array" aca="1" ref="A419" ca="1">CONCATENATE(INDIRECT(ADDRESS(1,1,1,0,"KeySet"),0),":","""",valueMaker!A419,"""")</f>
        <v>kainBangou:"TD10418"</v>
      </c>
      <c r="B419" t="str" cm="1">
        <f t="array" aca="1" ref="B419" ca="1">CONCATENATE(INDIRECT(ADDRESS(1,2,1,0,"KeySet"),0),":","""",valueMaker!B419,"""")</f>
        <v>kainMeiKanji:"高芬勁"</v>
      </c>
      <c r="C419" t="str" cm="1">
        <f t="array" aca="1" ref="C419" ca="1">CONCATENATE(INDIRECT(ADDRESS(1,3,1,0,"KeySet"),0),":","""",valueMaker!C419,"""")</f>
        <v>kainMeiKana:"ｶﾞｵ ﾌｪﾝ ｼﾞﾝ"</v>
      </c>
      <c r="D419" t="str" cm="1">
        <f t="array" aca="1" ref="D419" ca="1">CONCATENATE(INDIRECT(ADDRESS(1,4,1,0,"KeySet"),0),":","""",valueMaker!D419,"""")</f>
        <v>kainMeiEn:"Gao Fen Jin"</v>
      </c>
      <c r="E419" t="str" cm="1">
        <f t="array" aca="1" ref="E419" ca="1">CONCATENATE(INDIRECT(ADDRESS(1,5,1,0,"KeySet"),0),":","""",valueMaker!E419,"""")</f>
        <v>kainGender:"男性"</v>
      </c>
      <c r="F419" t="str" cm="1">
        <f t="array" aca="1" ref="F419" ca="1">CONCATENATE(INDIRECT(ADDRESS(1,6,1,0,"KeySet"),0),":","""",TEXT(valueMaker!F419,"yyyy/m/d"),"""")</f>
        <v>tanjyoubi:"1994/11/12"</v>
      </c>
      <c r="G419" t="str" cm="1">
        <f t="array" aca="1" ref="G419" ca="1">CONCATENATE(INDIRECT(ADDRESS(1,6,1,0,"KeySet"),0),":","""",TEXT(valueMaker!G419,"yyyy/m/d"),"""")</f>
        <v>tanjyoubi:"2021/10/24"</v>
      </c>
      <c r="H419" t="str" cm="1">
        <f t="array" aca="1" ref="H419" ca="1">CONCATENATE(INDIRECT(ADDRESS(1,6,1,0,"KeySet"),0),":","""",TEXT(valueMaker!H419,"yyyy/m/d"),"""")</f>
        <v>tanjyoubi:"2022/10/24"</v>
      </c>
      <c r="I419" t="str" cm="1">
        <f t="array" aca="1" ref="I419" ca="1">CONCATENATE(INDIRECT(ADDRESS(1,9,1,0,"KeySet"),0),":","""",valueMaker!I419,"""")</f>
        <v>denwaBangou:"080-0903-4981"</v>
      </c>
      <c r="J419" t="str" cm="1">
        <f t="array" aca="1" ref="J419" ca="1">CONCATENATE(INDIRECT(ADDRESS(1,10,1,0,"KeySet"),0),":","""",valueMaker!J419,"""")</f>
        <v>mailAddress:"Gao_Fen Jin_44493@outlook.jp.co"</v>
      </c>
      <c r="K419" t="str" cm="1">
        <f t="array" aca="1" ref="K419" ca="1">CONCATENATE(INDIRECT(ADDRESS(1,11,1,0,"KeySet"),0),":","""",valueMaker!K419,"""")</f>
        <v>kaninSyubetu:"高級"</v>
      </c>
      <c r="L419" t="str" cm="1">
        <f t="array" aca="1" ref="L419" ca="1">CONCATENATE(INDIRECT(ADDRESS(1,12,1,0,"KeySet"),0),":","""",valueMaker!L419,"""")</f>
        <v>kaninKengenWB:"有り"</v>
      </c>
      <c r="M419" t="str" cm="1">
        <f t="array" aca="1" ref="M419" ca="1">CONCATENATE(INDIRECT(ADDRESS(1,13,1,0,"KeySet"),0),":","""",valueMaker!M419,"""")</f>
        <v>wakibiri:"10%"</v>
      </c>
      <c r="N419" t="str" cm="1">
        <f t="array" aca="1" ref="N419" ca="1">CONCATENATE(INDIRECT(ADDRESS(1,14,1,0,"KeySet"),0),":","""",valueMaker!N419,"""")</f>
        <v>kaninKengenPoint:"有り"</v>
      </c>
      <c r="O419" t="str" cm="1">
        <f t="array" aca="1" ref="O419" ca="1">CONCATENATE(INDIRECT(ADDRESS(1,15,1,0,"KeySet"),0),":","""",valueMaker!O419,"""")</f>
        <v>point:"911"</v>
      </c>
      <c r="P419" t="str" cm="1">
        <f t="array" aca="1" ref="P419" ca="1">CONCATENATE(INDIRECT(ADDRESS(1,16,1,0,"KeySet"),0),":","""",valueMaker!P419,"""")</f>
        <v>bikou:""</v>
      </c>
    </row>
    <row r="420" spans="1:16">
      <c r="A420" t="str" cm="1">
        <f t="array" aca="1" ref="A420" ca="1">CONCATENATE(INDIRECT(ADDRESS(1,1,1,0,"KeySet"),0),":","""",valueMaker!A420,"""")</f>
        <v>kainBangou:"TD10419"</v>
      </c>
      <c r="B420" t="str" cm="1">
        <f t="array" aca="1" ref="B420" ca="1">CONCATENATE(INDIRECT(ADDRESS(1,2,1,0,"KeySet"),0),":","""",valueMaker!B420,"""")</f>
        <v>kainMeiKanji:"楊欽西"</v>
      </c>
      <c r="C420" t="str" cm="1">
        <f t="array" aca="1" ref="C420" ca="1">CONCATENATE(INDIRECT(ADDRESS(1,3,1,0,"KeySet"),0),":","""",valueMaker!C420,"""")</f>
        <v>kainMeiKana:"ﾔｰﾝ ﾁﾝ ｼｲ"</v>
      </c>
      <c r="D420" t="str" cm="1">
        <f t="array" aca="1" ref="D420" ca="1">CONCATENATE(INDIRECT(ADDRESS(1,4,1,0,"KeySet"),0),":","""",valueMaker!D420,"""")</f>
        <v>kainMeiEn:"Yang Qin Xi"</v>
      </c>
      <c r="E420" t="str" cm="1">
        <f t="array" aca="1" ref="E420" ca="1">CONCATENATE(INDIRECT(ADDRESS(1,5,1,0,"KeySet"),0),":","""",valueMaker!E420,"""")</f>
        <v>kainGender:"女性"</v>
      </c>
      <c r="F420" t="str" cm="1">
        <f t="array" aca="1" ref="F420" ca="1">CONCATENATE(INDIRECT(ADDRESS(1,6,1,0,"KeySet"),0),":","""",TEXT(valueMaker!F420,"yyyy/m/d"),"""")</f>
        <v>tanjyoubi:"1980/11/7"</v>
      </c>
      <c r="G420" t="str" cm="1">
        <f t="array" aca="1" ref="G420" ca="1">CONCATENATE(INDIRECT(ADDRESS(1,6,1,0,"KeySet"),0),":","""",TEXT(valueMaker!G420,"yyyy/m/d"),"""")</f>
        <v>tanjyoubi:"2013/5/17"</v>
      </c>
      <c r="H420" t="str" cm="1">
        <f t="array" aca="1" ref="H420" ca="1">CONCATENATE(INDIRECT(ADDRESS(1,6,1,0,"KeySet"),0),":","""",TEXT(valueMaker!H420,"yyyy/m/d"),"""")</f>
        <v>tanjyoubi:"2014/5/17"</v>
      </c>
      <c r="I420" t="str" cm="1">
        <f t="array" aca="1" ref="I420" ca="1">CONCATENATE(INDIRECT(ADDRESS(1,9,1,0,"KeySet"),0),":","""",valueMaker!I420,"""")</f>
        <v>denwaBangou:"080-4422-0324"</v>
      </c>
      <c r="J420" t="str" cm="1">
        <f t="array" aca="1" ref="J420" ca="1">CONCATENATE(INDIRECT(ADDRESS(1,10,1,0,"KeySet"),0),":","""",valueMaker!J420,"""")</f>
        <v>mailAddress:"Yang_Qin_Xi_41411@outlook.jp.co"</v>
      </c>
      <c r="K420" t="str" cm="1">
        <f t="array" aca="1" ref="K420" ca="1">CONCATENATE(INDIRECT(ADDRESS(1,11,1,0,"KeySet"),0),":","""",valueMaker!K420,"""")</f>
        <v>kaninSyubetu:"高級"</v>
      </c>
      <c r="L420" t="str" cm="1">
        <f t="array" aca="1" ref="L420" ca="1">CONCATENATE(INDIRECT(ADDRESS(1,12,1,0,"KeySet"),0),":","""",valueMaker!L420,"""")</f>
        <v>kaninKengenWB:"有り"</v>
      </c>
      <c r="M420" t="str" cm="1">
        <f t="array" aca="1" ref="M420" ca="1">CONCATENATE(INDIRECT(ADDRESS(1,13,1,0,"KeySet"),0),":","""",valueMaker!M420,"""")</f>
        <v>wakibiri:"10%"</v>
      </c>
      <c r="N420" t="str" cm="1">
        <f t="array" aca="1" ref="N420" ca="1">CONCATENATE(INDIRECT(ADDRESS(1,14,1,0,"KeySet"),0),":","""",valueMaker!N420,"""")</f>
        <v>kaninKengenPoint:"有り"</v>
      </c>
      <c r="O420" t="str" cm="1">
        <f t="array" aca="1" ref="O420" ca="1">CONCATENATE(INDIRECT(ADDRESS(1,15,1,0,"KeySet"),0),":","""",valueMaker!O420,"""")</f>
        <v>point:"73"</v>
      </c>
      <c r="P420" t="str" cm="1">
        <f t="array" aca="1" ref="P420" ca="1">CONCATENATE(INDIRECT(ADDRESS(1,16,1,0,"KeySet"),0),":","""",valueMaker!P420,"""")</f>
        <v>bikou:""</v>
      </c>
    </row>
    <row r="421" spans="1:16">
      <c r="A421" t="str" cm="1">
        <f t="array" aca="1" ref="A421" ca="1">CONCATENATE(INDIRECT(ADDRESS(1,1,1,0,"KeySet"),0),":","""",valueMaker!A421,"""")</f>
        <v>kainBangou:"TD10420"</v>
      </c>
      <c r="B421" t="str" cm="1">
        <f t="array" aca="1" ref="B421" ca="1">CONCATENATE(INDIRECT(ADDRESS(1,2,1,0,"KeySet"),0),":","""",valueMaker!B421,"""")</f>
        <v>kainMeiKanji:"王索頻"</v>
      </c>
      <c r="C421" t="str" cm="1">
        <f t="array" aca="1" ref="C421" ca="1">CONCATENATE(INDIRECT(ADDRESS(1,3,1,0,"KeySet"),0),":","""",valueMaker!C421,"""")</f>
        <v>kainMeiKana:"ﾜｰﾝ ｽｩｵ ﾋﾟﾝ"</v>
      </c>
      <c r="D421" t="str" cm="1">
        <f t="array" aca="1" ref="D421" ca="1">CONCATENATE(INDIRECT(ADDRESS(1,4,1,0,"KeySet"),0),":","""",valueMaker!D421,"""")</f>
        <v>kainMeiEn:"Wang Suo Pin"</v>
      </c>
      <c r="E421" t="str" cm="1">
        <f t="array" aca="1" ref="E421" ca="1">CONCATENATE(INDIRECT(ADDRESS(1,5,1,0,"KeySet"),0),":","""",valueMaker!E421,"""")</f>
        <v>kainGender:"女性"</v>
      </c>
      <c r="F421" t="str" cm="1">
        <f t="array" aca="1" ref="F421" ca="1">CONCATENATE(INDIRECT(ADDRESS(1,6,1,0,"KeySet"),0),":","""",TEXT(valueMaker!F421,"yyyy/m/d"),"""")</f>
        <v>tanjyoubi:"1971/3/15"</v>
      </c>
      <c r="G421" t="str" cm="1">
        <f t="array" aca="1" ref="G421" ca="1">CONCATENATE(INDIRECT(ADDRESS(1,6,1,0,"KeySet"),0),":","""",TEXT(valueMaker!G421,"yyyy/m/d"),"""")</f>
        <v>tanjyoubi:"2019/9/4"</v>
      </c>
      <c r="H421" t="str" cm="1">
        <f t="array" aca="1" ref="H421" ca="1">CONCATENATE(INDIRECT(ADDRESS(1,6,1,0,"KeySet"),0),":","""",TEXT(valueMaker!H421,"yyyy/m/d"),"""")</f>
        <v>tanjyoubi:"2022/9/3"</v>
      </c>
      <c r="I421" t="str" cm="1">
        <f t="array" aca="1" ref="I421" ca="1">CONCATENATE(INDIRECT(ADDRESS(1,9,1,0,"KeySet"),0),":","""",valueMaker!I421,"""")</f>
        <v>denwaBangou:"080-3181-3662"</v>
      </c>
      <c r="J421" t="str" cm="1">
        <f t="array" aca="1" ref="J421" ca="1">CONCATENATE(INDIRECT(ADDRESS(1,10,1,0,"KeySet"),0),":","""",valueMaker!J421,"""")</f>
        <v>mailAddress:"Wang_Suo_Pin_43712@outlook.jp.co"</v>
      </c>
      <c r="K421" t="str" cm="1">
        <f t="array" aca="1" ref="K421" ca="1">CONCATENATE(INDIRECT(ADDRESS(1,11,1,0,"KeySet"),0),":","""",valueMaker!K421,"""")</f>
        <v>kaninSyubetu:"普通"</v>
      </c>
      <c r="L421" t="str" cm="1">
        <f t="array" aca="1" ref="L421" ca="1">CONCATENATE(INDIRECT(ADDRESS(1,12,1,0,"KeySet"),0),":","""",valueMaker!L421,"""")</f>
        <v>kaninKengenWB:"有り"</v>
      </c>
      <c r="M421" t="str" cm="1">
        <f t="array" aca="1" ref="M421" ca="1">CONCATENATE(INDIRECT(ADDRESS(1,13,1,0,"KeySet"),0),":","""",valueMaker!M421,"""")</f>
        <v>wakibiri:"5%"</v>
      </c>
      <c r="N421" t="str" cm="1">
        <f t="array" aca="1" ref="N421" ca="1">CONCATENATE(INDIRECT(ADDRESS(1,14,1,0,"KeySet"),0),":","""",valueMaker!N421,"""")</f>
        <v>kaninKengenPoint:"-"</v>
      </c>
      <c r="O421" t="str" cm="1">
        <f t="array" aca="1" ref="O421" ca="1">CONCATENATE(INDIRECT(ADDRESS(1,15,1,0,"KeySet"),0),":","""",valueMaker!O421,"""")</f>
        <v>point:"-"</v>
      </c>
      <c r="P421" t="str" cm="1">
        <f t="array" aca="1" ref="P421" ca="1">CONCATENATE(INDIRECT(ADDRESS(1,16,1,0,"KeySet"),0),":","""",valueMaker!P421,"""")</f>
        <v>bikou:""</v>
      </c>
    </row>
    <row r="422" spans="1:16">
      <c r="A422" t="str" cm="1">
        <f t="array" aca="1" ref="A422" ca="1">CONCATENATE(INDIRECT(ADDRESS(1,1,1,0,"KeySet"),0),":","""",valueMaker!A422,"""")</f>
        <v>kainBangou:"TD10421"</v>
      </c>
      <c r="B422" t="str" cm="1">
        <f t="array" aca="1" ref="B422" ca="1">CONCATENATE(INDIRECT(ADDRESS(1,2,1,0,"KeySet"),0),":","""",valueMaker!B422,"""")</f>
        <v>kainMeiKanji:"徐盈年"</v>
      </c>
      <c r="C422" t="str" cm="1">
        <f t="array" aca="1" ref="C422" ca="1">CONCATENATE(INDIRECT(ADDRESS(1,3,1,0,"KeySet"),0),":","""",valueMaker!C422,"""")</f>
        <v>kainMeiKana:"ｼｭｲ ｲｰﾝ ﾆｴﾝ"</v>
      </c>
      <c r="D422" t="str" cm="1">
        <f t="array" aca="1" ref="D422" ca="1">CONCATENATE(INDIRECT(ADDRESS(1,4,1,0,"KeySet"),0),":","""",valueMaker!D422,"""")</f>
        <v>kainMeiEn:"Xu Ying Nian"</v>
      </c>
      <c r="E422" t="str" cm="1">
        <f t="array" aca="1" ref="E422" ca="1">CONCATENATE(INDIRECT(ADDRESS(1,5,1,0,"KeySet"),0),":","""",valueMaker!E422,"""")</f>
        <v>kainGender:"男性"</v>
      </c>
      <c r="F422" t="str" cm="1">
        <f t="array" aca="1" ref="F422" ca="1">CONCATENATE(INDIRECT(ADDRESS(1,6,1,0,"KeySet"),0),":","""",TEXT(valueMaker!F422,"yyyy/m/d"),"""")</f>
        <v>tanjyoubi:"1995/7/25"</v>
      </c>
      <c r="G422" t="str" cm="1">
        <f t="array" aca="1" ref="G422" ca="1">CONCATENATE(INDIRECT(ADDRESS(1,6,1,0,"KeySet"),0),":","""",TEXT(valueMaker!G422,"yyyy/m/d"),"""")</f>
        <v>tanjyoubi:"2021/5/30"</v>
      </c>
      <c r="H422" t="str" cm="1">
        <f t="array" aca="1" ref="H422" ca="1">CONCATENATE(INDIRECT(ADDRESS(1,6,1,0,"KeySet"),0),":","""",TEXT(valueMaker!H422,"yyyy/m/d"),"""")</f>
        <v>tanjyoubi:"2023/5/30"</v>
      </c>
      <c r="I422" t="str" cm="1">
        <f t="array" aca="1" ref="I422" ca="1">CONCATENATE(INDIRECT(ADDRESS(1,9,1,0,"KeySet"),0),":","""",valueMaker!I422,"""")</f>
        <v>denwaBangou:"080-3211-3054"</v>
      </c>
      <c r="J422" t="str" cm="1">
        <f t="array" aca="1" ref="J422" ca="1">CONCATENATE(INDIRECT(ADDRESS(1,10,1,0,"KeySet"),0),":","""",valueMaker!J422,"""")</f>
        <v>mailAddress:"Xu_Ying_Nian_44346@outlook.jp.co"</v>
      </c>
      <c r="K422" t="str" cm="1">
        <f t="array" aca="1" ref="K422" ca="1">CONCATENATE(INDIRECT(ADDRESS(1,11,1,0,"KeySet"),0),":","""",valueMaker!K422,"""")</f>
        <v>kaninSyubetu:"普通"</v>
      </c>
      <c r="L422" t="str" cm="1">
        <f t="array" aca="1" ref="L422" ca="1">CONCATENATE(INDIRECT(ADDRESS(1,12,1,0,"KeySet"),0),":","""",valueMaker!L422,"""")</f>
        <v>kaninKengenWB:"有り"</v>
      </c>
      <c r="M422" t="str" cm="1">
        <f t="array" aca="1" ref="M422" ca="1">CONCATENATE(INDIRECT(ADDRESS(1,13,1,0,"KeySet"),0),":","""",valueMaker!M422,"""")</f>
        <v>wakibiri:"5%"</v>
      </c>
      <c r="N422" t="str" cm="1">
        <f t="array" aca="1" ref="N422" ca="1">CONCATENATE(INDIRECT(ADDRESS(1,14,1,0,"KeySet"),0),":","""",valueMaker!N422,"""")</f>
        <v>kaninKengenPoint:"有り"</v>
      </c>
      <c r="O422" t="str" cm="1">
        <f t="array" aca="1" ref="O422" ca="1">CONCATENATE(INDIRECT(ADDRESS(1,15,1,0,"KeySet"),0),":","""",valueMaker!O422,"""")</f>
        <v>point:"575"</v>
      </c>
      <c r="P422" t="str" cm="1">
        <f t="array" aca="1" ref="P422" ca="1">CONCATENATE(INDIRECT(ADDRESS(1,16,1,0,"KeySet"),0),":","""",valueMaker!P422,"""")</f>
        <v>bikou:""</v>
      </c>
    </row>
    <row r="423" spans="1:16">
      <c r="A423" t="str" cm="1">
        <f t="array" aca="1" ref="A423" ca="1">CONCATENATE(INDIRECT(ADDRESS(1,1,1,0,"KeySet"),0),":","""",valueMaker!A423,"""")</f>
        <v>kainBangou:"TD10422"</v>
      </c>
      <c r="B423" t="str" cm="1">
        <f t="array" aca="1" ref="B423" ca="1">CONCATENATE(INDIRECT(ADDRESS(1,2,1,0,"KeySet"),0),":","""",valueMaker!B423,"""")</f>
        <v>kainMeiKanji:"馮浚建"</v>
      </c>
      <c r="C423" t="str" cm="1">
        <f t="array" aca="1" ref="C423" ca="1">CONCATENATE(INDIRECT(ADDRESS(1,3,1,0,"KeySet"),0),":","""",valueMaker!C423,"""")</f>
        <v>kainMeiKana:"ﾌｵﾝ ｼﾞｭｲﾝ ｼﾞｴﾝ"</v>
      </c>
      <c r="D423" t="str" cm="1">
        <f t="array" aca="1" ref="D423" ca="1">CONCATENATE(INDIRECT(ADDRESS(1,4,1,0,"KeySet"),0),":","""",valueMaker!D423,"""")</f>
        <v>kainMeiEn:"Feng Jun Jian"</v>
      </c>
      <c r="E423" t="str" cm="1">
        <f t="array" aca="1" ref="E423" ca="1">CONCATENATE(INDIRECT(ADDRESS(1,5,1,0,"KeySet"),0),":","""",valueMaker!E423,"""")</f>
        <v>kainGender:"女性"</v>
      </c>
      <c r="F423" t="str" cm="1">
        <f t="array" aca="1" ref="F423" ca="1">CONCATENATE(INDIRECT(ADDRESS(1,6,1,0,"KeySet"),0),":","""",TEXT(valueMaker!F423,"yyyy/m/d"),"""")</f>
        <v>tanjyoubi:"1993/6/18"</v>
      </c>
      <c r="G423" t="str" cm="1">
        <f t="array" aca="1" ref="G423" ca="1">CONCATENATE(INDIRECT(ADDRESS(1,6,1,0,"KeySet"),0),":","""",TEXT(valueMaker!G423,"yyyy/m/d"),"""")</f>
        <v>tanjyoubi:"2012/3/19"</v>
      </c>
      <c r="H423" t="str" cm="1">
        <f t="array" aca="1" ref="H423" ca="1">CONCATENATE(INDIRECT(ADDRESS(1,6,1,0,"KeySet"),0),":","""",TEXT(valueMaker!H423,"yyyy/m/d"),"""")</f>
        <v>tanjyoubi:"2014/3/19"</v>
      </c>
      <c r="I423" t="str" cm="1">
        <f t="array" aca="1" ref="I423" ca="1">CONCATENATE(INDIRECT(ADDRESS(1,9,1,0,"KeySet"),0),":","""",valueMaker!I423,"""")</f>
        <v>denwaBangou:"080-3201-8931"</v>
      </c>
      <c r="J423" t="str" cm="1">
        <f t="array" aca="1" ref="J423" ca="1">CONCATENATE(INDIRECT(ADDRESS(1,10,1,0,"KeySet"),0),":","""",valueMaker!J423,"""")</f>
        <v>mailAddress:"Feng_Jun Jian_40987@outlook.jp.co"</v>
      </c>
      <c r="K423" t="str" cm="1">
        <f t="array" aca="1" ref="K423" ca="1">CONCATENATE(INDIRECT(ADDRESS(1,11,1,0,"KeySet"),0),":","""",valueMaker!K423,"""")</f>
        <v>kaninSyubetu:"高級"</v>
      </c>
      <c r="L423" t="str" cm="1">
        <f t="array" aca="1" ref="L423" ca="1">CONCATENATE(INDIRECT(ADDRESS(1,12,1,0,"KeySet"),0),":","""",valueMaker!L423,"""")</f>
        <v>kaninKengenWB:"有り"</v>
      </c>
      <c r="M423" t="str" cm="1">
        <f t="array" aca="1" ref="M423" ca="1">CONCATENATE(INDIRECT(ADDRESS(1,13,1,0,"KeySet"),0),":","""",valueMaker!M423,"""")</f>
        <v>wakibiri:"10%"</v>
      </c>
      <c r="N423" t="str" cm="1">
        <f t="array" aca="1" ref="N423" ca="1">CONCATENATE(INDIRECT(ADDRESS(1,14,1,0,"KeySet"),0),":","""",valueMaker!N423,"""")</f>
        <v>kaninKengenPoint:"有り"</v>
      </c>
      <c r="O423" t="str" cm="1">
        <f t="array" aca="1" ref="O423" ca="1">CONCATENATE(INDIRECT(ADDRESS(1,15,1,0,"KeySet"),0),":","""",valueMaker!O423,"""")</f>
        <v>point:"663"</v>
      </c>
      <c r="P423" t="str" cm="1">
        <f t="array" aca="1" ref="P423" ca="1">CONCATENATE(INDIRECT(ADDRESS(1,16,1,0,"KeySet"),0),":","""",valueMaker!P423,"""")</f>
        <v>bikou:""</v>
      </c>
    </row>
    <row r="424" spans="1:16">
      <c r="A424" t="str" cm="1">
        <f t="array" aca="1" ref="A424" ca="1">CONCATENATE(INDIRECT(ADDRESS(1,1,1,0,"KeySet"),0),":","""",valueMaker!A424,"""")</f>
        <v>kainBangou:"TD10423"</v>
      </c>
      <c r="B424" t="str" cm="1">
        <f t="array" aca="1" ref="B424" ca="1">CONCATENATE(INDIRECT(ADDRESS(1,2,1,0,"KeySet"),0),":","""",valueMaker!B424,"""")</f>
        <v>kainMeiKanji:"胡宇頃"</v>
      </c>
      <c r="C424" t="str" cm="1">
        <f t="array" aca="1" ref="C424" ca="1">CONCATENATE(INDIRECT(ADDRESS(1,3,1,0,"KeySet"),0),":","""",valueMaker!C424,"""")</f>
        <v>kainMeiKana:"ﾎｩ ﾕｲ ﾁｰﾝ"</v>
      </c>
      <c r="D424" t="str" cm="1">
        <f t="array" aca="1" ref="D424" ca="1">CONCATENATE(INDIRECT(ADDRESS(1,4,1,0,"KeySet"),0),":","""",valueMaker!D424,"""")</f>
        <v>kainMeiEn:"Hu Yu Qing"</v>
      </c>
      <c r="E424" t="str" cm="1">
        <f t="array" aca="1" ref="E424" ca="1">CONCATENATE(INDIRECT(ADDRESS(1,5,1,0,"KeySet"),0),":","""",valueMaker!E424,"""")</f>
        <v>kainGender:"-"</v>
      </c>
      <c r="F424" t="str" cm="1">
        <f t="array" aca="1" ref="F424" ca="1">CONCATENATE(INDIRECT(ADDRESS(1,6,1,0,"KeySet"),0),":","""",TEXT(valueMaker!F424,"yyyy/m/d"),"""")</f>
        <v>tanjyoubi:"1979/6/15"</v>
      </c>
      <c r="G424" t="str" cm="1">
        <f t="array" aca="1" ref="G424" ca="1">CONCATENATE(INDIRECT(ADDRESS(1,6,1,0,"KeySet"),0),":","""",TEXT(valueMaker!G424,"yyyy/m/d"),"""")</f>
        <v>tanjyoubi:"1998/12/4"</v>
      </c>
      <c r="H424" t="str" cm="1">
        <f t="array" aca="1" ref="H424" ca="1">CONCATENATE(INDIRECT(ADDRESS(1,6,1,0,"KeySet"),0),":","""",TEXT(valueMaker!H424,"yyyy/m/d"),"""")</f>
        <v>tanjyoubi:"1999/12/4"</v>
      </c>
      <c r="I424" t="str" cm="1">
        <f t="array" aca="1" ref="I424" ca="1">CONCATENATE(INDIRECT(ADDRESS(1,9,1,0,"KeySet"),0),":","""",valueMaker!I424,"""")</f>
        <v>denwaBangou:"080-1784-0803"</v>
      </c>
      <c r="J424" t="str" cm="1">
        <f t="array" aca="1" ref="J424" ca="1">CONCATENATE(INDIRECT(ADDRESS(1,10,1,0,"KeySet"),0),":","""",valueMaker!J424,"""")</f>
        <v>mailAddress:"Hu_Yu_Qing_36133@outlook.jp.co"</v>
      </c>
      <c r="K424" t="str" cm="1">
        <f t="array" aca="1" ref="K424" ca="1">CONCATENATE(INDIRECT(ADDRESS(1,11,1,0,"KeySet"),0),":","""",valueMaker!K424,"""")</f>
        <v>kaninSyubetu:"高級"</v>
      </c>
      <c r="L424" t="str" cm="1">
        <f t="array" aca="1" ref="L424" ca="1">CONCATENATE(INDIRECT(ADDRESS(1,12,1,0,"KeySet"),0),":","""",valueMaker!L424,"""")</f>
        <v>kaninKengenWB:"有り"</v>
      </c>
      <c r="M424" t="str" cm="1">
        <f t="array" aca="1" ref="M424" ca="1">CONCATENATE(INDIRECT(ADDRESS(1,13,1,0,"KeySet"),0),":","""",valueMaker!M424,"""")</f>
        <v>wakibiri:"10%"</v>
      </c>
      <c r="N424" t="str" cm="1">
        <f t="array" aca="1" ref="N424" ca="1">CONCATENATE(INDIRECT(ADDRESS(1,14,1,0,"KeySet"),0),":","""",valueMaker!N424,"""")</f>
        <v>kaninKengenPoint:"有り"</v>
      </c>
      <c r="O424" t="str" cm="1">
        <f t="array" aca="1" ref="O424" ca="1">CONCATENATE(INDIRECT(ADDRESS(1,15,1,0,"KeySet"),0),":","""",valueMaker!O424,"""")</f>
        <v>point:"981"</v>
      </c>
      <c r="P424" t="str" cm="1">
        <f t="array" aca="1" ref="P424" ca="1">CONCATENATE(INDIRECT(ADDRESS(1,16,1,0,"KeySet"),0),":","""",valueMaker!P424,"""")</f>
        <v>bikou:""</v>
      </c>
    </row>
    <row r="425" spans="1:16">
      <c r="A425" t="str" cm="1">
        <f t="array" aca="1" ref="A425" ca="1">CONCATENATE(INDIRECT(ADDRESS(1,1,1,0,"KeySet"),0),":","""",valueMaker!A425,"""")</f>
        <v>kainBangou:"TD10424"</v>
      </c>
      <c r="B425" t="str" cm="1">
        <f t="array" aca="1" ref="B425" ca="1">CONCATENATE(INDIRECT(ADDRESS(1,2,1,0,"KeySet"),0),":","""",valueMaker!B425,"""")</f>
        <v>kainMeiKanji:"韓典存"</v>
      </c>
      <c r="C425" t="str" cm="1">
        <f t="array" aca="1" ref="C425" ca="1">CONCATENATE(INDIRECT(ADDRESS(1,3,1,0,"KeySet"),0),":","""",valueMaker!C425,"""")</f>
        <v>kainMeiKana:"ﾊﾝ ﾃﾞｨｴﾝ ﾂｩﾝ"</v>
      </c>
      <c r="D425" t="str" cm="1">
        <f t="array" aca="1" ref="D425" ca="1">CONCATENATE(INDIRECT(ADDRESS(1,4,1,0,"KeySet"),0),":","""",valueMaker!D425,"""")</f>
        <v>kainMeiEn:"Han Dian Cun"</v>
      </c>
      <c r="E425" t="str" cm="1">
        <f t="array" aca="1" ref="E425" ca="1">CONCATENATE(INDIRECT(ADDRESS(1,5,1,0,"KeySet"),0),":","""",valueMaker!E425,"""")</f>
        <v>kainGender:"男性"</v>
      </c>
      <c r="F425" t="str" cm="1">
        <f t="array" aca="1" ref="F425" ca="1">CONCATENATE(INDIRECT(ADDRESS(1,6,1,0,"KeySet"),0),":","""",TEXT(valueMaker!F425,"yyyy/m/d"),"""")</f>
        <v>tanjyoubi:"1967/9/20"</v>
      </c>
      <c r="G425" t="str" cm="1">
        <f t="array" aca="1" ref="G425" ca="1">CONCATENATE(INDIRECT(ADDRESS(1,6,1,0,"KeySet"),0),":","""",TEXT(valueMaker!G425,"yyyy/m/d"),"""")</f>
        <v>tanjyoubi:"2002/12/31"</v>
      </c>
      <c r="H425" t="str" cm="1">
        <f t="array" aca="1" ref="H425" ca="1">CONCATENATE(INDIRECT(ADDRESS(1,6,1,0,"KeySet"),0),":","""",TEXT(valueMaker!H425,"yyyy/m/d"),"""")</f>
        <v>tanjyoubi:"2003/12/31"</v>
      </c>
      <c r="I425" t="str" cm="1">
        <f t="array" aca="1" ref="I425" ca="1">CONCATENATE(INDIRECT(ADDRESS(1,9,1,0,"KeySet"),0),":","""",valueMaker!I425,"""")</f>
        <v>denwaBangou:"080-2194-6825"</v>
      </c>
      <c r="J425" t="str" cm="1">
        <f t="array" aca="1" ref="J425" ca="1">CONCATENATE(INDIRECT(ADDRESS(1,10,1,0,"KeySet"),0),":","""",valueMaker!J425,"""")</f>
        <v>mailAddress:"Han_Dian_Cun_37621@outlook.jp.co"</v>
      </c>
      <c r="K425" t="str" cm="1">
        <f t="array" aca="1" ref="K425" ca="1">CONCATENATE(INDIRECT(ADDRESS(1,11,1,0,"KeySet"),0),":","""",valueMaker!K425,"""")</f>
        <v>kaninSyubetu:"普通"</v>
      </c>
      <c r="L425" t="str" cm="1">
        <f t="array" aca="1" ref="L425" ca="1">CONCATENATE(INDIRECT(ADDRESS(1,12,1,0,"KeySet"),0),":","""",valueMaker!L425,"""")</f>
        <v>kaninKengenWB:"-"</v>
      </c>
      <c r="M425" t="str" cm="1">
        <f t="array" aca="1" ref="M425" ca="1">CONCATENATE(INDIRECT(ADDRESS(1,13,1,0,"KeySet"),0),":","""",valueMaker!M425,"""")</f>
        <v>wakibiri:"-"</v>
      </c>
      <c r="N425" t="str" cm="1">
        <f t="array" aca="1" ref="N425" ca="1">CONCATENATE(INDIRECT(ADDRESS(1,14,1,0,"KeySet"),0),":","""",valueMaker!N425,"""")</f>
        <v>kaninKengenPoint:"有り"</v>
      </c>
      <c r="O425" t="str" cm="1">
        <f t="array" aca="1" ref="O425" ca="1">CONCATENATE(INDIRECT(ADDRESS(1,15,1,0,"KeySet"),0),":","""",valueMaker!O425,"""")</f>
        <v>point:"488"</v>
      </c>
      <c r="P425" t="str" cm="1">
        <f t="array" aca="1" ref="P425" ca="1">CONCATENATE(INDIRECT(ADDRESS(1,16,1,0,"KeySet"),0),":","""",valueMaker!P425,"""")</f>
        <v>bikou:""</v>
      </c>
    </row>
    <row r="426" spans="1:16">
      <c r="A426" t="str" cm="1">
        <f t="array" aca="1" ref="A426" ca="1">CONCATENATE(INDIRECT(ADDRESS(1,1,1,0,"KeySet"),0),":","""",valueMaker!A426,"""")</f>
        <v>kainBangou:"TD10425"</v>
      </c>
      <c r="B426" t="str" cm="1">
        <f t="array" aca="1" ref="B426" ca="1">CONCATENATE(INDIRECT(ADDRESS(1,2,1,0,"KeySet"),0),":","""",valueMaker!B426,"""")</f>
        <v>kainMeiKanji:"高偉榮"</v>
      </c>
      <c r="C426" t="str" cm="1">
        <f t="array" aca="1" ref="C426" ca="1">CONCATENATE(INDIRECT(ADDRESS(1,3,1,0,"KeySet"),0),":","""",valueMaker!C426,"""")</f>
        <v>kainMeiKana:"ｶﾞｵ ｳｴｲ ｩﾛｰﾝ"</v>
      </c>
      <c r="D426" t="str" cm="1">
        <f t="array" aca="1" ref="D426" ca="1">CONCATENATE(INDIRECT(ADDRESS(1,4,1,0,"KeySet"),0),":","""",valueMaker!D426,"""")</f>
        <v>kainMeiEn:"Gao Wei Rong"</v>
      </c>
      <c r="E426" t="str" cm="1">
        <f t="array" aca="1" ref="E426" ca="1">CONCATENATE(INDIRECT(ADDRESS(1,5,1,0,"KeySet"),0),":","""",valueMaker!E426,"""")</f>
        <v>kainGender:"女性"</v>
      </c>
      <c r="F426" t="str" cm="1">
        <f t="array" aca="1" ref="F426" ca="1">CONCATENATE(INDIRECT(ADDRESS(1,6,1,0,"KeySet"),0),":","""",TEXT(valueMaker!F426,"yyyy/m/d"),"""")</f>
        <v>tanjyoubi:"1984/11/27"</v>
      </c>
      <c r="G426" t="str" cm="1">
        <f t="array" aca="1" ref="G426" ca="1">CONCATENATE(INDIRECT(ADDRESS(1,6,1,0,"KeySet"),0),":","""",TEXT(valueMaker!G426,"yyyy/m/d"),"""")</f>
        <v>tanjyoubi:"2018/5/12"</v>
      </c>
      <c r="H426" t="str" cm="1">
        <f t="array" aca="1" ref="H426" ca="1">CONCATENATE(INDIRECT(ADDRESS(1,6,1,0,"KeySet"),0),":","""",TEXT(valueMaker!H426,"yyyy/m/d"),"""")</f>
        <v>tanjyoubi:"2020/5/11"</v>
      </c>
      <c r="I426" t="str" cm="1">
        <f t="array" aca="1" ref="I426" ca="1">CONCATENATE(INDIRECT(ADDRESS(1,9,1,0,"KeySet"),0),":","""",valueMaker!I426,"""")</f>
        <v>denwaBangou:"080-3404-7609"</v>
      </c>
      <c r="J426" t="str" cm="1">
        <f t="array" aca="1" ref="J426" ca="1">CONCATENATE(INDIRECT(ADDRESS(1,10,1,0,"KeySet"),0),":","""",valueMaker!J426,"""")</f>
        <v>mailAddress:"Gao_Wei_Rong_43232@outlook.jp.co"</v>
      </c>
      <c r="K426" t="str" cm="1">
        <f t="array" aca="1" ref="K426" ca="1">CONCATENATE(INDIRECT(ADDRESS(1,11,1,0,"KeySet"),0),":","""",valueMaker!K426,"""")</f>
        <v>kaninSyubetu:"高級"</v>
      </c>
      <c r="L426" t="str" cm="1">
        <f t="array" aca="1" ref="L426" ca="1">CONCATENATE(INDIRECT(ADDRESS(1,12,1,0,"KeySet"),0),":","""",valueMaker!L426,"""")</f>
        <v>kaninKengenWB:"有り"</v>
      </c>
      <c r="M426" t="str" cm="1">
        <f t="array" aca="1" ref="M426" ca="1">CONCATENATE(INDIRECT(ADDRESS(1,13,1,0,"KeySet"),0),":","""",valueMaker!M426,"""")</f>
        <v>wakibiri:"10%"</v>
      </c>
      <c r="N426" t="str" cm="1">
        <f t="array" aca="1" ref="N426" ca="1">CONCATENATE(INDIRECT(ADDRESS(1,14,1,0,"KeySet"),0),":","""",valueMaker!N426,"""")</f>
        <v>kaninKengenPoint:"有り"</v>
      </c>
      <c r="O426" t="str" cm="1">
        <f t="array" aca="1" ref="O426" ca="1">CONCATENATE(INDIRECT(ADDRESS(1,15,1,0,"KeySet"),0),":","""",valueMaker!O426,"""")</f>
        <v>point:"209"</v>
      </c>
      <c r="P426" t="str" cm="1">
        <f t="array" aca="1" ref="P426" ca="1">CONCATENATE(INDIRECT(ADDRESS(1,16,1,0,"KeySet"),0),":","""",valueMaker!P426,"""")</f>
        <v>bikou:""</v>
      </c>
    </row>
    <row r="427" spans="1:16">
      <c r="A427" t="str" cm="1">
        <f t="array" aca="1" ref="A427" ca="1">CONCATENATE(INDIRECT(ADDRESS(1,1,1,0,"KeySet"),0),":","""",valueMaker!A427,"""")</f>
        <v>kainBangou:"TD10426"</v>
      </c>
      <c r="B427" t="str" cm="1">
        <f t="array" aca="1" ref="B427" ca="1">CONCATENATE(INDIRECT(ADDRESS(1,2,1,0,"KeySet"),0),":","""",valueMaker!B427,"""")</f>
        <v>kainMeiKanji:"韓憶捷"</v>
      </c>
      <c r="C427" t="str" cm="1">
        <f t="array" aca="1" ref="C427" ca="1">CONCATENATE(INDIRECT(ADDRESS(1,3,1,0,"KeySet"),0),":","""",valueMaker!C427,"""")</f>
        <v>kainMeiKana:"ﾊﾝ ｲｰ ｼﾞｴ"</v>
      </c>
      <c r="D427" t="str" cm="1">
        <f t="array" aca="1" ref="D427" ca="1">CONCATENATE(INDIRECT(ADDRESS(1,4,1,0,"KeySet"),0),":","""",valueMaker!D427,"""")</f>
        <v>kainMeiEn:"Han Yi Jie"</v>
      </c>
      <c r="E427" t="str" cm="1">
        <f t="array" aca="1" ref="E427" ca="1">CONCATENATE(INDIRECT(ADDRESS(1,5,1,0,"KeySet"),0),":","""",valueMaker!E427,"""")</f>
        <v>kainGender:"男性"</v>
      </c>
      <c r="F427" t="str" cm="1">
        <f t="array" aca="1" ref="F427" ca="1">CONCATENATE(INDIRECT(ADDRESS(1,6,1,0,"KeySet"),0),":","""",TEXT(valueMaker!F427,"yyyy/m/d"),"""")</f>
        <v>tanjyoubi:"1986/11/20"</v>
      </c>
      <c r="G427" t="str" cm="1">
        <f t="array" aca="1" ref="G427" ca="1">CONCATENATE(INDIRECT(ADDRESS(1,6,1,0,"KeySet"),0),":","""",TEXT(valueMaker!G427,"yyyy/m/d"),"""")</f>
        <v>tanjyoubi:"2017/3/28"</v>
      </c>
      <c r="H427" t="str" cm="1">
        <f t="array" aca="1" ref="H427" ca="1">CONCATENATE(INDIRECT(ADDRESS(1,6,1,0,"KeySet"),0),":","""",TEXT(valueMaker!H427,"yyyy/m/d"),"""")</f>
        <v>tanjyoubi:"2018/3/28"</v>
      </c>
      <c r="I427" t="str" cm="1">
        <f t="array" aca="1" ref="I427" ca="1">CONCATENATE(INDIRECT(ADDRESS(1,9,1,0,"KeySet"),0),":","""",valueMaker!I427,"""")</f>
        <v>denwaBangou:"080-0333-2928"</v>
      </c>
      <c r="J427" t="str" cm="1">
        <f t="array" aca="1" ref="J427" ca="1">CONCATENATE(INDIRECT(ADDRESS(1,10,1,0,"KeySet"),0),":","""",valueMaker!J427,"""")</f>
        <v>mailAddress:"Han_Yi_Jie_42822@outlook.jp.co"</v>
      </c>
      <c r="K427" t="str" cm="1">
        <f t="array" aca="1" ref="K427" ca="1">CONCATENATE(INDIRECT(ADDRESS(1,11,1,0,"KeySet"),0),":","""",valueMaker!K427,"""")</f>
        <v>kaninSyubetu:"普通"</v>
      </c>
      <c r="L427" t="str" cm="1">
        <f t="array" aca="1" ref="L427" ca="1">CONCATENATE(INDIRECT(ADDRESS(1,12,1,0,"KeySet"),0),":","""",valueMaker!L427,"""")</f>
        <v>kaninKengenWB:"有り"</v>
      </c>
      <c r="M427" t="str" cm="1">
        <f t="array" aca="1" ref="M427" ca="1">CONCATENATE(INDIRECT(ADDRESS(1,13,1,0,"KeySet"),0),":","""",valueMaker!M427,"""")</f>
        <v>wakibiri:"5%"</v>
      </c>
      <c r="N427" t="str" cm="1">
        <f t="array" aca="1" ref="N427" ca="1">CONCATENATE(INDIRECT(ADDRESS(1,14,1,0,"KeySet"),0),":","""",valueMaker!N427,"""")</f>
        <v>kaninKengenPoint:"有り"</v>
      </c>
      <c r="O427" t="str" cm="1">
        <f t="array" aca="1" ref="O427" ca="1">CONCATENATE(INDIRECT(ADDRESS(1,15,1,0,"KeySet"),0),":","""",valueMaker!O427,"""")</f>
        <v>point:"103"</v>
      </c>
      <c r="P427" t="str" cm="1">
        <f t="array" aca="1" ref="P427" ca="1">CONCATENATE(INDIRECT(ADDRESS(1,16,1,0,"KeySet"),0),":","""",valueMaker!P427,"""")</f>
        <v>bikou:""</v>
      </c>
    </row>
    <row r="428" spans="1:16">
      <c r="A428" t="str" cm="1">
        <f t="array" aca="1" ref="A428" ca="1">CONCATENATE(INDIRECT(ADDRESS(1,1,1,0,"KeySet"),0),":","""",valueMaker!A428,"""")</f>
        <v>kainBangou:"TD10427"</v>
      </c>
      <c r="B428" t="str" cm="1">
        <f t="array" aca="1" ref="B428" ca="1">CONCATENATE(INDIRECT(ADDRESS(1,2,1,0,"KeySet"),0),":","""",valueMaker!B428,"""")</f>
        <v>kainMeiKanji:"何蓮聞"</v>
      </c>
      <c r="C428" t="str" cm="1">
        <f t="array" aca="1" ref="C428" ca="1">CONCATENATE(INDIRECT(ADDRESS(1,3,1,0,"KeySet"),0),":","""",valueMaker!C428,"""")</f>
        <v>kainMeiKana:"ﾎｰｧ ﾘｴﾝ ｳｴﾝ"</v>
      </c>
      <c r="D428" t="str" cm="1">
        <f t="array" aca="1" ref="D428" ca="1">CONCATENATE(INDIRECT(ADDRESS(1,4,1,0,"KeySet"),0),":","""",valueMaker!D428,"""")</f>
        <v>kainMeiEn:"He Lian Wen"</v>
      </c>
      <c r="E428" t="str" cm="1">
        <f t="array" aca="1" ref="E428" ca="1">CONCATENATE(INDIRECT(ADDRESS(1,5,1,0,"KeySet"),0),":","""",valueMaker!E428,"""")</f>
        <v>kainGender:"男性"</v>
      </c>
      <c r="F428" t="str" cm="1">
        <f t="array" aca="1" ref="F428" ca="1">CONCATENATE(INDIRECT(ADDRESS(1,6,1,0,"KeySet"),0),":","""",TEXT(valueMaker!F428,"yyyy/m/d"),"""")</f>
        <v>tanjyoubi:"1970/7/14"</v>
      </c>
      <c r="G428" t="str" cm="1">
        <f t="array" aca="1" ref="G428" ca="1">CONCATENATE(INDIRECT(ADDRESS(1,6,1,0,"KeySet"),0),":","""",TEXT(valueMaker!G428,"yyyy/m/d"),"""")</f>
        <v>tanjyoubi:"1999/3/12"</v>
      </c>
      <c r="H428" t="str" cm="1">
        <f t="array" aca="1" ref="H428" ca="1">CONCATENATE(INDIRECT(ADDRESS(1,6,1,0,"KeySet"),0),":","""",TEXT(valueMaker!H428,"yyyy/m/d"),"""")</f>
        <v>tanjyoubi:"2002/3/11"</v>
      </c>
      <c r="I428" t="str" cm="1">
        <f t="array" aca="1" ref="I428" ca="1">CONCATENATE(INDIRECT(ADDRESS(1,9,1,0,"KeySet"),0),":","""",valueMaker!I428,"""")</f>
        <v>denwaBangou:"090-9681-1231"</v>
      </c>
      <c r="J428" t="str" cm="1">
        <f t="array" aca="1" ref="J428" ca="1">CONCATENATE(INDIRECT(ADDRESS(1,10,1,0,"KeySet"),0),":","""",valueMaker!J428,"""")</f>
        <v>mailAddress:"He_Lian_Wen_36231@outlook.jp.co"</v>
      </c>
      <c r="K428" t="str" cm="1">
        <f t="array" aca="1" ref="K428" ca="1">CONCATENATE(INDIRECT(ADDRESS(1,11,1,0,"KeySet"),0),":","""",valueMaker!K428,"""")</f>
        <v>kaninSyubetu:"高級"</v>
      </c>
      <c r="L428" t="str" cm="1">
        <f t="array" aca="1" ref="L428" ca="1">CONCATENATE(INDIRECT(ADDRESS(1,12,1,0,"KeySet"),0),":","""",valueMaker!L428,"""")</f>
        <v>kaninKengenWB:"-"</v>
      </c>
      <c r="M428" t="str" cm="1">
        <f t="array" aca="1" ref="M428" ca="1">CONCATENATE(INDIRECT(ADDRESS(1,13,1,0,"KeySet"),0),":","""",valueMaker!M428,"""")</f>
        <v>wakibiri:"-"</v>
      </c>
      <c r="N428" t="str" cm="1">
        <f t="array" aca="1" ref="N428" ca="1">CONCATENATE(INDIRECT(ADDRESS(1,14,1,0,"KeySet"),0),":","""",valueMaker!N428,"""")</f>
        <v>kaninKengenPoint:"-"</v>
      </c>
      <c r="O428" t="str" cm="1">
        <f t="array" aca="1" ref="O428" ca="1">CONCATENATE(INDIRECT(ADDRESS(1,15,1,0,"KeySet"),0),":","""",valueMaker!O428,"""")</f>
        <v>point:"-"</v>
      </c>
      <c r="P428" t="str" cm="1">
        <f t="array" aca="1" ref="P428" ca="1">CONCATENATE(INDIRECT(ADDRESS(1,16,1,0,"KeySet"),0),":","""",valueMaker!P428,"""")</f>
        <v>bikou:""</v>
      </c>
    </row>
    <row r="429" spans="1:16">
      <c r="A429" t="str" cm="1">
        <f t="array" aca="1" ref="A429" ca="1">CONCATENATE(INDIRECT(ADDRESS(1,1,1,0,"KeySet"),0),":","""",valueMaker!A429,"""")</f>
        <v>kainBangou:"TD10428"</v>
      </c>
      <c r="B429" t="str" cm="1">
        <f t="array" aca="1" ref="B429" ca="1">CONCATENATE(INDIRECT(ADDRESS(1,2,1,0,"KeySet"),0),":","""",valueMaker!B429,"""")</f>
        <v>kainMeiKanji:"林隆江"</v>
      </c>
      <c r="C429" t="str" cm="1">
        <f t="array" aca="1" ref="C429" ca="1">CONCATENATE(INDIRECT(ADDRESS(1,3,1,0,"KeySet"),0),":","""",valueMaker!C429,"""")</f>
        <v>kainMeiKana:"ﾘﾝ ﾛｰﾝ ｼﾞｱｰﾝ"</v>
      </c>
      <c r="D429" t="str" cm="1">
        <f t="array" aca="1" ref="D429" ca="1">CONCATENATE(INDIRECT(ADDRESS(1,4,1,0,"KeySet"),0),":","""",valueMaker!D429,"""")</f>
        <v>kainMeiEn:"Lin Long Jiang"</v>
      </c>
      <c r="E429" t="str" cm="1">
        <f t="array" aca="1" ref="E429" ca="1">CONCATENATE(INDIRECT(ADDRESS(1,5,1,0,"KeySet"),0),":","""",valueMaker!E429,"""")</f>
        <v>kainGender:"-"</v>
      </c>
      <c r="F429" t="str" cm="1">
        <f t="array" aca="1" ref="F429" ca="1">CONCATENATE(INDIRECT(ADDRESS(1,6,1,0,"KeySet"),0),":","""",TEXT(valueMaker!F429,"yyyy/m/d"),"""")</f>
        <v>tanjyoubi:"1982/8/16"</v>
      </c>
      <c r="G429" t="str" cm="1">
        <f t="array" aca="1" ref="G429" ca="1">CONCATENATE(INDIRECT(ADDRESS(1,6,1,0,"KeySet"),0),":","""",TEXT(valueMaker!G429,"yyyy/m/d"),"""")</f>
        <v>tanjyoubi:"2007/8/8"</v>
      </c>
      <c r="H429" t="str" cm="1">
        <f t="array" aca="1" ref="H429" ca="1">CONCATENATE(INDIRECT(ADDRESS(1,6,1,0,"KeySet"),0),":","""",TEXT(valueMaker!H429,"yyyy/m/d"),"""")</f>
        <v>tanjyoubi:"2009/8/7"</v>
      </c>
      <c r="I429" t="str" cm="1">
        <f t="array" aca="1" ref="I429" ca="1">CONCATENATE(INDIRECT(ADDRESS(1,9,1,0,"KeySet"),0),":","""",valueMaker!I429,"""")</f>
        <v>denwaBangou:"090-7052-9832"</v>
      </c>
      <c r="J429" t="str" cm="1">
        <f t="array" aca="1" ref="J429" ca="1">CONCATENATE(INDIRECT(ADDRESS(1,10,1,0,"KeySet"),0),":","""",valueMaker!J429,"""")</f>
        <v>mailAddress:"Lin_Long_Jiang_39302@outlook.jp.co"</v>
      </c>
      <c r="K429" t="str" cm="1">
        <f t="array" aca="1" ref="K429" ca="1">CONCATENATE(INDIRECT(ADDRESS(1,11,1,0,"KeySet"),0),":","""",valueMaker!K429,"""")</f>
        <v>kaninSyubetu:"普通"</v>
      </c>
      <c r="L429" t="str" cm="1">
        <f t="array" aca="1" ref="L429" ca="1">CONCATENATE(INDIRECT(ADDRESS(1,12,1,0,"KeySet"),0),":","""",valueMaker!L429,"""")</f>
        <v>kaninKengenWB:"有り"</v>
      </c>
      <c r="M429" t="str" cm="1">
        <f t="array" aca="1" ref="M429" ca="1">CONCATENATE(INDIRECT(ADDRESS(1,13,1,0,"KeySet"),0),":","""",valueMaker!M429,"""")</f>
        <v>wakibiri:"5%"</v>
      </c>
      <c r="N429" t="str" cm="1">
        <f t="array" aca="1" ref="N429" ca="1">CONCATENATE(INDIRECT(ADDRESS(1,14,1,0,"KeySet"),0),":","""",valueMaker!N429,"""")</f>
        <v>kaninKengenPoint:"有り"</v>
      </c>
      <c r="O429" t="str" cm="1">
        <f t="array" aca="1" ref="O429" ca="1">CONCATENATE(INDIRECT(ADDRESS(1,15,1,0,"KeySet"),0),":","""",valueMaker!O429,"""")</f>
        <v>point:"583"</v>
      </c>
      <c r="P429" t="str" cm="1">
        <f t="array" aca="1" ref="P429" ca="1">CONCATENATE(INDIRECT(ADDRESS(1,16,1,0,"KeySet"),0),":","""",valueMaker!P429,"""")</f>
        <v>bikou:""</v>
      </c>
    </row>
    <row r="430" spans="1:16">
      <c r="A430" t="str" cm="1">
        <f t="array" aca="1" ref="A430" ca="1">CONCATENATE(INDIRECT(ADDRESS(1,1,1,0,"KeySet"),0),":","""",valueMaker!A430,"""")</f>
        <v>kainBangou:"TD10429"</v>
      </c>
      <c r="B430" t="str" cm="1">
        <f t="array" aca="1" ref="B430" ca="1">CONCATENATE(INDIRECT(ADDRESS(1,2,1,0,"KeySet"),0),":","""",valueMaker!B430,"""")</f>
        <v>kainMeiKanji:"謝媛都"</v>
      </c>
      <c r="C430" t="str" cm="1">
        <f t="array" aca="1" ref="C430" ca="1">CONCATENATE(INDIRECT(ADDRESS(1,3,1,0,"KeySet"),0),":","""",valueMaker!C430,"""")</f>
        <v>kainMeiKana:"ｼｴ ﾕｴﾝ ﾄﾞｩ"</v>
      </c>
      <c r="D430" t="str" cm="1">
        <f t="array" aca="1" ref="D430" ca="1">CONCATENATE(INDIRECT(ADDRESS(1,4,1,0,"KeySet"),0),":","""",valueMaker!D430,"""")</f>
        <v>kainMeiEn:"Xie Yuan Du"</v>
      </c>
      <c r="E430" t="str" cm="1">
        <f t="array" aca="1" ref="E430" ca="1">CONCATENATE(INDIRECT(ADDRESS(1,5,1,0,"KeySet"),0),":","""",valueMaker!E430,"""")</f>
        <v>kainGender:"男性"</v>
      </c>
      <c r="F430" t="str" cm="1">
        <f t="array" aca="1" ref="F430" ca="1">CONCATENATE(INDIRECT(ADDRESS(1,6,1,0,"KeySet"),0),":","""",TEXT(valueMaker!F430,"yyyy/m/d"),"""")</f>
        <v>tanjyoubi:"1998/9/8"</v>
      </c>
      <c r="G430" t="str" cm="1">
        <f t="array" aca="1" ref="G430" ca="1">CONCATENATE(INDIRECT(ADDRESS(1,6,1,0,"KeySet"),0),":","""",TEXT(valueMaker!G430,"yyyy/m/d"),"""")</f>
        <v>tanjyoubi:"2021/5/14"</v>
      </c>
      <c r="H430" t="str" cm="1">
        <f t="array" aca="1" ref="H430" ca="1">CONCATENATE(INDIRECT(ADDRESS(1,6,1,0,"KeySet"),0),":","""",TEXT(valueMaker!H430,"yyyy/m/d"),"""")</f>
        <v>tanjyoubi:"2024/5/13"</v>
      </c>
      <c r="I430" t="str" cm="1">
        <f t="array" aca="1" ref="I430" ca="1">CONCATENATE(INDIRECT(ADDRESS(1,9,1,0,"KeySet"),0),":","""",valueMaker!I430,"""")</f>
        <v>denwaBangou:"080-3904-4338"</v>
      </c>
      <c r="J430" t="str" cm="1">
        <f t="array" aca="1" ref="J430" ca="1">CONCATENATE(INDIRECT(ADDRESS(1,10,1,0,"KeySet"),0),":","""",valueMaker!J430,"""")</f>
        <v>mailAddress:"Xie_Yuan Du_44330@outlook.jp.co"</v>
      </c>
      <c r="K430" t="str" cm="1">
        <f t="array" aca="1" ref="K430" ca="1">CONCATENATE(INDIRECT(ADDRESS(1,11,1,0,"KeySet"),0),":","""",valueMaker!K430,"""")</f>
        <v>kaninSyubetu:"高級"</v>
      </c>
      <c r="L430" t="str" cm="1">
        <f t="array" aca="1" ref="L430" ca="1">CONCATENATE(INDIRECT(ADDRESS(1,12,1,0,"KeySet"),0),":","""",valueMaker!L430,"""")</f>
        <v>kaninKengenWB:"有り"</v>
      </c>
      <c r="M430" t="str" cm="1">
        <f t="array" aca="1" ref="M430" ca="1">CONCATENATE(INDIRECT(ADDRESS(1,13,1,0,"KeySet"),0),":","""",valueMaker!M430,"""")</f>
        <v>wakibiri:"10%"</v>
      </c>
      <c r="N430" t="str" cm="1">
        <f t="array" aca="1" ref="N430" ca="1">CONCATENATE(INDIRECT(ADDRESS(1,14,1,0,"KeySet"),0),":","""",valueMaker!N430,"""")</f>
        <v>kaninKengenPoint:"有り"</v>
      </c>
      <c r="O430" t="str" cm="1">
        <f t="array" aca="1" ref="O430" ca="1">CONCATENATE(INDIRECT(ADDRESS(1,15,1,0,"KeySet"),0),":","""",valueMaker!O430,"""")</f>
        <v>point:"836"</v>
      </c>
      <c r="P430" t="str" cm="1">
        <f t="array" aca="1" ref="P430" ca="1">CONCATENATE(INDIRECT(ADDRESS(1,16,1,0,"KeySet"),0),":","""",valueMaker!P430,"""")</f>
        <v>bikou:""</v>
      </c>
    </row>
    <row r="431" spans="1:16">
      <c r="A431" t="str" cm="1">
        <f t="array" aca="1" ref="A431" ca="1">CONCATENATE(INDIRECT(ADDRESS(1,1,1,0,"KeySet"),0),":","""",valueMaker!A431,"""")</f>
        <v>kainBangou:"TD10430"</v>
      </c>
      <c r="B431" t="str" cm="1">
        <f t="array" aca="1" ref="B431" ca="1">CONCATENATE(INDIRECT(ADDRESS(1,2,1,0,"KeySet"),0),":","""",valueMaker!B431,"""")</f>
        <v>kainMeiKanji:"梁茗奧"</v>
      </c>
      <c r="C431" t="str" cm="1">
        <f t="array" aca="1" ref="C431" ca="1">CONCATENATE(INDIRECT(ADDRESS(1,3,1,0,"KeySet"),0),":","""",valueMaker!C431,"""")</f>
        <v>kainMeiKana:"ﾘﾔｰﾝ ﾐｰﾝ ｱｵ"</v>
      </c>
      <c r="D431" t="str" cm="1">
        <f t="array" aca="1" ref="D431" ca="1">CONCATENATE(INDIRECT(ADDRESS(1,4,1,0,"KeySet"),0),":","""",valueMaker!D431,"""")</f>
        <v>kainMeiEn:"Liang Ming Ao"</v>
      </c>
      <c r="E431" t="str" cm="1">
        <f t="array" aca="1" ref="E431" ca="1">CONCATENATE(INDIRECT(ADDRESS(1,5,1,0,"KeySet"),0),":","""",valueMaker!E431,"""")</f>
        <v>kainGender:"男性"</v>
      </c>
      <c r="F431" t="str" cm="1">
        <f t="array" aca="1" ref="F431" ca="1">CONCATENATE(INDIRECT(ADDRESS(1,6,1,0,"KeySet"),0),":","""",TEXT(valueMaker!F431,"yyyy/m/d"),"""")</f>
        <v>tanjyoubi:"1997/8/10"</v>
      </c>
      <c r="G431" t="str" cm="1">
        <f t="array" aca="1" ref="G431" ca="1">CONCATENATE(INDIRECT(ADDRESS(1,6,1,0,"KeySet"),0),":","""",TEXT(valueMaker!G431,"yyyy/m/d"),"""")</f>
        <v>tanjyoubi:"2018/8/19"</v>
      </c>
      <c r="H431" t="str" cm="1">
        <f t="array" aca="1" ref="H431" ca="1">CONCATENATE(INDIRECT(ADDRESS(1,6,1,0,"KeySet"),0),":","""",TEXT(valueMaker!H431,"yyyy/m/d"),"""")</f>
        <v>tanjyoubi:"2021/8/18"</v>
      </c>
      <c r="I431" t="str" cm="1">
        <f t="array" aca="1" ref="I431" ca="1">CONCATENATE(INDIRECT(ADDRESS(1,9,1,0,"KeySet"),0),":","""",valueMaker!I431,"""")</f>
        <v>denwaBangou:"090-9390-5681"</v>
      </c>
      <c r="J431" t="str" cm="1">
        <f t="array" aca="1" ref="J431" ca="1">CONCATENATE(INDIRECT(ADDRESS(1,10,1,0,"KeySet"),0),":","""",valueMaker!J431,"""")</f>
        <v>mailAddress:"Liang_Ming_Ao_43331@outlook.jp.co"</v>
      </c>
      <c r="K431" t="str" cm="1">
        <f t="array" aca="1" ref="K431" ca="1">CONCATENATE(INDIRECT(ADDRESS(1,11,1,0,"KeySet"),0),":","""",valueMaker!K431,"""")</f>
        <v>kaninSyubetu:"普通"</v>
      </c>
      <c r="L431" t="str" cm="1">
        <f t="array" aca="1" ref="L431" ca="1">CONCATENATE(INDIRECT(ADDRESS(1,12,1,0,"KeySet"),0),":","""",valueMaker!L431,"""")</f>
        <v>kaninKengenWB:"有り"</v>
      </c>
      <c r="M431" t="str" cm="1">
        <f t="array" aca="1" ref="M431" ca="1">CONCATENATE(INDIRECT(ADDRESS(1,13,1,0,"KeySet"),0),":","""",valueMaker!M431,"""")</f>
        <v>wakibiri:"5%"</v>
      </c>
      <c r="N431" t="str" cm="1">
        <f t="array" aca="1" ref="N431" ca="1">CONCATENATE(INDIRECT(ADDRESS(1,14,1,0,"KeySet"),0),":","""",valueMaker!N431,"""")</f>
        <v>kaninKengenPoint:"-"</v>
      </c>
      <c r="O431" t="str" cm="1">
        <f t="array" aca="1" ref="O431" ca="1">CONCATENATE(INDIRECT(ADDRESS(1,15,1,0,"KeySet"),0),":","""",valueMaker!O431,"""")</f>
        <v>point:"-"</v>
      </c>
      <c r="P431" t="str" cm="1">
        <f t="array" aca="1" ref="P431" ca="1">CONCATENATE(INDIRECT(ADDRESS(1,16,1,0,"KeySet"),0),":","""",valueMaker!P431,"""")</f>
        <v>bikou:""</v>
      </c>
    </row>
    <row r="432" spans="1:16">
      <c r="A432" t="str" cm="1">
        <f t="array" aca="1" ref="A432" ca="1">CONCATENATE(INDIRECT(ADDRESS(1,1,1,0,"KeySet"),0),":","""",valueMaker!A432,"""")</f>
        <v>kainBangou:"TD10431"</v>
      </c>
      <c r="B432" t="str" cm="1">
        <f t="array" aca="1" ref="B432" ca="1">CONCATENATE(INDIRECT(ADDRESS(1,2,1,0,"KeySet"),0),":","""",valueMaker!B432,"""")</f>
        <v>kainMeiKanji:"趙馳聖"</v>
      </c>
      <c r="C432" t="str" cm="1">
        <f t="array" aca="1" ref="C432" ca="1">CONCATENATE(INDIRECT(ADDRESS(1,3,1,0,"KeySet"),0),":","""",valueMaker!C432,"""")</f>
        <v>kainMeiKana:"ｼﾞｬｵ ﾁｰ ｼｭﾖﾝ"</v>
      </c>
      <c r="D432" t="str" cm="1">
        <f t="array" aca="1" ref="D432" ca="1">CONCATENATE(INDIRECT(ADDRESS(1,4,1,0,"KeySet"),0),":","""",valueMaker!D432,"""")</f>
        <v>kainMeiEn:"Zhao Chi Sheng"</v>
      </c>
      <c r="E432" t="str" cm="1">
        <f t="array" aca="1" ref="E432" ca="1">CONCATENATE(INDIRECT(ADDRESS(1,5,1,0,"KeySet"),0),":","""",valueMaker!E432,"""")</f>
        <v>kainGender:"-"</v>
      </c>
      <c r="F432" t="str" cm="1">
        <f t="array" aca="1" ref="F432" ca="1">CONCATENATE(INDIRECT(ADDRESS(1,6,1,0,"KeySet"),0),":","""",TEXT(valueMaker!F432,"yyyy/m/d"),"""")</f>
        <v>tanjyoubi:"2003/5/5"</v>
      </c>
      <c r="G432" t="str" cm="1">
        <f t="array" aca="1" ref="G432" ca="1">CONCATENATE(INDIRECT(ADDRESS(1,6,1,0,"KeySet"),0),":","""",TEXT(valueMaker!G432,"yyyy/m/d"),"""")</f>
        <v>tanjyoubi:"2022/9/16"</v>
      </c>
      <c r="H432" t="str" cm="1">
        <f t="array" aca="1" ref="H432" ca="1">CONCATENATE(INDIRECT(ADDRESS(1,6,1,0,"KeySet"),0),":","""",TEXT(valueMaker!H432,"yyyy/m/d"),"""")</f>
        <v>tanjyoubi:"2025/9/15"</v>
      </c>
      <c r="I432" t="str" cm="1">
        <f t="array" aca="1" ref="I432" ca="1">CONCATENATE(INDIRECT(ADDRESS(1,9,1,0,"KeySet"),0),":","""",valueMaker!I432,"""")</f>
        <v>denwaBangou:"080-2245-7058"</v>
      </c>
      <c r="J432" t="str" cm="1">
        <f t="array" aca="1" ref="J432" ca="1">CONCATENATE(INDIRECT(ADDRESS(1,10,1,0,"KeySet"),0),":","""",valueMaker!J432,"""")</f>
        <v>mailAddress:"Zhao_Chi_Sheng_44820@outlook.jp.co"</v>
      </c>
      <c r="K432" t="str" cm="1">
        <f t="array" aca="1" ref="K432" ca="1">CONCATENATE(INDIRECT(ADDRESS(1,11,1,0,"KeySet"),0),":","""",valueMaker!K432,"""")</f>
        <v>kaninSyubetu:"普通"</v>
      </c>
      <c r="L432" t="str" cm="1">
        <f t="array" aca="1" ref="L432" ca="1">CONCATENATE(INDIRECT(ADDRESS(1,12,1,0,"KeySet"),0),":","""",valueMaker!L432,"""")</f>
        <v>kaninKengenWB:"-"</v>
      </c>
      <c r="M432" t="str" cm="1">
        <f t="array" aca="1" ref="M432" ca="1">CONCATENATE(INDIRECT(ADDRESS(1,13,1,0,"KeySet"),0),":","""",valueMaker!M432,"""")</f>
        <v>wakibiri:"-"</v>
      </c>
      <c r="N432" t="str" cm="1">
        <f t="array" aca="1" ref="N432" ca="1">CONCATENATE(INDIRECT(ADDRESS(1,14,1,0,"KeySet"),0),":","""",valueMaker!N432,"""")</f>
        <v>kaninKengenPoint:"-"</v>
      </c>
      <c r="O432" t="str" cm="1">
        <f t="array" aca="1" ref="O432" ca="1">CONCATENATE(INDIRECT(ADDRESS(1,15,1,0,"KeySet"),0),":","""",valueMaker!O432,"""")</f>
        <v>point:"-"</v>
      </c>
      <c r="P432" t="str" cm="1">
        <f t="array" aca="1" ref="P432" ca="1">CONCATENATE(INDIRECT(ADDRESS(1,16,1,0,"KeySet"),0),":","""",valueMaker!P432,"""")</f>
        <v>bikou:""</v>
      </c>
    </row>
    <row r="433" spans="1:16">
      <c r="A433" t="str" cm="1">
        <f t="array" aca="1" ref="A433" ca="1">CONCATENATE(INDIRECT(ADDRESS(1,1,1,0,"KeySet"),0),":","""",valueMaker!A433,"""")</f>
        <v>kainBangou:"TD10432"</v>
      </c>
      <c r="B433" t="str" cm="1">
        <f t="array" aca="1" ref="B433" ca="1">CONCATENATE(INDIRECT(ADDRESS(1,2,1,0,"KeySet"),0),":","""",valueMaker!B433,"""")</f>
        <v>kainMeiKanji:"王庭建"</v>
      </c>
      <c r="C433" t="str" cm="1">
        <f t="array" aca="1" ref="C433" ca="1">CONCATENATE(INDIRECT(ADDRESS(1,3,1,0,"KeySet"),0),":","""",valueMaker!C433,"""")</f>
        <v>kainMeiKana:"ﾜｰﾝ ﾃｨｰﾝ ｼﾞｴﾝ"</v>
      </c>
      <c r="D433" t="str" cm="1">
        <f t="array" aca="1" ref="D433" ca="1">CONCATENATE(INDIRECT(ADDRESS(1,4,1,0,"KeySet"),0),":","""",valueMaker!D433,"""")</f>
        <v>kainMeiEn:"Wang Ting Jian"</v>
      </c>
      <c r="E433" t="str" cm="1">
        <f t="array" aca="1" ref="E433" ca="1">CONCATENATE(INDIRECT(ADDRESS(1,5,1,0,"KeySet"),0),":","""",valueMaker!E433,"""")</f>
        <v>kainGender:"-"</v>
      </c>
      <c r="F433" t="str" cm="1">
        <f t="array" aca="1" ref="F433" ca="1">CONCATENATE(INDIRECT(ADDRESS(1,6,1,0,"KeySet"),0),":","""",TEXT(valueMaker!F433,"yyyy/m/d"),"""")</f>
        <v>tanjyoubi:"1997/9/9"</v>
      </c>
      <c r="G433" t="str" cm="1">
        <f t="array" aca="1" ref="G433" ca="1">CONCATENATE(INDIRECT(ADDRESS(1,6,1,0,"KeySet"),0),":","""",TEXT(valueMaker!G433,"yyyy/m/d"),"""")</f>
        <v>tanjyoubi:"2019/1/30"</v>
      </c>
      <c r="H433" t="str" cm="1">
        <f t="array" aca="1" ref="H433" ca="1">CONCATENATE(INDIRECT(ADDRESS(1,6,1,0,"KeySet"),0),":","""",TEXT(valueMaker!H433,"yyyy/m/d"),"""")</f>
        <v>tanjyoubi:"2020/1/30"</v>
      </c>
      <c r="I433" t="str" cm="1">
        <f t="array" aca="1" ref="I433" ca="1">CONCATENATE(INDIRECT(ADDRESS(1,9,1,0,"KeySet"),0),":","""",valueMaker!I433,"""")</f>
        <v>denwaBangou:"090-8282-0531"</v>
      </c>
      <c r="J433" t="str" cm="1">
        <f t="array" aca="1" ref="J433" ca="1">CONCATENATE(INDIRECT(ADDRESS(1,10,1,0,"KeySet"),0),":","""",valueMaker!J433,"""")</f>
        <v>mailAddress:"Wang_Ting_Jian_43495@outlook.jp.co"</v>
      </c>
      <c r="K433" t="str" cm="1">
        <f t="array" aca="1" ref="K433" ca="1">CONCATENATE(INDIRECT(ADDRESS(1,11,1,0,"KeySet"),0),":","""",valueMaker!K433,"""")</f>
        <v>kaninSyubetu:"高級"</v>
      </c>
      <c r="L433" t="str" cm="1">
        <f t="array" aca="1" ref="L433" ca="1">CONCATENATE(INDIRECT(ADDRESS(1,12,1,0,"KeySet"),0),":","""",valueMaker!L433,"""")</f>
        <v>kaninKengenWB:"有り"</v>
      </c>
      <c r="M433" t="str" cm="1">
        <f t="array" aca="1" ref="M433" ca="1">CONCATENATE(INDIRECT(ADDRESS(1,13,1,0,"KeySet"),0),":","""",valueMaker!M433,"""")</f>
        <v>wakibiri:"10%"</v>
      </c>
      <c r="N433" t="str" cm="1">
        <f t="array" aca="1" ref="N433" ca="1">CONCATENATE(INDIRECT(ADDRESS(1,14,1,0,"KeySet"),0),":","""",valueMaker!N433,"""")</f>
        <v>kaninKengenPoint:"有り"</v>
      </c>
      <c r="O433" t="str" cm="1">
        <f t="array" aca="1" ref="O433" ca="1">CONCATENATE(INDIRECT(ADDRESS(1,15,1,0,"KeySet"),0),":","""",valueMaker!O433,"""")</f>
        <v>point:"285"</v>
      </c>
      <c r="P433" t="str" cm="1">
        <f t="array" aca="1" ref="P433" ca="1">CONCATENATE(INDIRECT(ADDRESS(1,16,1,0,"KeySet"),0),":","""",valueMaker!P433,"""")</f>
        <v>bikou:""</v>
      </c>
    </row>
    <row r="434" spans="1:16">
      <c r="A434" t="str" cm="1">
        <f t="array" aca="1" ref="A434" ca="1">CONCATENATE(INDIRECT(ADDRESS(1,1,1,0,"KeySet"),0),":","""",valueMaker!A434,"""")</f>
        <v>kainBangou:"TD10433"</v>
      </c>
      <c r="B434" t="str" cm="1">
        <f t="array" aca="1" ref="B434" ca="1">CONCATENATE(INDIRECT(ADDRESS(1,2,1,0,"KeySet"),0),":","""",valueMaker!B434,"""")</f>
        <v>kainMeiKanji:"韓盟玲"</v>
      </c>
      <c r="C434" t="str" cm="1">
        <f t="array" aca="1" ref="C434" ca="1">CONCATENATE(INDIRECT(ADDRESS(1,3,1,0,"KeySet"),0),":","""",valueMaker!C434,"""")</f>
        <v>kainMeiKana:"ﾊﾝ ﾑｵﾝ ﾘｰﾝ"</v>
      </c>
      <c r="D434" t="str" cm="1">
        <f t="array" aca="1" ref="D434" ca="1">CONCATENATE(INDIRECT(ADDRESS(1,4,1,0,"KeySet"),0),":","""",valueMaker!D434,"""")</f>
        <v>kainMeiEn:"Han Meng Ling"</v>
      </c>
      <c r="E434" t="str" cm="1">
        <f t="array" aca="1" ref="E434" ca="1">CONCATENATE(INDIRECT(ADDRESS(1,5,1,0,"KeySet"),0),":","""",valueMaker!E434,"""")</f>
        <v>kainGender:"女性"</v>
      </c>
      <c r="F434" t="str" cm="1">
        <f t="array" aca="1" ref="F434" ca="1">CONCATENATE(INDIRECT(ADDRESS(1,6,1,0,"KeySet"),0),":","""",TEXT(valueMaker!F434,"yyyy/m/d"),"""")</f>
        <v>tanjyoubi:"1961/3/19"</v>
      </c>
      <c r="G434" t="str" cm="1">
        <f t="array" aca="1" ref="G434" ca="1">CONCATENATE(INDIRECT(ADDRESS(1,6,1,0,"KeySet"),0),":","""",TEXT(valueMaker!G434,"yyyy/m/d"),"""")</f>
        <v>tanjyoubi:"1996/12/27"</v>
      </c>
      <c r="H434" t="str" cm="1">
        <f t="array" aca="1" ref="H434" ca="1">CONCATENATE(INDIRECT(ADDRESS(1,6,1,0,"KeySet"),0),":","""",TEXT(valueMaker!H434,"yyyy/m/d"),"""")</f>
        <v>tanjyoubi:"1999/12/27"</v>
      </c>
      <c r="I434" t="str" cm="1">
        <f t="array" aca="1" ref="I434" ca="1">CONCATENATE(INDIRECT(ADDRESS(1,9,1,0,"KeySet"),0),":","""",valueMaker!I434,"""")</f>
        <v>denwaBangou:"090-8618-1556"</v>
      </c>
      <c r="J434" t="str" cm="1">
        <f t="array" aca="1" ref="J434" ca="1">CONCATENATE(INDIRECT(ADDRESS(1,10,1,0,"KeySet"),0),":","""",valueMaker!J434,"""")</f>
        <v>mailAddress:"Han_Meng_Ling_35426@outlook.jp.co"</v>
      </c>
      <c r="K434" t="str" cm="1">
        <f t="array" aca="1" ref="K434" ca="1">CONCATENATE(INDIRECT(ADDRESS(1,11,1,0,"KeySet"),0),":","""",valueMaker!K434,"""")</f>
        <v>kaninSyubetu:"高級"</v>
      </c>
      <c r="L434" t="str" cm="1">
        <f t="array" aca="1" ref="L434" ca="1">CONCATENATE(INDIRECT(ADDRESS(1,12,1,0,"KeySet"),0),":","""",valueMaker!L434,"""")</f>
        <v>kaninKengenWB:"-"</v>
      </c>
      <c r="M434" t="str" cm="1">
        <f t="array" aca="1" ref="M434" ca="1">CONCATENATE(INDIRECT(ADDRESS(1,13,1,0,"KeySet"),0),":","""",valueMaker!M434,"""")</f>
        <v>wakibiri:"-"</v>
      </c>
      <c r="N434" t="str" cm="1">
        <f t="array" aca="1" ref="N434" ca="1">CONCATENATE(INDIRECT(ADDRESS(1,14,1,0,"KeySet"),0),":","""",valueMaker!N434,"""")</f>
        <v>kaninKengenPoint:"-"</v>
      </c>
      <c r="O434" t="str" cm="1">
        <f t="array" aca="1" ref="O434" ca="1">CONCATENATE(INDIRECT(ADDRESS(1,15,1,0,"KeySet"),0),":","""",valueMaker!O434,"""")</f>
        <v>point:"-"</v>
      </c>
      <c r="P434" t="str" cm="1">
        <f t="array" aca="1" ref="P434" ca="1">CONCATENATE(INDIRECT(ADDRESS(1,16,1,0,"KeySet"),0),":","""",valueMaker!P434,"""")</f>
        <v>bikou:""</v>
      </c>
    </row>
    <row r="435" spans="1:16">
      <c r="A435" t="str" cm="1">
        <f t="array" aca="1" ref="A435" ca="1">CONCATENATE(INDIRECT(ADDRESS(1,1,1,0,"KeySet"),0),":","""",valueMaker!A435,"""")</f>
        <v>kainBangou:"TD10434"</v>
      </c>
      <c r="B435" t="str" cm="1">
        <f t="array" aca="1" ref="B435" ca="1">CONCATENATE(INDIRECT(ADDRESS(1,2,1,0,"KeySet"),0),":","""",valueMaker!B435,"""")</f>
        <v>kainMeiKanji:"趙秀髮"</v>
      </c>
      <c r="C435" t="str" cm="1">
        <f t="array" aca="1" ref="C435" ca="1">CONCATENATE(INDIRECT(ADDRESS(1,3,1,0,"KeySet"),0),":","""",valueMaker!C435,"""")</f>
        <v>kainMeiKana:"ｼﾞｬｵ ｼｳ ﾌｧｰ"</v>
      </c>
      <c r="D435" t="str" cm="1">
        <f t="array" aca="1" ref="D435" ca="1">CONCATENATE(INDIRECT(ADDRESS(1,4,1,0,"KeySet"),0),":","""",valueMaker!D435,"""")</f>
        <v>kainMeiEn:"Zhao Xiu Fa"</v>
      </c>
      <c r="E435" t="str" cm="1">
        <f t="array" aca="1" ref="E435" ca="1">CONCATENATE(INDIRECT(ADDRESS(1,5,1,0,"KeySet"),0),":","""",valueMaker!E435,"""")</f>
        <v>kainGender:"女性"</v>
      </c>
      <c r="F435" t="str" cm="1">
        <f t="array" aca="1" ref="F435" ca="1">CONCATENATE(INDIRECT(ADDRESS(1,6,1,0,"KeySet"),0),":","""",TEXT(valueMaker!F435,"yyyy/m/d"),"""")</f>
        <v>tanjyoubi:"1980/12/27"</v>
      </c>
      <c r="G435" t="str" cm="1">
        <f t="array" aca="1" ref="G435" ca="1">CONCATENATE(INDIRECT(ADDRESS(1,6,1,0,"KeySet"),0),":","""",TEXT(valueMaker!G435,"yyyy/m/d"),"""")</f>
        <v>tanjyoubi:"2011/2/13"</v>
      </c>
      <c r="H435" t="str" cm="1">
        <f t="array" aca="1" ref="H435" ca="1">CONCATENATE(INDIRECT(ADDRESS(1,6,1,0,"KeySet"),0),":","""",TEXT(valueMaker!H435,"yyyy/m/d"),"""")</f>
        <v>tanjyoubi:"2012/2/13"</v>
      </c>
      <c r="I435" t="str" cm="1">
        <f t="array" aca="1" ref="I435" ca="1">CONCATENATE(INDIRECT(ADDRESS(1,9,1,0,"KeySet"),0),":","""",valueMaker!I435,"""")</f>
        <v>denwaBangou:"080-7922-8697"</v>
      </c>
      <c r="J435" t="str" cm="1">
        <f t="array" aca="1" ref="J435" ca="1">CONCATENATE(INDIRECT(ADDRESS(1,10,1,0,"KeySet"),0),":","""",valueMaker!J435,"""")</f>
        <v>mailAddress:"Zhao_Xiu_Fa_40587@outlook.jp.co"</v>
      </c>
      <c r="K435" t="str" cm="1">
        <f t="array" aca="1" ref="K435" ca="1">CONCATENATE(INDIRECT(ADDRESS(1,11,1,0,"KeySet"),0),":","""",valueMaker!K435,"""")</f>
        <v>kaninSyubetu:"高級"</v>
      </c>
      <c r="L435" t="str" cm="1">
        <f t="array" aca="1" ref="L435" ca="1">CONCATENATE(INDIRECT(ADDRESS(1,12,1,0,"KeySet"),0),":","""",valueMaker!L435,"""")</f>
        <v>kaninKengenWB:"有り"</v>
      </c>
      <c r="M435" t="str" cm="1">
        <f t="array" aca="1" ref="M435" ca="1">CONCATENATE(INDIRECT(ADDRESS(1,13,1,0,"KeySet"),0),":","""",valueMaker!M435,"""")</f>
        <v>wakibiri:"10%"</v>
      </c>
      <c r="N435" t="str" cm="1">
        <f t="array" aca="1" ref="N435" ca="1">CONCATENATE(INDIRECT(ADDRESS(1,14,1,0,"KeySet"),0),":","""",valueMaker!N435,"""")</f>
        <v>kaninKengenPoint:"有り"</v>
      </c>
      <c r="O435" t="str" cm="1">
        <f t="array" aca="1" ref="O435" ca="1">CONCATENATE(INDIRECT(ADDRESS(1,15,1,0,"KeySet"),0),":","""",valueMaker!O435,"""")</f>
        <v>point:"928"</v>
      </c>
      <c r="P435" t="str" cm="1">
        <f t="array" aca="1" ref="P435" ca="1">CONCATENATE(INDIRECT(ADDRESS(1,16,1,0,"KeySet"),0),":","""",valueMaker!P435,"""")</f>
        <v>bikou:""</v>
      </c>
    </row>
    <row r="436" spans="1:16">
      <c r="A436" t="str" cm="1">
        <f t="array" aca="1" ref="A436" ca="1">CONCATENATE(INDIRECT(ADDRESS(1,1,1,0,"KeySet"),0),":","""",valueMaker!A436,"""")</f>
        <v>kainBangou:"TD10435"</v>
      </c>
      <c r="B436" t="str" cm="1">
        <f t="array" aca="1" ref="B436" ca="1">CONCATENATE(INDIRECT(ADDRESS(1,2,1,0,"KeySet"),0),":","""",valueMaker!B436,"""")</f>
        <v>kainMeiKanji:"韓亦麥"</v>
      </c>
      <c r="C436" t="str" cm="1">
        <f t="array" aca="1" ref="C436" ca="1">CONCATENATE(INDIRECT(ADDRESS(1,3,1,0,"KeySet"),0),":","""",valueMaker!C436,"""")</f>
        <v>kainMeiKana:"ﾊﾝ ｲｰ ﾏｲ"</v>
      </c>
      <c r="D436" t="str" cm="1">
        <f t="array" aca="1" ref="D436" ca="1">CONCATENATE(INDIRECT(ADDRESS(1,4,1,0,"KeySet"),0),":","""",valueMaker!D436,"""")</f>
        <v>kainMeiEn:"Han Yi Mai"</v>
      </c>
      <c r="E436" t="str" cm="1">
        <f t="array" aca="1" ref="E436" ca="1">CONCATENATE(INDIRECT(ADDRESS(1,5,1,0,"KeySet"),0),":","""",valueMaker!E436,"""")</f>
        <v>kainGender:"男性"</v>
      </c>
      <c r="F436" t="str" cm="1">
        <f t="array" aca="1" ref="F436" ca="1">CONCATENATE(INDIRECT(ADDRESS(1,6,1,0,"KeySet"),0),":","""",TEXT(valueMaker!F436,"yyyy/m/d"),"""")</f>
        <v>tanjyoubi:"2004/1/8"</v>
      </c>
      <c r="G436" t="str" cm="1">
        <f t="array" aca="1" ref="G436" ca="1">CONCATENATE(INDIRECT(ADDRESS(1,6,1,0,"KeySet"),0),":","""",TEXT(valueMaker!G436,"yyyy/m/d"),"""")</f>
        <v>tanjyoubi:"2024/5/27"</v>
      </c>
      <c r="H436" t="str" cm="1">
        <f t="array" aca="1" ref="H436" ca="1">CONCATENATE(INDIRECT(ADDRESS(1,6,1,0,"KeySet"),0),":","""",TEXT(valueMaker!H436,"yyyy/m/d"),"""")</f>
        <v>tanjyoubi:"2025/5/27"</v>
      </c>
      <c r="I436" t="str" cm="1">
        <f t="array" aca="1" ref="I436" ca="1">CONCATENATE(INDIRECT(ADDRESS(1,9,1,0,"KeySet"),0),":","""",valueMaker!I436,"""")</f>
        <v>denwaBangou:"080-9979-6982"</v>
      </c>
      <c r="J436" t="str" cm="1">
        <f t="array" aca="1" ref="J436" ca="1">CONCATENATE(INDIRECT(ADDRESS(1,10,1,0,"KeySet"),0),":","""",valueMaker!J436,"""")</f>
        <v>mailAddress:"Han_Yi_Mai_45439@outlook.jp.co"</v>
      </c>
      <c r="K436" t="str" cm="1">
        <f t="array" aca="1" ref="K436" ca="1">CONCATENATE(INDIRECT(ADDRESS(1,11,1,0,"KeySet"),0),":","""",valueMaker!K436,"""")</f>
        <v>kaninSyubetu:"普通"</v>
      </c>
      <c r="L436" t="str" cm="1">
        <f t="array" aca="1" ref="L436" ca="1">CONCATENATE(INDIRECT(ADDRESS(1,12,1,0,"KeySet"),0),":","""",valueMaker!L436,"""")</f>
        <v>kaninKengenWB:"-"</v>
      </c>
      <c r="M436" t="str" cm="1">
        <f t="array" aca="1" ref="M436" ca="1">CONCATENATE(INDIRECT(ADDRESS(1,13,1,0,"KeySet"),0),":","""",valueMaker!M436,"""")</f>
        <v>wakibiri:"-"</v>
      </c>
      <c r="N436" t="str" cm="1">
        <f t="array" aca="1" ref="N436" ca="1">CONCATENATE(INDIRECT(ADDRESS(1,14,1,0,"KeySet"),0),":","""",valueMaker!N436,"""")</f>
        <v>kaninKengenPoint:"有り"</v>
      </c>
      <c r="O436" t="str" cm="1">
        <f t="array" aca="1" ref="O436" ca="1">CONCATENATE(INDIRECT(ADDRESS(1,15,1,0,"KeySet"),0),":","""",valueMaker!O436,"""")</f>
        <v>point:"19"</v>
      </c>
      <c r="P436" t="str" cm="1">
        <f t="array" aca="1" ref="P436" ca="1">CONCATENATE(INDIRECT(ADDRESS(1,16,1,0,"KeySet"),0),":","""",valueMaker!P436,"""")</f>
        <v>bikou:""</v>
      </c>
    </row>
    <row r="437" spans="1:16">
      <c r="A437" t="str" cm="1">
        <f t="array" aca="1" ref="A437" ca="1">CONCATENATE(INDIRECT(ADDRESS(1,1,1,0,"KeySet"),0),":","""",valueMaker!A437,"""")</f>
        <v>kainBangou:"TD10436"</v>
      </c>
      <c r="B437" t="str" cm="1">
        <f t="array" aca="1" ref="B437" ca="1">CONCATENATE(INDIRECT(ADDRESS(1,2,1,0,"KeySet"),0),":","""",valueMaker!B437,"""")</f>
        <v>kainMeiKanji:"朱馳微"</v>
      </c>
      <c r="C437" t="str" cm="1">
        <f t="array" aca="1" ref="C437" ca="1">CONCATENATE(INDIRECT(ADDRESS(1,3,1,0,"KeySet"),0),":","""",valueMaker!C437,"""")</f>
        <v>kainMeiKana:"ｼﾞｭｳ ﾁｰ ｳｴｲ"</v>
      </c>
      <c r="D437" t="str" cm="1">
        <f t="array" aca="1" ref="D437" ca="1">CONCATENATE(INDIRECT(ADDRESS(1,4,1,0,"KeySet"),0),":","""",valueMaker!D437,"""")</f>
        <v>kainMeiEn:"Zhu Chi Wei"</v>
      </c>
      <c r="E437" t="str" cm="1">
        <f t="array" aca="1" ref="E437" ca="1">CONCATENATE(INDIRECT(ADDRESS(1,5,1,0,"KeySet"),0),":","""",valueMaker!E437,"""")</f>
        <v>kainGender:"男性"</v>
      </c>
      <c r="F437" t="str" cm="1">
        <f t="array" aca="1" ref="F437" ca="1">CONCATENATE(INDIRECT(ADDRESS(1,6,1,0,"KeySet"),0),":","""",TEXT(valueMaker!F437,"yyyy/m/d"),"""")</f>
        <v>tanjyoubi:"1962/4/22"</v>
      </c>
      <c r="G437" t="str" cm="1">
        <f t="array" aca="1" ref="G437" ca="1">CONCATENATE(INDIRECT(ADDRESS(1,6,1,0,"KeySet"),0),":","""",TEXT(valueMaker!G437,"yyyy/m/d"),"""")</f>
        <v>tanjyoubi:"1987/5/4"</v>
      </c>
      <c r="H437" t="str" cm="1">
        <f t="array" aca="1" ref="H437" ca="1">CONCATENATE(INDIRECT(ADDRESS(1,6,1,0,"KeySet"),0),":","""",TEXT(valueMaker!H437,"yyyy/m/d"),"""")</f>
        <v>tanjyoubi:"1990/5/3"</v>
      </c>
      <c r="I437" t="str" cm="1">
        <f t="array" aca="1" ref="I437" ca="1">CONCATENATE(INDIRECT(ADDRESS(1,9,1,0,"KeySet"),0),":","""",valueMaker!I437,"""")</f>
        <v>denwaBangou:"080-6204-9664"</v>
      </c>
      <c r="J437" t="str" cm="1">
        <f t="array" aca="1" ref="J437" ca="1">CONCATENATE(INDIRECT(ADDRESS(1,10,1,0,"KeySet"),0),":","""",valueMaker!J437,"""")</f>
        <v>mailAddress:"Zhu_Chi_Wei_31901@outlook.jp.co"</v>
      </c>
      <c r="K437" t="str" cm="1">
        <f t="array" aca="1" ref="K437" ca="1">CONCATENATE(INDIRECT(ADDRESS(1,11,1,0,"KeySet"),0),":","""",valueMaker!K437,"""")</f>
        <v>kaninSyubetu:"普通"</v>
      </c>
      <c r="L437" t="str" cm="1">
        <f t="array" aca="1" ref="L437" ca="1">CONCATENATE(INDIRECT(ADDRESS(1,12,1,0,"KeySet"),0),":","""",valueMaker!L437,"""")</f>
        <v>kaninKengenWB:"有り"</v>
      </c>
      <c r="M437" t="str" cm="1">
        <f t="array" aca="1" ref="M437" ca="1">CONCATENATE(INDIRECT(ADDRESS(1,13,1,0,"KeySet"),0),":","""",valueMaker!M437,"""")</f>
        <v>wakibiri:"5%"</v>
      </c>
      <c r="N437" t="str" cm="1">
        <f t="array" aca="1" ref="N437" ca="1">CONCATENATE(INDIRECT(ADDRESS(1,14,1,0,"KeySet"),0),":","""",valueMaker!N437,"""")</f>
        <v>kaninKengenPoint:"有り"</v>
      </c>
      <c r="O437" t="str" cm="1">
        <f t="array" aca="1" ref="O437" ca="1">CONCATENATE(INDIRECT(ADDRESS(1,15,1,0,"KeySet"),0),":","""",valueMaker!O437,"""")</f>
        <v>point:"851"</v>
      </c>
      <c r="P437" t="str" cm="1">
        <f t="array" aca="1" ref="P437" ca="1">CONCATENATE(INDIRECT(ADDRESS(1,16,1,0,"KeySet"),0),":","""",valueMaker!P437,"""")</f>
        <v>bikou:""</v>
      </c>
    </row>
    <row r="438" spans="1:16">
      <c r="A438" t="str" cm="1">
        <f t="array" aca="1" ref="A438" ca="1">CONCATENATE(INDIRECT(ADDRESS(1,1,1,0,"KeySet"),0),":","""",valueMaker!A438,"""")</f>
        <v>kainBangou:"TD10437"</v>
      </c>
      <c r="B438" t="str" cm="1">
        <f t="array" aca="1" ref="B438" ca="1">CONCATENATE(INDIRECT(ADDRESS(1,2,1,0,"KeySet"),0),":","""",valueMaker!B438,"""")</f>
        <v>kainMeiKanji:"李熙卡"</v>
      </c>
      <c r="C438" t="str" cm="1">
        <f t="array" aca="1" ref="C438" ca="1">CONCATENATE(INDIRECT(ADDRESS(1,3,1,0,"KeySet"),0),":","""",valueMaker!C438,"""")</f>
        <v>kainMeiKana:"ﾘｰ ｼｲ ｶｰ"</v>
      </c>
      <c r="D438" t="str" cm="1">
        <f t="array" aca="1" ref="D438" ca="1">CONCATENATE(INDIRECT(ADDRESS(1,4,1,0,"KeySet"),0),":","""",valueMaker!D438,"""")</f>
        <v>kainMeiEn:"Li Xi Ka"</v>
      </c>
      <c r="E438" t="str" cm="1">
        <f t="array" aca="1" ref="E438" ca="1">CONCATENATE(INDIRECT(ADDRESS(1,5,1,0,"KeySet"),0),":","""",valueMaker!E438,"""")</f>
        <v>kainGender:"女性"</v>
      </c>
      <c r="F438" t="str" cm="1">
        <f t="array" aca="1" ref="F438" ca="1">CONCATENATE(INDIRECT(ADDRESS(1,6,1,0,"KeySet"),0),":","""",TEXT(valueMaker!F438,"yyyy/m/d"),"""")</f>
        <v>tanjyoubi:"1967/12/23"</v>
      </c>
      <c r="G438" t="str" cm="1">
        <f t="array" aca="1" ref="G438" ca="1">CONCATENATE(INDIRECT(ADDRESS(1,6,1,0,"KeySet"),0),":","""",TEXT(valueMaker!G438,"yyyy/m/d"),"""")</f>
        <v>tanjyoubi:"2010/10/12"</v>
      </c>
      <c r="H438" t="str" cm="1">
        <f t="array" aca="1" ref="H438" ca="1">CONCATENATE(INDIRECT(ADDRESS(1,6,1,0,"KeySet"),0),":","""",TEXT(valueMaker!H438,"yyyy/m/d"),"""")</f>
        <v>tanjyoubi:"2013/10/11"</v>
      </c>
      <c r="I438" t="str" cm="1">
        <f t="array" aca="1" ref="I438" ca="1">CONCATENATE(INDIRECT(ADDRESS(1,9,1,0,"KeySet"),0),":","""",valueMaker!I438,"""")</f>
        <v>denwaBangou:"080-1223-0137"</v>
      </c>
      <c r="J438" t="str" cm="1">
        <f t="array" aca="1" ref="J438" ca="1">CONCATENATE(INDIRECT(ADDRESS(1,10,1,0,"KeySet"),0),":","""",valueMaker!J438,"""")</f>
        <v>mailAddress:"Li_Xi Ka_40463@outlook.jp.co"</v>
      </c>
      <c r="K438" t="str" cm="1">
        <f t="array" aca="1" ref="K438" ca="1">CONCATENATE(INDIRECT(ADDRESS(1,11,1,0,"KeySet"),0),":","""",valueMaker!K438,"""")</f>
        <v>kaninSyubetu:"普通"</v>
      </c>
      <c r="L438" t="str" cm="1">
        <f t="array" aca="1" ref="L438" ca="1">CONCATENATE(INDIRECT(ADDRESS(1,12,1,0,"KeySet"),0),":","""",valueMaker!L438,"""")</f>
        <v>kaninKengenWB:"有り"</v>
      </c>
      <c r="M438" t="str" cm="1">
        <f t="array" aca="1" ref="M438" ca="1">CONCATENATE(INDIRECT(ADDRESS(1,13,1,0,"KeySet"),0),":","""",valueMaker!M438,"""")</f>
        <v>wakibiri:"5%"</v>
      </c>
      <c r="N438" t="str" cm="1">
        <f t="array" aca="1" ref="N438" ca="1">CONCATENATE(INDIRECT(ADDRESS(1,14,1,0,"KeySet"),0),":","""",valueMaker!N438,"""")</f>
        <v>kaninKengenPoint:"有り"</v>
      </c>
      <c r="O438" t="str" cm="1">
        <f t="array" aca="1" ref="O438" ca="1">CONCATENATE(INDIRECT(ADDRESS(1,15,1,0,"KeySet"),0),":","""",valueMaker!O438,"""")</f>
        <v>point:"16"</v>
      </c>
      <c r="P438" t="str" cm="1">
        <f t="array" aca="1" ref="P438" ca="1">CONCATENATE(INDIRECT(ADDRESS(1,16,1,0,"KeySet"),0),":","""",valueMaker!P438,"""")</f>
        <v>bikou:""</v>
      </c>
    </row>
    <row r="439" spans="1:16">
      <c r="A439" t="str" cm="1">
        <f t="array" aca="1" ref="A439" ca="1">CONCATENATE(INDIRECT(ADDRESS(1,1,1,0,"KeySet"),0),":","""",valueMaker!A439,"""")</f>
        <v>kainBangou:"TD10438"</v>
      </c>
      <c r="B439" t="str" cm="1">
        <f t="array" aca="1" ref="B439" ca="1">CONCATENATE(INDIRECT(ADDRESS(1,2,1,0,"KeySet"),0),":","""",valueMaker!B439,"""")</f>
        <v>kainMeiKanji:"高綸網"</v>
      </c>
      <c r="C439" t="str" cm="1">
        <f t="array" aca="1" ref="C439" ca="1">CONCATENATE(INDIRECT(ADDRESS(1,3,1,0,"KeySet"),0),":","""",valueMaker!C439,"""")</f>
        <v>kainMeiKana:"ｶﾞｵ ﾙﾝ ﾜｰﾝ"</v>
      </c>
      <c r="D439" t="str" cm="1">
        <f t="array" aca="1" ref="D439" ca="1">CONCATENATE(INDIRECT(ADDRESS(1,4,1,0,"KeySet"),0),":","""",valueMaker!D439,"""")</f>
        <v>kainMeiEn:"Gao Lun Wang"</v>
      </c>
      <c r="E439" t="str" cm="1">
        <f t="array" aca="1" ref="E439" ca="1">CONCATENATE(INDIRECT(ADDRESS(1,5,1,0,"KeySet"),0),":","""",valueMaker!E439,"""")</f>
        <v>kainGender:"男性"</v>
      </c>
      <c r="F439" t="str" cm="1">
        <f t="array" aca="1" ref="F439" ca="1">CONCATENATE(INDIRECT(ADDRESS(1,6,1,0,"KeySet"),0),":","""",TEXT(valueMaker!F439,"yyyy/m/d"),"""")</f>
        <v>tanjyoubi:"1996/3/13"</v>
      </c>
      <c r="G439" t="str" cm="1">
        <f t="array" aca="1" ref="G439" ca="1">CONCATENATE(INDIRECT(ADDRESS(1,6,1,0,"KeySet"),0),":","""",TEXT(valueMaker!G439,"yyyy/m/d"),"""")</f>
        <v>tanjyoubi:"2016/12/9"</v>
      </c>
      <c r="H439" t="str" cm="1">
        <f t="array" aca="1" ref="H439" ca="1">CONCATENATE(INDIRECT(ADDRESS(1,6,1,0,"KeySet"),0),":","""",TEXT(valueMaker!H439,"yyyy/m/d"),"""")</f>
        <v>tanjyoubi:"2018/12/9"</v>
      </c>
      <c r="I439" t="str" cm="1">
        <f t="array" aca="1" ref="I439" ca="1">CONCATENATE(INDIRECT(ADDRESS(1,9,1,0,"KeySet"),0),":","""",valueMaker!I439,"""")</f>
        <v>denwaBangou:"090-7358-5941"</v>
      </c>
      <c r="J439" t="str" cm="1">
        <f t="array" aca="1" ref="J439" ca="1">CONCATENATE(INDIRECT(ADDRESS(1,10,1,0,"KeySet"),0),":","""",valueMaker!J439,"""")</f>
        <v>mailAddress:"Gao_Lun Wang_42713@outlook.jp.co"</v>
      </c>
      <c r="K439" t="str" cm="1">
        <f t="array" aca="1" ref="K439" ca="1">CONCATENATE(INDIRECT(ADDRESS(1,11,1,0,"KeySet"),0),":","""",valueMaker!K439,"""")</f>
        <v>kaninSyubetu:"普通"</v>
      </c>
      <c r="L439" t="str" cm="1">
        <f t="array" aca="1" ref="L439" ca="1">CONCATENATE(INDIRECT(ADDRESS(1,12,1,0,"KeySet"),0),":","""",valueMaker!L439,"""")</f>
        <v>kaninKengenWB:"有り"</v>
      </c>
      <c r="M439" t="str" cm="1">
        <f t="array" aca="1" ref="M439" ca="1">CONCATENATE(INDIRECT(ADDRESS(1,13,1,0,"KeySet"),0),":","""",valueMaker!M439,"""")</f>
        <v>wakibiri:"5%"</v>
      </c>
      <c r="N439" t="str" cm="1">
        <f t="array" aca="1" ref="N439" ca="1">CONCATENATE(INDIRECT(ADDRESS(1,14,1,0,"KeySet"),0),":","""",valueMaker!N439,"""")</f>
        <v>kaninKengenPoint:"-"</v>
      </c>
      <c r="O439" t="str" cm="1">
        <f t="array" aca="1" ref="O439" ca="1">CONCATENATE(INDIRECT(ADDRESS(1,15,1,0,"KeySet"),0),":","""",valueMaker!O439,"""")</f>
        <v>point:"-"</v>
      </c>
      <c r="P439" t="str" cm="1">
        <f t="array" aca="1" ref="P439" ca="1">CONCATENATE(INDIRECT(ADDRESS(1,16,1,0,"KeySet"),0),":","""",valueMaker!P439,"""")</f>
        <v>bikou:""</v>
      </c>
    </row>
    <row r="440" spans="1:16">
      <c r="A440" t="str" cm="1">
        <f t="array" aca="1" ref="A440" ca="1">CONCATENATE(INDIRECT(ADDRESS(1,1,1,0,"KeySet"),0),":","""",valueMaker!A440,"""")</f>
        <v>kainBangou:"TD10439"</v>
      </c>
      <c r="B440" t="str" cm="1">
        <f t="array" aca="1" ref="B440" ca="1">CONCATENATE(INDIRECT(ADDRESS(1,2,1,0,"KeySet"),0),":","""",valueMaker!B440,"""")</f>
        <v>kainMeiKanji:"高慶祖"</v>
      </c>
      <c r="C440" t="str" cm="1">
        <f t="array" aca="1" ref="C440" ca="1">CONCATENATE(INDIRECT(ADDRESS(1,3,1,0,"KeySet"),0),":","""",valueMaker!C440,"""")</f>
        <v>kainMeiKana:"ｶﾞｵ ﾁｰﾝ ｽﾞｩ"</v>
      </c>
      <c r="D440" t="str" cm="1">
        <f t="array" aca="1" ref="D440" ca="1">CONCATENATE(INDIRECT(ADDRESS(1,4,1,0,"KeySet"),0),":","""",valueMaker!D440,"""")</f>
        <v>kainMeiEn:"Gao Qing Zu"</v>
      </c>
      <c r="E440" t="str" cm="1">
        <f t="array" aca="1" ref="E440" ca="1">CONCATENATE(INDIRECT(ADDRESS(1,5,1,0,"KeySet"),0),":","""",valueMaker!E440,"""")</f>
        <v>kainGender:"女性"</v>
      </c>
      <c r="F440" t="str" cm="1">
        <f t="array" aca="1" ref="F440" ca="1">CONCATENATE(INDIRECT(ADDRESS(1,6,1,0,"KeySet"),0),":","""",TEXT(valueMaker!F440,"yyyy/m/d"),"""")</f>
        <v>tanjyoubi:"1974/1/23"</v>
      </c>
      <c r="G440" t="str" cm="1">
        <f t="array" aca="1" ref="G440" ca="1">CONCATENATE(INDIRECT(ADDRESS(1,6,1,0,"KeySet"),0),":","""",TEXT(valueMaker!G440,"yyyy/m/d"),"""")</f>
        <v>tanjyoubi:"1997/3/8"</v>
      </c>
      <c r="H440" t="str" cm="1">
        <f t="array" aca="1" ref="H440" ca="1">CONCATENATE(INDIRECT(ADDRESS(1,6,1,0,"KeySet"),0),":","""",TEXT(valueMaker!H440,"yyyy/m/d"),"""")</f>
        <v>tanjyoubi:"1999/3/8"</v>
      </c>
      <c r="I440" t="str" cm="1">
        <f t="array" aca="1" ref="I440" ca="1">CONCATENATE(INDIRECT(ADDRESS(1,9,1,0,"KeySet"),0),":","""",valueMaker!I440,"""")</f>
        <v>denwaBangou:"080-7987-3926"</v>
      </c>
      <c r="J440" t="str" cm="1">
        <f t="array" aca="1" ref="J440" ca="1">CONCATENATE(INDIRECT(ADDRESS(1,10,1,0,"KeySet"),0),":","""",valueMaker!J440,"""")</f>
        <v>mailAddress:"Gao_Qing_Zu_35497@outlook.jp.co"</v>
      </c>
      <c r="K440" t="str" cm="1">
        <f t="array" aca="1" ref="K440" ca="1">CONCATENATE(INDIRECT(ADDRESS(1,11,1,0,"KeySet"),0),":","""",valueMaker!K440,"""")</f>
        <v>kaninSyubetu:"高級"</v>
      </c>
      <c r="L440" t="str" cm="1">
        <f t="array" aca="1" ref="L440" ca="1">CONCATENATE(INDIRECT(ADDRESS(1,12,1,0,"KeySet"),0),":","""",valueMaker!L440,"""")</f>
        <v>kaninKengenWB:"-"</v>
      </c>
      <c r="M440" t="str" cm="1">
        <f t="array" aca="1" ref="M440" ca="1">CONCATENATE(INDIRECT(ADDRESS(1,13,1,0,"KeySet"),0),":","""",valueMaker!M440,"""")</f>
        <v>wakibiri:"-"</v>
      </c>
      <c r="N440" t="str" cm="1">
        <f t="array" aca="1" ref="N440" ca="1">CONCATENATE(INDIRECT(ADDRESS(1,14,1,0,"KeySet"),0),":","""",valueMaker!N440,"""")</f>
        <v>kaninKengenPoint:"有り"</v>
      </c>
      <c r="O440" t="str" cm="1">
        <f t="array" aca="1" ref="O440" ca="1">CONCATENATE(INDIRECT(ADDRESS(1,15,1,0,"KeySet"),0),":","""",valueMaker!O440,"""")</f>
        <v>point:"517"</v>
      </c>
      <c r="P440" t="str" cm="1">
        <f t="array" aca="1" ref="P440" ca="1">CONCATENATE(INDIRECT(ADDRESS(1,16,1,0,"KeySet"),0),":","""",valueMaker!P440,"""")</f>
        <v>bikou:""</v>
      </c>
    </row>
    <row r="441" spans="1:16">
      <c r="A441" t="str" cm="1">
        <f t="array" aca="1" ref="A441" ca="1">CONCATENATE(INDIRECT(ADDRESS(1,1,1,0,"KeySet"),0),":","""",valueMaker!A441,"""")</f>
        <v>kainBangou:"TD10440"</v>
      </c>
      <c r="B441" t="str" cm="1">
        <f t="array" aca="1" ref="B441" ca="1">CONCATENATE(INDIRECT(ADDRESS(1,2,1,0,"KeySet"),0),":","""",valueMaker!B441,"""")</f>
        <v>kainMeiKanji:"韓彥達"</v>
      </c>
      <c r="C441" t="str" cm="1">
        <f t="array" aca="1" ref="C441" ca="1">CONCATENATE(INDIRECT(ADDRESS(1,3,1,0,"KeySet"),0),":","""",valueMaker!C441,"""")</f>
        <v>kainMeiKana:"ﾊﾝ ｲｴﾝ ﾀﾞｰ"</v>
      </c>
      <c r="D441" t="str" cm="1">
        <f t="array" aca="1" ref="D441" ca="1">CONCATENATE(INDIRECT(ADDRESS(1,4,1,0,"KeySet"),0),":","""",valueMaker!D441,"""")</f>
        <v>kainMeiEn:"Han Yan Da"</v>
      </c>
      <c r="E441" t="str" cm="1">
        <f t="array" aca="1" ref="E441" ca="1">CONCATENATE(INDIRECT(ADDRESS(1,5,1,0,"KeySet"),0),":","""",valueMaker!E441,"""")</f>
        <v>kainGender:"女性"</v>
      </c>
      <c r="F441" t="str" cm="1">
        <f t="array" aca="1" ref="F441" ca="1">CONCATENATE(INDIRECT(ADDRESS(1,6,1,0,"KeySet"),0),":","""",TEXT(valueMaker!F441,"yyyy/m/d"),"""")</f>
        <v>tanjyoubi:"1978/10/22"</v>
      </c>
      <c r="G441" t="str" cm="1">
        <f t="array" aca="1" ref="G441" ca="1">CONCATENATE(INDIRECT(ADDRESS(1,6,1,0,"KeySet"),0),":","""",TEXT(valueMaker!G441,"yyyy/m/d"),"""")</f>
        <v>tanjyoubi:"2016/5/17"</v>
      </c>
      <c r="H441" t="str" cm="1">
        <f t="array" aca="1" ref="H441" ca="1">CONCATENATE(INDIRECT(ADDRESS(1,6,1,0,"KeySet"),0),":","""",TEXT(valueMaker!H441,"yyyy/m/d"),"""")</f>
        <v>tanjyoubi:"2018/5/17"</v>
      </c>
      <c r="I441" t="str" cm="1">
        <f t="array" aca="1" ref="I441" ca="1">CONCATENATE(INDIRECT(ADDRESS(1,9,1,0,"KeySet"),0),":","""",valueMaker!I441,"""")</f>
        <v>denwaBangou:"080-0974-4330"</v>
      </c>
      <c r="J441" t="str" cm="1">
        <f t="array" aca="1" ref="J441" ca="1">CONCATENATE(INDIRECT(ADDRESS(1,10,1,0,"KeySet"),0),":","""",valueMaker!J441,"""")</f>
        <v>mailAddress:"Han_Yan_Da_42507@outlook.jp.co"</v>
      </c>
      <c r="K441" t="str" cm="1">
        <f t="array" aca="1" ref="K441" ca="1">CONCATENATE(INDIRECT(ADDRESS(1,11,1,0,"KeySet"),0),":","""",valueMaker!K441,"""")</f>
        <v>kaninSyubetu:"普通"</v>
      </c>
      <c r="L441" t="str" cm="1">
        <f t="array" aca="1" ref="L441" ca="1">CONCATENATE(INDIRECT(ADDRESS(1,12,1,0,"KeySet"),0),":","""",valueMaker!L441,"""")</f>
        <v>kaninKengenWB:"有り"</v>
      </c>
      <c r="M441" t="str" cm="1">
        <f t="array" aca="1" ref="M441" ca="1">CONCATENATE(INDIRECT(ADDRESS(1,13,1,0,"KeySet"),0),":","""",valueMaker!M441,"""")</f>
        <v>wakibiri:"5%"</v>
      </c>
      <c r="N441" t="str" cm="1">
        <f t="array" aca="1" ref="N441" ca="1">CONCATENATE(INDIRECT(ADDRESS(1,14,1,0,"KeySet"),0),":","""",valueMaker!N441,"""")</f>
        <v>kaninKengenPoint:"有り"</v>
      </c>
      <c r="O441" t="str" cm="1">
        <f t="array" aca="1" ref="O441" ca="1">CONCATENATE(INDIRECT(ADDRESS(1,15,1,0,"KeySet"),0),":","""",valueMaker!O441,"""")</f>
        <v>point:"879"</v>
      </c>
      <c r="P441" t="str" cm="1">
        <f t="array" aca="1" ref="P441" ca="1">CONCATENATE(INDIRECT(ADDRESS(1,16,1,0,"KeySet"),0),":","""",valueMaker!P441,"""")</f>
        <v>bikou:""</v>
      </c>
    </row>
    <row r="442" spans="1:16">
      <c r="A442" t="str" cm="1">
        <f t="array" aca="1" ref="A442" ca="1">CONCATENATE(INDIRECT(ADDRESS(1,1,1,0,"KeySet"),0),":","""",valueMaker!A442,"""")</f>
        <v>kainBangou:"TD10441"</v>
      </c>
      <c r="B442" t="str" cm="1">
        <f t="array" aca="1" ref="B442" ca="1">CONCATENATE(INDIRECT(ADDRESS(1,2,1,0,"KeySet"),0),":","""",valueMaker!B442,"""")</f>
        <v>kainMeiKanji:"韓悅協"</v>
      </c>
      <c r="C442" t="str" cm="1">
        <f t="array" aca="1" ref="C442" ca="1">CONCATENATE(INDIRECT(ADDRESS(1,3,1,0,"KeySet"),0),":","""",valueMaker!C442,"""")</f>
        <v>kainMeiKana:"ﾊﾝ ﾕｴ ｼｴ"</v>
      </c>
      <c r="D442" t="str" cm="1">
        <f t="array" aca="1" ref="D442" ca="1">CONCATENATE(INDIRECT(ADDRESS(1,4,1,0,"KeySet"),0),":","""",valueMaker!D442,"""")</f>
        <v>kainMeiEn:"Han Yue Xie"</v>
      </c>
      <c r="E442" t="str" cm="1">
        <f t="array" aca="1" ref="E442" ca="1">CONCATENATE(INDIRECT(ADDRESS(1,5,1,0,"KeySet"),0),":","""",valueMaker!E442,"""")</f>
        <v>kainGender:"女性"</v>
      </c>
      <c r="F442" t="str" cm="1">
        <f t="array" aca="1" ref="F442" ca="1">CONCATENATE(INDIRECT(ADDRESS(1,6,1,0,"KeySet"),0),":","""",TEXT(valueMaker!F442,"yyyy/m/d"),"""")</f>
        <v>tanjyoubi:"1970/4/22"</v>
      </c>
      <c r="G442" t="str" cm="1">
        <f t="array" aca="1" ref="G442" ca="1">CONCATENATE(INDIRECT(ADDRESS(1,6,1,0,"KeySet"),0),":","""",TEXT(valueMaker!G442,"yyyy/m/d"),"""")</f>
        <v>tanjyoubi:"1994/9/30"</v>
      </c>
      <c r="H442" t="str" cm="1">
        <f t="array" aca="1" ref="H442" ca="1">CONCATENATE(INDIRECT(ADDRESS(1,6,1,0,"KeySet"),0),":","""",TEXT(valueMaker!H442,"yyyy/m/d"),"""")</f>
        <v>tanjyoubi:"1996/9/29"</v>
      </c>
      <c r="I442" t="str" cm="1">
        <f t="array" aca="1" ref="I442" ca="1">CONCATENATE(INDIRECT(ADDRESS(1,9,1,0,"KeySet"),0),":","""",valueMaker!I442,"""")</f>
        <v>denwaBangou:"080-6129-8495"</v>
      </c>
      <c r="J442" t="str" cm="1">
        <f t="array" aca="1" ref="J442" ca="1">CONCATENATE(INDIRECT(ADDRESS(1,10,1,0,"KeySet"),0),":","""",valueMaker!J442,"""")</f>
        <v>mailAddress:"Han_Yue_Xie_34607@outlook.jp.co"</v>
      </c>
      <c r="K442" t="str" cm="1">
        <f t="array" aca="1" ref="K442" ca="1">CONCATENATE(INDIRECT(ADDRESS(1,11,1,0,"KeySet"),0),":","""",valueMaker!K442,"""")</f>
        <v>kaninSyubetu:"高級"</v>
      </c>
      <c r="L442" t="str" cm="1">
        <f t="array" aca="1" ref="L442" ca="1">CONCATENATE(INDIRECT(ADDRESS(1,12,1,0,"KeySet"),0),":","""",valueMaker!L442,"""")</f>
        <v>kaninKengenWB:"-"</v>
      </c>
      <c r="M442" t="str" cm="1">
        <f t="array" aca="1" ref="M442" ca="1">CONCATENATE(INDIRECT(ADDRESS(1,13,1,0,"KeySet"),0),":","""",valueMaker!M442,"""")</f>
        <v>wakibiri:"-"</v>
      </c>
      <c r="N442" t="str" cm="1">
        <f t="array" aca="1" ref="N442" ca="1">CONCATENATE(INDIRECT(ADDRESS(1,14,1,0,"KeySet"),0),":","""",valueMaker!N442,"""")</f>
        <v>kaninKengenPoint:"有り"</v>
      </c>
      <c r="O442" t="str" cm="1">
        <f t="array" aca="1" ref="O442" ca="1">CONCATENATE(INDIRECT(ADDRESS(1,15,1,0,"KeySet"),0),":","""",valueMaker!O442,"""")</f>
        <v>point:"755"</v>
      </c>
      <c r="P442" t="str" cm="1">
        <f t="array" aca="1" ref="P442" ca="1">CONCATENATE(INDIRECT(ADDRESS(1,16,1,0,"KeySet"),0),":","""",valueMaker!P442,"""")</f>
        <v>bikou:""</v>
      </c>
    </row>
    <row r="443" spans="1:16">
      <c r="A443" t="str" cm="1">
        <f t="array" aca="1" ref="A443" ca="1">CONCATENATE(INDIRECT(ADDRESS(1,1,1,0,"KeySet"),0),":","""",valueMaker!A443,"""")</f>
        <v>kainBangou:"TD10442"</v>
      </c>
      <c r="B443" t="str" cm="1">
        <f t="array" aca="1" ref="B443" ca="1">CONCATENATE(INDIRECT(ADDRESS(1,2,1,0,"KeySet"),0),":","""",valueMaker!B443,"""")</f>
        <v>kainMeiKanji:"高壯臻"</v>
      </c>
      <c r="C443" t="str" cm="1">
        <f t="array" aca="1" ref="C443" ca="1">CONCATENATE(INDIRECT(ADDRESS(1,3,1,0,"KeySet"),0),":","""",valueMaker!C443,"""")</f>
        <v>kainMeiKana:"ｶﾞｵ ｼﾞｭﾜｰﾝ ｼﾞｪﾝ"</v>
      </c>
      <c r="D443" t="str" cm="1">
        <f t="array" aca="1" ref="D443" ca="1">CONCATENATE(INDIRECT(ADDRESS(1,4,1,0,"KeySet"),0),":","""",valueMaker!D443,"""")</f>
        <v>kainMeiEn:"Gao Zhuang Zhen"</v>
      </c>
      <c r="E443" t="str" cm="1">
        <f t="array" aca="1" ref="E443" ca="1">CONCATENATE(INDIRECT(ADDRESS(1,5,1,0,"KeySet"),0),":","""",valueMaker!E443,"""")</f>
        <v>kainGender:"男性"</v>
      </c>
      <c r="F443" t="str" cm="1">
        <f t="array" aca="1" ref="F443" ca="1">CONCATENATE(INDIRECT(ADDRESS(1,6,1,0,"KeySet"),0),":","""",TEXT(valueMaker!F443,"yyyy/m/d"),"""")</f>
        <v>tanjyoubi:"1962/7/21"</v>
      </c>
      <c r="G443" t="str" cm="1">
        <f t="array" aca="1" ref="G443" ca="1">CONCATENATE(INDIRECT(ADDRESS(1,6,1,0,"KeySet"),0),":","""",TEXT(valueMaker!G443,"yyyy/m/d"),"""")</f>
        <v>tanjyoubi:"2012/2/1"</v>
      </c>
      <c r="H443" t="str" cm="1">
        <f t="array" aca="1" ref="H443" ca="1">CONCATENATE(INDIRECT(ADDRESS(1,6,1,0,"KeySet"),0),":","""",TEXT(valueMaker!H443,"yyyy/m/d"),"""")</f>
        <v>tanjyoubi:"2015/1/31"</v>
      </c>
      <c r="I443" t="str" cm="1">
        <f t="array" aca="1" ref="I443" ca="1">CONCATENATE(INDIRECT(ADDRESS(1,9,1,0,"KeySet"),0),":","""",valueMaker!I443,"""")</f>
        <v>denwaBangou:"080-4041-0646"</v>
      </c>
      <c r="J443" t="str" cm="1">
        <f t="array" aca="1" ref="J443" ca="1">CONCATENATE(INDIRECT(ADDRESS(1,10,1,0,"KeySet"),0),":","""",valueMaker!J443,"""")</f>
        <v>mailAddress:"Gao_Zhuang_Zhen_40940@outlook.jp.co"</v>
      </c>
      <c r="K443" t="str" cm="1">
        <f t="array" aca="1" ref="K443" ca="1">CONCATENATE(INDIRECT(ADDRESS(1,11,1,0,"KeySet"),0),":","""",valueMaker!K443,"""")</f>
        <v>kaninSyubetu:"普通"</v>
      </c>
      <c r="L443" t="str" cm="1">
        <f t="array" aca="1" ref="L443" ca="1">CONCATENATE(INDIRECT(ADDRESS(1,12,1,0,"KeySet"),0),":","""",valueMaker!L443,"""")</f>
        <v>kaninKengenWB:"有り"</v>
      </c>
      <c r="M443" t="str" cm="1">
        <f t="array" aca="1" ref="M443" ca="1">CONCATENATE(INDIRECT(ADDRESS(1,13,1,0,"KeySet"),0),":","""",valueMaker!M443,"""")</f>
        <v>wakibiri:"5%"</v>
      </c>
      <c r="N443" t="str" cm="1">
        <f t="array" aca="1" ref="N443" ca="1">CONCATENATE(INDIRECT(ADDRESS(1,14,1,0,"KeySet"),0),":","""",valueMaker!N443,"""")</f>
        <v>kaninKengenPoint:"-"</v>
      </c>
      <c r="O443" t="str" cm="1">
        <f t="array" aca="1" ref="O443" ca="1">CONCATENATE(INDIRECT(ADDRESS(1,15,1,0,"KeySet"),0),":","""",valueMaker!O443,"""")</f>
        <v>point:"-"</v>
      </c>
      <c r="P443" t="str" cm="1">
        <f t="array" aca="1" ref="P443" ca="1">CONCATENATE(INDIRECT(ADDRESS(1,16,1,0,"KeySet"),0),":","""",valueMaker!P443,"""")</f>
        <v>bikou:""</v>
      </c>
    </row>
    <row r="444" spans="1:16">
      <c r="A444" t="str" cm="1">
        <f t="array" aca="1" ref="A444" ca="1">CONCATENATE(INDIRECT(ADDRESS(1,1,1,0,"KeySet"),0),":","""",valueMaker!A444,"""")</f>
        <v>kainBangou:"TD10443"</v>
      </c>
      <c r="B444" t="str" cm="1">
        <f t="array" aca="1" ref="B444" ca="1">CONCATENATE(INDIRECT(ADDRESS(1,2,1,0,"KeySet"),0),":","""",valueMaker!B444,"""")</f>
        <v>kainMeiKanji:"劉貴孝"</v>
      </c>
      <c r="C444" t="str" cm="1">
        <f t="array" aca="1" ref="C444" ca="1">CONCATENATE(INDIRECT(ADDRESS(1,3,1,0,"KeySet"),0),":","""",valueMaker!C444,"""")</f>
        <v>kainMeiKana:"ﾘｳ ｸﾞｲ ｼﾔｵ"</v>
      </c>
      <c r="D444" t="str" cm="1">
        <f t="array" aca="1" ref="D444" ca="1">CONCATENATE(INDIRECT(ADDRESS(1,4,1,0,"KeySet"),0),":","""",valueMaker!D444,"""")</f>
        <v>kainMeiEn:"Liu Gui Xiao"</v>
      </c>
      <c r="E444" t="str" cm="1">
        <f t="array" aca="1" ref="E444" ca="1">CONCATENATE(INDIRECT(ADDRESS(1,5,1,0,"KeySet"),0),":","""",valueMaker!E444,"""")</f>
        <v>kainGender:"男性"</v>
      </c>
      <c r="F444" t="str" cm="1">
        <f t="array" aca="1" ref="F444" ca="1">CONCATENATE(INDIRECT(ADDRESS(1,6,1,0,"KeySet"),0),":","""",TEXT(valueMaker!F444,"yyyy/m/d"),"""")</f>
        <v>tanjyoubi:"1999/12/9"</v>
      </c>
      <c r="G444" t="str" cm="1">
        <f t="array" aca="1" ref="G444" ca="1">CONCATENATE(INDIRECT(ADDRESS(1,6,1,0,"KeySet"),0),":","""",TEXT(valueMaker!G444,"yyyy/m/d"),"""")</f>
        <v>tanjyoubi:"2022/12/28"</v>
      </c>
      <c r="H444" t="str" cm="1">
        <f t="array" aca="1" ref="H444" ca="1">CONCATENATE(INDIRECT(ADDRESS(1,6,1,0,"KeySet"),0),":","""",TEXT(valueMaker!H444,"yyyy/m/d"),"""")</f>
        <v>tanjyoubi:"2024/12/27"</v>
      </c>
      <c r="I444" t="str" cm="1">
        <f t="array" aca="1" ref="I444" ca="1">CONCATENATE(INDIRECT(ADDRESS(1,9,1,0,"KeySet"),0),":","""",valueMaker!I444,"""")</f>
        <v>denwaBangou:"090-2838-3736"</v>
      </c>
      <c r="J444" t="str" cm="1">
        <f t="array" aca="1" ref="J444" ca="1">CONCATENATE(INDIRECT(ADDRESS(1,10,1,0,"KeySet"),0),":","""",valueMaker!J444,"""")</f>
        <v>mailAddress:"Liu_Gui_Xiao_44923@outlook.jp.co"</v>
      </c>
      <c r="K444" t="str" cm="1">
        <f t="array" aca="1" ref="K444" ca="1">CONCATENATE(INDIRECT(ADDRESS(1,11,1,0,"KeySet"),0),":","""",valueMaker!K444,"""")</f>
        <v>kaninSyubetu:"高級"</v>
      </c>
      <c r="L444" t="str" cm="1">
        <f t="array" aca="1" ref="L444" ca="1">CONCATENATE(INDIRECT(ADDRESS(1,12,1,0,"KeySet"),0),":","""",valueMaker!L444,"""")</f>
        <v>kaninKengenWB:"有り"</v>
      </c>
      <c r="M444" t="str" cm="1">
        <f t="array" aca="1" ref="M444" ca="1">CONCATENATE(INDIRECT(ADDRESS(1,13,1,0,"KeySet"),0),":","""",valueMaker!M444,"""")</f>
        <v>wakibiri:"10%"</v>
      </c>
      <c r="N444" t="str" cm="1">
        <f t="array" aca="1" ref="N444" ca="1">CONCATENATE(INDIRECT(ADDRESS(1,14,1,0,"KeySet"),0),":","""",valueMaker!N444,"""")</f>
        <v>kaninKengenPoint:"-"</v>
      </c>
      <c r="O444" t="str" cm="1">
        <f t="array" aca="1" ref="O444" ca="1">CONCATENATE(INDIRECT(ADDRESS(1,15,1,0,"KeySet"),0),":","""",valueMaker!O444,"""")</f>
        <v>point:"-"</v>
      </c>
      <c r="P444" t="str" cm="1">
        <f t="array" aca="1" ref="P444" ca="1">CONCATENATE(INDIRECT(ADDRESS(1,16,1,0,"KeySet"),0),":","""",valueMaker!P444,"""")</f>
        <v>bikou:""</v>
      </c>
    </row>
    <row r="445" spans="1:16">
      <c r="A445" t="str" cm="1">
        <f t="array" aca="1" ref="A445" ca="1">CONCATENATE(INDIRECT(ADDRESS(1,1,1,0,"KeySet"),0),":","""",valueMaker!A445,"""")</f>
        <v>kainBangou:"TD10444"</v>
      </c>
      <c r="B445" t="str" cm="1">
        <f t="array" aca="1" ref="B445" ca="1">CONCATENATE(INDIRECT(ADDRESS(1,2,1,0,"KeySet"),0),":","""",valueMaker!B445,"""")</f>
        <v>kainMeiKanji:"周玉木"</v>
      </c>
      <c r="C445" t="str" cm="1">
        <f t="array" aca="1" ref="C445" ca="1">CONCATENATE(INDIRECT(ADDRESS(1,3,1,0,"KeySet"),0),":","""",valueMaker!C445,"""")</f>
        <v>kainMeiKana:"ｼﾞｮｳ ﾕｲ ﾑｩ"</v>
      </c>
      <c r="D445" t="str" cm="1">
        <f t="array" aca="1" ref="D445" ca="1">CONCATENATE(INDIRECT(ADDRESS(1,4,1,0,"KeySet"),0),":","""",valueMaker!D445,"""")</f>
        <v>kainMeiEn:"Zhou Yu Mu"</v>
      </c>
      <c r="E445" t="str" cm="1">
        <f t="array" aca="1" ref="E445" ca="1">CONCATENATE(INDIRECT(ADDRESS(1,5,1,0,"KeySet"),0),":","""",valueMaker!E445,"""")</f>
        <v>kainGender:"女性"</v>
      </c>
      <c r="F445" t="str" cm="1">
        <f t="array" aca="1" ref="F445" ca="1">CONCATENATE(INDIRECT(ADDRESS(1,6,1,0,"KeySet"),0),":","""",TEXT(valueMaker!F445,"yyyy/m/d"),"""")</f>
        <v>tanjyoubi:"1978/1/14"</v>
      </c>
      <c r="G445" t="str" cm="1">
        <f t="array" aca="1" ref="G445" ca="1">CONCATENATE(INDIRECT(ADDRESS(1,6,1,0,"KeySet"),0),":","""",TEXT(valueMaker!G445,"yyyy/m/d"),"""")</f>
        <v>tanjyoubi:"2015/7/16"</v>
      </c>
      <c r="H445" t="str" cm="1">
        <f t="array" aca="1" ref="H445" ca="1">CONCATENATE(INDIRECT(ADDRESS(1,6,1,0,"KeySet"),0),":","""",TEXT(valueMaker!H445,"yyyy/m/d"),"""")</f>
        <v>tanjyoubi:"2018/7/15"</v>
      </c>
      <c r="I445" t="str" cm="1">
        <f t="array" aca="1" ref="I445" ca="1">CONCATENATE(INDIRECT(ADDRESS(1,9,1,0,"KeySet"),0),":","""",valueMaker!I445,"""")</f>
        <v>denwaBangou:"080-3485-7904"</v>
      </c>
      <c r="J445" t="str" cm="1">
        <f t="array" aca="1" ref="J445" ca="1">CONCATENATE(INDIRECT(ADDRESS(1,10,1,0,"KeySet"),0),":","""",valueMaker!J445,"""")</f>
        <v>mailAddress:"Zhou_Yu_Mu_42201@outlook.jp.co"</v>
      </c>
      <c r="K445" t="str" cm="1">
        <f t="array" aca="1" ref="K445" ca="1">CONCATENATE(INDIRECT(ADDRESS(1,11,1,0,"KeySet"),0),":","""",valueMaker!K445,"""")</f>
        <v>kaninSyubetu:"普通"</v>
      </c>
      <c r="L445" t="str" cm="1">
        <f t="array" aca="1" ref="L445" ca="1">CONCATENATE(INDIRECT(ADDRESS(1,12,1,0,"KeySet"),0),":","""",valueMaker!L445,"""")</f>
        <v>kaninKengenWB:"有り"</v>
      </c>
      <c r="M445" t="str" cm="1">
        <f t="array" aca="1" ref="M445" ca="1">CONCATENATE(INDIRECT(ADDRESS(1,13,1,0,"KeySet"),0),":","""",valueMaker!M445,"""")</f>
        <v>wakibiri:"5%"</v>
      </c>
      <c r="N445" t="str" cm="1">
        <f t="array" aca="1" ref="N445" ca="1">CONCATENATE(INDIRECT(ADDRESS(1,14,1,0,"KeySet"),0),":","""",valueMaker!N445,"""")</f>
        <v>kaninKengenPoint:"有り"</v>
      </c>
      <c r="O445" t="str" cm="1">
        <f t="array" aca="1" ref="O445" ca="1">CONCATENATE(INDIRECT(ADDRESS(1,15,1,0,"KeySet"),0),":","""",valueMaker!O445,"""")</f>
        <v>point:"346"</v>
      </c>
      <c r="P445" t="str" cm="1">
        <f t="array" aca="1" ref="P445" ca="1">CONCATENATE(INDIRECT(ADDRESS(1,16,1,0,"KeySet"),0),":","""",valueMaker!P445,"""")</f>
        <v>bikou:""</v>
      </c>
    </row>
    <row r="446" spans="1:16">
      <c r="A446" t="str" cm="1">
        <f t="array" aca="1" ref="A446" ca="1">CONCATENATE(INDIRECT(ADDRESS(1,1,1,0,"KeySet"),0),":","""",valueMaker!A446,"""")</f>
        <v>kainBangou:"TD10445"</v>
      </c>
      <c r="B446" t="str" cm="1">
        <f t="array" aca="1" ref="B446" ca="1">CONCATENATE(INDIRECT(ADDRESS(1,2,1,0,"KeySet"),0),":","""",valueMaker!B446,"""")</f>
        <v>kainMeiKanji:"宋彩金"</v>
      </c>
      <c r="C446" t="str" cm="1">
        <f t="array" aca="1" ref="C446" ca="1">CONCATENATE(INDIRECT(ADDRESS(1,3,1,0,"KeySet"),0),":","""",valueMaker!C446,"""")</f>
        <v>kainMeiKana:"ｿｰﾝ ﾂｧｲ ｼﾞﾝ"</v>
      </c>
      <c r="D446" t="str" cm="1">
        <f t="array" aca="1" ref="D446" ca="1">CONCATENATE(INDIRECT(ADDRESS(1,4,1,0,"KeySet"),0),":","""",valueMaker!D446,"""")</f>
        <v>kainMeiEn:"Song Cai Jin"</v>
      </c>
      <c r="E446" t="str" cm="1">
        <f t="array" aca="1" ref="E446" ca="1">CONCATENATE(INDIRECT(ADDRESS(1,5,1,0,"KeySet"),0),":","""",valueMaker!E446,"""")</f>
        <v>kainGender:"男性"</v>
      </c>
      <c r="F446" t="str" cm="1">
        <f t="array" aca="1" ref="F446" ca="1">CONCATENATE(INDIRECT(ADDRESS(1,6,1,0,"KeySet"),0),":","""",TEXT(valueMaker!F446,"yyyy/m/d"),"""")</f>
        <v>tanjyoubi:"1990/12/18"</v>
      </c>
      <c r="G446" t="str" cm="1">
        <f t="array" aca="1" ref="G446" ca="1">CONCATENATE(INDIRECT(ADDRESS(1,6,1,0,"KeySet"),0),":","""",TEXT(valueMaker!G446,"yyyy/m/d"),"""")</f>
        <v>tanjyoubi:"2021/1/3"</v>
      </c>
      <c r="H446" t="str" cm="1">
        <f t="array" aca="1" ref="H446" ca="1">CONCATENATE(INDIRECT(ADDRESS(1,6,1,0,"KeySet"),0),":","""",TEXT(valueMaker!H446,"yyyy/m/d"),"""")</f>
        <v>tanjyoubi:"2024/1/3"</v>
      </c>
      <c r="I446" t="str" cm="1">
        <f t="array" aca="1" ref="I446" ca="1">CONCATENATE(INDIRECT(ADDRESS(1,9,1,0,"KeySet"),0),":","""",valueMaker!I446,"""")</f>
        <v>denwaBangou:"090-8154-9974"</v>
      </c>
      <c r="J446" t="str" cm="1">
        <f t="array" aca="1" ref="J446" ca="1">CONCATENATE(INDIRECT(ADDRESS(1,10,1,0,"KeySet"),0),":","""",valueMaker!J446,"""")</f>
        <v>mailAddress:"Song_Cai_Jin_44199@outlook.jp.co"</v>
      </c>
      <c r="K446" t="str" cm="1">
        <f t="array" aca="1" ref="K446" ca="1">CONCATENATE(INDIRECT(ADDRESS(1,11,1,0,"KeySet"),0),":","""",valueMaker!K446,"""")</f>
        <v>kaninSyubetu:"普通"</v>
      </c>
      <c r="L446" t="str" cm="1">
        <f t="array" aca="1" ref="L446" ca="1">CONCATENATE(INDIRECT(ADDRESS(1,12,1,0,"KeySet"),0),":","""",valueMaker!L446,"""")</f>
        <v>kaninKengenWB:"有り"</v>
      </c>
      <c r="M446" t="str" cm="1">
        <f t="array" aca="1" ref="M446" ca="1">CONCATENATE(INDIRECT(ADDRESS(1,13,1,0,"KeySet"),0),":","""",valueMaker!M446,"""")</f>
        <v>wakibiri:"5%"</v>
      </c>
      <c r="N446" t="str" cm="1">
        <f t="array" aca="1" ref="N446" ca="1">CONCATENATE(INDIRECT(ADDRESS(1,14,1,0,"KeySet"),0),":","""",valueMaker!N446,"""")</f>
        <v>kaninKengenPoint:"有り"</v>
      </c>
      <c r="O446" t="str" cm="1">
        <f t="array" aca="1" ref="O446" ca="1">CONCATENATE(INDIRECT(ADDRESS(1,15,1,0,"KeySet"),0),":","""",valueMaker!O446,"""")</f>
        <v>point:"447"</v>
      </c>
      <c r="P446" t="str" cm="1">
        <f t="array" aca="1" ref="P446" ca="1">CONCATENATE(INDIRECT(ADDRESS(1,16,1,0,"KeySet"),0),":","""",valueMaker!P446,"""")</f>
        <v>bikou:""</v>
      </c>
    </row>
    <row r="447" spans="1:16">
      <c r="A447" t="str" cm="1">
        <f t="array" aca="1" ref="A447" ca="1">CONCATENATE(INDIRECT(ADDRESS(1,1,1,0,"KeySet"),0),":","""",valueMaker!A447,"""")</f>
        <v>kainBangou:"TD10446"</v>
      </c>
      <c r="B447" t="str" cm="1">
        <f t="array" aca="1" ref="B447" ca="1">CONCATENATE(INDIRECT(ADDRESS(1,2,1,0,"KeySet"),0),":","""",valueMaker!B447,"""")</f>
        <v>kainMeiKanji:"梁馳聖"</v>
      </c>
      <c r="C447" t="str" cm="1">
        <f t="array" aca="1" ref="C447" ca="1">CONCATENATE(INDIRECT(ADDRESS(1,3,1,0,"KeySet"),0),":","""",valueMaker!C447,"""")</f>
        <v>kainMeiKana:"ﾘﾔｰﾝ ﾁｰ ｼｭﾖﾝ"</v>
      </c>
      <c r="D447" t="str" cm="1">
        <f t="array" aca="1" ref="D447" ca="1">CONCATENATE(INDIRECT(ADDRESS(1,4,1,0,"KeySet"),0),":","""",valueMaker!D447,"""")</f>
        <v>kainMeiEn:"Liang Chi Sheng"</v>
      </c>
      <c r="E447" t="str" cm="1">
        <f t="array" aca="1" ref="E447" ca="1">CONCATENATE(INDIRECT(ADDRESS(1,5,1,0,"KeySet"),0),":","""",valueMaker!E447,"""")</f>
        <v>kainGender:"男性"</v>
      </c>
      <c r="F447" t="str" cm="1">
        <f t="array" aca="1" ref="F447" ca="1">CONCATENATE(INDIRECT(ADDRESS(1,6,1,0,"KeySet"),0),":","""",TEXT(valueMaker!F447,"yyyy/m/d"),"""")</f>
        <v>tanjyoubi:"1971/10/9"</v>
      </c>
      <c r="G447" t="str" cm="1">
        <f t="array" aca="1" ref="G447" ca="1">CONCATENATE(INDIRECT(ADDRESS(1,6,1,0,"KeySet"),0),":","""",TEXT(valueMaker!G447,"yyyy/m/d"),"""")</f>
        <v>tanjyoubi:"2001/10/6"</v>
      </c>
      <c r="H447" t="str" cm="1">
        <f t="array" aca="1" ref="H447" ca="1">CONCATENATE(INDIRECT(ADDRESS(1,6,1,0,"KeySet"),0),":","""",TEXT(valueMaker!H447,"yyyy/m/d"),"""")</f>
        <v>tanjyoubi:"2002/10/6"</v>
      </c>
      <c r="I447" t="str" cm="1">
        <f t="array" aca="1" ref="I447" ca="1">CONCATENATE(INDIRECT(ADDRESS(1,9,1,0,"KeySet"),0),":","""",valueMaker!I447,"""")</f>
        <v>denwaBangou:"080-7606-2933"</v>
      </c>
      <c r="J447" t="str" cm="1">
        <f t="array" aca="1" ref="J447" ca="1">CONCATENATE(INDIRECT(ADDRESS(1,10,1,0,"KeySet"),0),":","""",valueMaker!J447,"""")</f>
        <v>mailAddress:"Liang_Chi_Sheng_37170@outlook.jp.co"</v>
      </c>
      <c r="K447" t="str" cm="1">
        <f t="array" aca="1" ref="K447" ca="1">CONCATENATE(INDIRECT(ADDRESS(1,11,1,0,"KeySet"),0),":","""",valueMaker!K447,"""")</f>
        <v>kaninSyubetu:"高級"</v>
      </c>
      <c r="L447" t="str" cm="1">
        <f t="array" aca="1" ref="L447" ca="1">CONCATENATE(INDIRECT(ADDRESS(1,12,1,0,"KeySet"),0),":","""",valueMaker!L447,"""")</f>
        <v>kaninKengenWB:"-"</v>
      </c>
      <c r="M447" t="str" cm="1">
        <f t="array" aca="1" ref="M447" ca="1">CONCATENATE(INDIRECT(ADDRESS(1,13,1,0,"KeySet"),0),":","""",valueMaker!M447,"""")</f>
        <v>wakibiri:"-"</v>
      </c>
      <c r="N447" t="str" cm="1">
        <f t="array" aca="1" ref="N447" ca="1">CONCATENATE(INDIRECT(ADDRESS(1,14,1,0,"KeySet"),0),":","""",valueMaker!N447,"""")</f>
        <v>kaninKengenPoint:"-"</v>
      </c>
      <c r="O447" t="str" cm="1">
        <f t="array" aca="1" ref="O447" ca="1">CONCATENATE(INDIRECT(ADDRESS(1,15,1,0,"KeySet"),0),":","""",valueMaker!O447,"""")</f>
        <v>point:"-"</v>
      </c>
      <c r="P447" t="str" cm="1">
        <f t="array" aca="1" ref="P447" ca="1">CONCATENATE(INDIRECT(ADDRESS(1,16,1,0,"KeySet"),0),":","""",valueMaker!P447,"""")</f>
        <v>bikou:""</v>
      </c>
    </row>
    <row r="448" spans="1:16">
      <c r="A448" t="str" cm="1">
        <f t="array" aca="1" ref="A448" ca="1">CONCATENATE(INDIRECT(ADDRESS(1,1,1,0,"KeySet"),0),":","""",valueMaker!A448,"""")</f>
        <v>kainBangou:"TD10447"</v>
      </c>
      <c r="B448" t="str" cm="1">
        <f t="array" aca="1" ref="B448" ca="1">CONCATENATE(INDIRECT(ADDRESS(1,2,1,0,"KeySet"),0),":","""",valueMaker!B448,"""")</f>
        <v>kainMeiKanji:"孫媛雲"</v>
      </c>
      <c r="C448" t="str" cm="1">
        <f t="array" aca="1" ref="C448" ca="1">CONCATENATE(INDIRECT(ADDRESS(1,3,1,0,"KeySet"),0),":","""",valueMaker!C448,"""")</f>
        <v>kainMeiKana:"ｽｩﾝ ﾕｴﾝ ﾕｲﾝ"</v>
      </c>
      <c r="D448" t="str" cm="1">
        <f t="array" aca="1" ref="D448" ca="1">CONCATENATE(INDIRECT(ADDRESS(1,4,1,0,"KeySet"),0),":","""",valueMaker!D448,"""")</f>
        <v>kainMeiEn:"Sun Yuan Yun"</v>
      </c>
      <c r="E448" t="str" cm="1">
        <f t="array" aca="1" ref="E448" ca="1">CONCATENATE(INDIRECT(ADDRESS(1,5,1,0,"KeySet"),0),":","""",valueMaker!E448,"""")</f>
        <v>kainGender:"女性"</v>
      </c>
      <c r="F448" t="str" cm="1">
        <f t="array" aca="1" ref="F448" ca="1">CONCATENATE(INDIRECT(ADDRESS(1,6,1,0,"KeySet"),0),":","""",TEXT(valueMaker!F448,"yyyy/m/d"),"""")</f>
        <v>tanjyoubi:"1979/1/14"</v>
      </c>
      <c r="G448" t="str" cm="1">
        <f t="array" aca="1" ref="G448" ca="1">CONCATENATE(INDIRECT(ADDRESS(1,6,1,0,"KeySet"),0),":","""",TEXT(valueMaker!G448,"yyyy/m/d"),"""")</f>
        <v>tanjyoubi:"2012/3/26"</v>
      </c>
      <c r="H448" t="str" cm="1">
        <f t="array" aca="1" ref="H448" ca="1">CONCATENATE(INDIRECT(ADDRESS(1,6,1,0,"KeySet"),0),":","""",TEXT(valueMaker!H448,"yyyy/m/d"),"""")</f>
        <v>tanjyoubi:"2014/3/26"</v>
      </c>
      <c r="I448" t="str" cm="1">
        <f t="array" aca="1" ref="I448" ca="1">CONCATENATE(INDIRECT(ADDRESS(1,9,1,0,"KeySet"),0),":","""",valueMaker!I448,"""")</f>
        <v>denwaBangou:"090-5812-4189"</v>
      </c>
      <c r="J448" t="str" cm="1">
        <f t="array" aca="1" ref="J448" ca="1">CONCATENATE(INDIRECT(ADDRESS(1,10,1,0,"KeySet"),0),":","""",valueMaker!J448,"""")</f>
        <v>mailAddress:"Sun_Yuan_Yun_40994@outlook.jp.co"</v>
      </c>
      <c r="K448" t="str" cm="1">
        <f t="array" aca="1" ref="K448" ca="1">CONCATENATE(INDIRECT(ADDRESS(1,11,1,0,"KeySet"),0),":","""",valueMaker!K448,"""")</f>
        <v>kaninSyubetu:"高級"</v>
      </c>
      <c r="L448" t="str" cm="1">
        <f t="array" aca="1" ref="L448" ca="1">CONCATENATE(INDIRECT(ADDRESS(1,12,1,0,"KeySet"),0),":","""",valueMaker!L448,"""")</f>
        <v>kaninKengenWB:"有り"</v>
      </c>
      <c r="M448" t="str" cm="1">
        <f t="array" aca="1" ref="M448" ca="1">CONCATENATE(INDIRECT(ADDRESS(1,13,1,0,"KeySet"),0),":","""",valueMaker!M448,"""")</f>
        <v>wakibiri:"10%"</v>
      </c>
      <c r="N448" t="str" cm="1">
        <f t="array" aca="1" ref="N448" ca="1">CONCATENATE(INDIRECT(ADDRESS(1,14,1,0,"KeySet"),0),":","""",valueMaker!N448,"""")</f>
        <v>kaninKengenPoint:"有り"</v>
      </c>
      <c r="O448" t="str" cm="1">
        <f t="array" aca="1" ref="O448" ca="1">CONCATENATE(INDIRECT(ADDRESS(1,15,1,0,"KeySet"),0),":","""",valueMaker!O448,"""")</f>
        <v>point:"555"</v>
      </c>
      <c r="P448" t="str" cm="1">
        <f t="array" aca="1" ref="P448" ca="1">CONCATENATE(INDIRECT(ADDRESS(1,16,1,0,"KeySet"),0),":","""",valueMaker!P448,"""")</f>
        <v>bikou:""</v>
      </c>
    </row>
    <row r="449" spans="1:16">
      <c r="A449" t="str" cm="1">
        <f t="array" aca="1" ref="A449" ca="1">CONCATENATE(INDIRECT(ADDRESS(1,1,1,0,"KeySet"),0),":","""",valueMaker!A449,"""")</f>
        <v>kainBangou:"TD10448"</v>
      </c>
      <c r="B449" t="str" cm="1">
        <f t="array" aca="1" ref="B449" ca="1">CONCATENATE(INDIRECT(ADDRESS(1,2,1,0,"KeySet"),0),":","""",valueMaker!B449,"""")</f>
        <v>kainMeiKanji:"孫興祥"</v>
      </c>
      <c r="C449" t="str" cm="1">
        <f t="array" aca="1" ref="C449" ca="1">CONCATENATE(INDIRECT(ADDRESS(1,3,1,0,"KeySet"),0),":","""",valueMaker!C449,"""")</f>
        <v>kainMeiKana:"ｽｩﾝ ｼｰﾝ ｼｱｰﾝ"</v>
      </c>
      <c r="D449" t="str" cm="1">
        <f t="array" aca="1" ref="D449" ca="1">CONCATENATE(INDIRECT(ADDRESS(1,4,1,0,"KeySet"),0),":","""",valueMaker!D449,"""")</f>
        <v>kainMeiEn:"Sun Xing Xiang"</v>
      </c>
      <c r="E449" t="str" cm="1">
        <f t="array" aca="1" ref="E449" ca="1">CONCATENATE(INDIRECT(ADDRESS(1,5,1,0,"KeySet"),0),":","""",valueMaker!E449,"""")</f>
        <v>kainGender:"女性"</v>
      </c>
      <c r="F449" t="str" cm="1">
        <f t="array" aca="1" ref="F449" ca="1">CONCATENATE(INDIRECT(ADDRESS(1,6,1,0,"KeySet"),0),":","""",TEXT(valueMaker!F449,"yyyy/m/d"),"""")</f>
        <v>tanjyoubi:"1991/12/19"</v>
      </c>
      <c r="G449" t="str" cm="1">
        <f t="array" aca="1" ref="G449" ca="1">CONCATENATE(INDIRECT(ADDRESS(1,6,1,0,"KeySet"),0),":","""",TEXT(valueMaker!G449,"yyyy/m/d"),"""")</f>
        <v>tanjyoubi:"2016/9/10"</v>
      </c>
      <c r="H449" t="str" cm="1">
        <f t="array" aca="1" ref="H449" ca="1">CONCATENATE(INDIRECT(ADDRESS(1,6,1,0,"KeySet"),0),":","""",TEXT(valueMaker!H449,"yyyy/m/d"),"""")</f>
        <v>tanjyoubi:"2018/9/10"</v>
      </c>
      <c r="I449" t="str" cm="1">
        <f t="array" aca="1" ref="I449" ca="1">CONCATENATE(INDIRECT(ADDRESS(1,9,1,0,"KeySet"),0),":","""",valueMaker!I449,"""")</f>
        <v>denwaBangou:"090-6092-5310"</v>
      </c>
      <c r="J449" t="str" cm="1">
        <f t="array" aca="1" ref="J449" ca="1">CONCATENATE(INDIRECT(ADDRESS(1,10,1,0,"KeySet"),0),":","""",valueMaker!J449,"""")</f>
        <v>mailAddress:"Sun_Xing_Xiang_42623@outlook.jp.co"</v>
      </c>
      <c r="K449" t="str" cm="1">
        <f t="array" aca="1" ref="K449" ca="1">CONCATENATE(INDIRECT(ADDRESS(1,11,1,0,"KeySet"),0),":","""",valueMaker!K449,"""")</f>
        <v>kaninSyubetu:"普通"</v>
      </c>
      <c r="L449" t="str" cm="1">
        <f t="array" aca="1" ref="L449" ca="1">CONCATENATE(INDIRECT(ADDRESS(1,12,1,0,"KeySet"),0),":","""",valueMaker!L449,"""")</f>
        <v>kaninKengenWB:"有り"</v>
      </c>
      <c r="M449" t="str" cm="1">
        <f t="array" aca="1" ref="M449" ca="1">CONCATENATE(INDIRECT(ADDRESS(1,13,1,0,"KeySet"),0),":","""",valueMaker!M449,"""")</f>
        <v>wakibiri:"5%"</v>
      </c>
      <c r="N449" t="str" cm="1">
        <f t="array" aca="1" ref="N449" ca="1">CONCATENATE(INDIRECT(ADDRESS(1,14,1,0,"KeySet"),0),":","""",valueMaker!N449,"""")</f>
        <v>kaninKengenPoint:"有り"</v>
      </c>
      <c r="O449" t="str" cm="1">
        <f t="array" aca="1" ref="O449" ca="1">CONCATENATE(INDIRECT(ADDRESS(1,15,1,0,"KeySet"),0),":","""",valueMaker!O449,"""")</f>
        <v>point:"491"</v>
      </c>
      <c r="P449" t="str" cm="1">
        <f t="array" aca="1" ref="P449" ca="1">CONCATENATE(INDIRECT(ADDRESS(1,16,1,0,"KeySet"),0),":","""",valueMaker!P449,"""")</f>
        <v>bikou:""</v>
      </c>
    </row>
    <row r="450" spans="1:16">
      <c r="A450" t="str" cm="1">
        <f t="array" aca="1" ref="A450" ca="1">CONCATENATE(INDIRECT(ADDRESS(1,1,1,0,"KeySet"),0),":","""",valueMaker!A450,"""")</f>
        <v>kainBangou:"TD10449"</v>
      </c>
      <c r="B450" t="str" cm="1">
        <f t="array" aca="1" ref="B450" ca="1">CONCATENATE(INDIRECT(ADDRESS(1,2,1,0,"KeySet"),0),":","""",valueMaker!B450,"""")</f>
        <v>kainMeiKanji:"韓斯蘭"</v>
      </c>
      <c r="C450" t="str" cm="1">
        <f t="array" aca="1" ref="C450" ca="1">CONCATENATE(INDIRECT(ADDRESS(1,3,1,0,"KeySet"),0),":","""",valueMaker!C450,"""")</f>
        <v>kainMeiKana:"ﾊﾝ ｽｰ ﾗﾝ"</v>
      </c>
      <c r="D450" t="str" cm="1">
        <f t="array" aca="1" ref="D450" ca="1">CONCATENATE(INDIRECT(ADDRESS(1,4,1,0,"KeySet"),0),":","""",valueMaker!D450,"""")</f>
        <v>kainMeiEn:"Han Si Lan"</v>
      </c>
      <c r="E450" t="str" cm="1">
        <f t="array" aca="1" ref="E450" ca="1">CONCATENATE(INDIRECT(ADDRESS(1,5,1,0,"KeySet"),0),":","""",valueMaker!E450,"""")</f>
        <v>kainGender:"男性"</v>
      </c>
      <c r="F450" t="str" cm="1">
        <f t="array" aca="1" ref="F450" ca="1">CONCATENATE(INDIRECT(ADDRESS(1,6,1,0,"KeySet"),0),":","""",TEXT(valueMaker!F450,"yyyy/m/d"),"""")</f>
        <v>tanjyoubi:"1987/6/27"</v>
      </c>
      <c r="G450" t="str" cm="1">
        <f t="array" aca="1" ref="G450" ca="1">CONCATENATE(INDIRECT(ADDRESS(1,6,1,0,"KeySet"),0),":","""",TEXT(valueMaker!G450,"yyyy/m/d"),"""")</f>
        <v>tanjyoubi:"2020/5/1"</v>
      </c>
      <c r="H450" t="str" cm="1">
        <f t="array" aca="1" ref="H450" ca="1">CONCATENATE(INDIRECT(ADDRESS(1,6,1,0,"KeySet"),0),":","""",TEXT(valueMaker!H450,"yyyy/m/d"),"""")</f>
        <v>tanjyoubi:"2023/5/1"</v>
      </c>
      <c r="I450" t="str" cm="1">
        <f t="array" aca="1" ref="I450" ca="1">CONCATENATE(INDIRECT(ADDRESS(1,9,1,0,"KeySet"),0),":","""",valueMaker!I450,"""")</f>
        <v>denwaBangou:"090-8832-3112"</v>
      </c>
      <c r="J450" t="str" cm="1">
        <f t="array" aca="1" ref="J450" ca="1">CONCATENATE(INDIRECT(ADDRESS(1,10,1,0,"KeySet"),0),":","""",valueMaker!J450,"""")</f>
        <v>mailAddress:"Han_Si_Lan_43952@outlook.jp.co"</v>
      </c>
      <c r="K450" t="str" cm="1">
        <f t="array" aca="1" ref="K450" ca="1">CONCATENATE(INDIRECT(ADDRESS(1,11,1,0,"KeySet"),0),":","""",valueMaker!K450,"""")</f>
        <v>kaninSyubetu:"普通"</v>
      </c>
      <c r="L450" t="str" cm="1">
        <f t="array" aca="1" ref="L450" ca="1">CONCATENATE(INDIRECT(ADDRESS(1,12,1,0,"KeySet"),0),":","""",valueMaker!L450,"""")</f>
        <v>kaninKengenWB:"有り"</v>
      </c>
      <c r="M450" t="str" cm="1">
        <f t="array" aca="1" ref="M450" ca="1">CONCATENATE(INDIRECT(ADDRESS(1,13,1,0,"KeySet"),0),":","""",valueMaker!M450,"""")</f>
        <v>wakibiri:"5%"</v>
      </c>
      <c r="N450" t="str" cm="1">
        <f t="array" aca="1" ref="N450" ca="1">CONCATENATE(INDIRECT(ADDRESS(1,14,1,0,"KeySet"),0),":","""",valueMaker!N450,"""")</f>
        <v>kaninKengenPoint:"有り"</v>
      </c>
      <c r="O450" t="str" cm="1">
        <f t="array" aca="1" ref="O450" ca="1">CONCATENATE(INDIRECT(ADDRESS(1,15,1,0,"KeySet"),0),":","""",valueMaker!O450,"""")</f>
        <v>point:"795"</v>
      </c>
      <c r="P450" t="str" cm="1">
        <f t="array" aca="1" ref="P450" ca="1">CONCATENATE(INDIRECT(ADDRESS(1,16,1,0,"KeySet"),0),":","""",valueMaker!P450,"""")</f>
        <v>bikou:""</v>
      </c>
    </row>
    <row r="451" spans="1:16">
      <c r="A451" t="str" cm="1">
        <f t="array" aca="1" ref="A451" ca="1">CONCATENATE(INDIRECT(ADDRESS(1,1,1,0,"KeySet"),0),":","""",valueMaker!A451,"""")</f>
        <v>kainBangou:"TD10450"</v>
      </c>
      <c r="B451" t="str" cm="1">
        <f t="array" aca="1" ref="B451" ca="1">CONCATENATE(INDIRECT(ADDRESS(1,2,1,0,"KeySet"),0),":","""",valueMaker!B451,"""")</f>
        <v>kainMeiKanji:"于喜永"</v>
      </c>
      <c r="C451" t="str" cm="1">
        <f t="array" aca="1" ref="C451" ca="1">CONCATENATE(INDIRECT(ADDRESS(1,3,1,0,"KeySet"),0),":","""",valueMaker!C451,"""")</f>
        <v>kainMeiKana:"ﾕｲ ｼｲ ﾖｰﾝ"</v>
      </c>
      <c r="D451" t="str" cm="1">
        <f t="array" aca="1" ref="D451" ca="1">CONCATENATE(INDIRECT(ADDRESS(1,4,1,0,"KeySet"),0),":","""",valueMaker!D451,"""")</f>
        <v>kainMeiEn:"Yu Xi Yong"</v>
      </c>
      <c r="E451" t="str" cm="1">
        <f t="array" aca="1" ref="E451" ca="1">CONCATENATE(INDIRECT(ADDRESS(1,5,1,0,"KeySet"),0),":","""",valueMaker!E451,"""")</f>
        <v>kainGender:"女性"</v>
      </c>
      <c r="F451" t="str" cm="1">
        <f t="array" aca="1" ref="F451" ca="1">CONCATENATE(INDIRECT(ADDRESS(1,6,1,0,"KeySet"),0),":","""",TEXT(valueMaker!F451,"yyyy/m/d"),"""")</f>
        <v>tanjyoubi:"1985/11/8"</v>
      </c>
      <c r="G451" t="str" cm="1">
        <f t="array" aca="1" ref="G451" ca="1">CONCATENATE(INDIRECT(ADDRESS(1,6,1,0,"KeySet"),0),":","""",TEXT(valueMaker!G451,"yyyy/m/d"),"""")</f>
        <v>tanjyoubi:"2018/7/2"</v>
      </c>
      <c r="H451" t="str" cm="1">
        <f t="array" aca="1" ref="H451" ca="1">CONCATENATE(INDIRECT(ADDRESS(1,6,1,0,"KeySet"),0),":","""",TEXT(valueMaker!H451,"yyyy/m/d"),"""")</f>
        <v>tanjyoubi:"2021/7/1"</v>
      </c>
      <c r="I451" t="str" cm="1">
        <f t="array" aca="1" ref="I451" ca="1">CONCATENATE(INDIRECT(ADDRESS(1,9,1,0,"KeySet"),0),":","""",valueMaker!I451,"""")</f>
        <v>denwaBangou:"080-9111-2685"</v>
      </c>
      <c r="J451" t="str" cm="1">
        <f t="array" aca="1" ref="J451" ca="1">CONCATENATE(INDIRECT(ADDRESS(1,10,1,0,"KeySet"),0),":","""",valueMaker!J451,"""")</f>
        <v>mailAddress:"Yu_Xi_Yong_43283@outlook.jp.co"</v>
      </c>
      <c r="K451" t="str" cm="1">
        <f t="array" aca="1" ref="K451" ca="1">CONCATENATE(INDIRECT(ADDRESS(1,11,1,0,"KeySet"),0),":","""",valueMaker!K451,"""")</f>
        <v>kaninSyubetu:"普通"</v>
      </c>
      <c r="L451" t="str" cm="1">
        <f t="array" aca="1" ref="L451" ca="1">CONCATENATE(INDIRECT(ADDRESS(1,12,1,0,"KeySet"),0),":","""",valueMaker!L451,"""")</f>
        <v>kaninKengenWB:"有り"</v>
      </c>
      <c r="M451" t="str" cm="1">
        <f t="array" aca="1" ref="M451" ca="1">CONCATENATE(INDIRECT(ADDRESS(1,13,1,0,"KeySet"),0),":","""",valueMaker!M451,"""")</f>
        <v>wakibiri:"5%"</v>
      </c>
      <c r="N451" t="str" cm="1">
        <f t="array" aca="1" ref="N451" ca="1">CONCATENATE(INDIRECT(ADDRESS(1,14,1,0,"KeySet"),0),":","""",valueMaker!N451,"""")</f>
        <v>kaninKengenPoint:"有り"</v>
      </c>
      <c r="O451" t="str" cm="1">
        <f t="array" aca="1" ref="O451" ca="1">CONCATENATE(INDIRECT(ADDRESS(1,15,1,0,"KeySet"),0),":","""",valueMaker!O451,"""")</f>
        <v>point:"354"</v>
      </c>
      <c r="P451" t="str" cm="1">
        <f t="array" aca="1" ref="P451" ca="1">CONCATENATE(INDIRECT(ADDRESS(1,16,1,0,"KeySet"),0),":","""",valueMaker!P451,"""")</f>
        <v>bikou:""</v>
      </c>
    </row>
    <row r="452" spans="1:16">
      <c r="A452" t="str" cm="1">
        <f t="array" aca="1" ref="A452" ca="1">CONCATENATE(INDIRECT(ADDRESS(1,1,1,0,"KeySet"),0),":","""",valueMaker!A452,"""")</f>
        <v>kainBangou:"TD10451"</v>
      </c>
      <c r="B452" t="str" cm="1">
        <f t="array" aca="1" ref="B452" ca="1">CONCATENATE(INDIRECT(ADDRESS(1,2,1,0,"KeySet"),0),":","""",valueMaker!B452,"""")</f>
        <v>kainMeiKanji:"趙含瑋"</v>
      </c>
      <c r="C452" t="str" cm="1">
        <f t="array" aca="1" ref="C452" ca="1">CONCATENATE(INDIRECT(ADDRESS(1,3,1,0,"KeySet"),0),":","""",valueMaker!C452,"""")</f>
        <v>kainMeiKana:"ｼﾞｬｵ ﾊﾝ ｳｴｲ"</v>
      </c>
      <c r="D452" t="str" cm="1">
        <f t="array" aca="1" ref="D452" ca="1">CONCATENATE(INDIRECT(ADDRESS(1,4,1,0,"KeySet"),0),":","""",valueMaker!D452,"""")</f>
        <v>kainMeiEn:"Zhao Han Wei"</v>
      </c>
      <c r="E452" t="str" cm="1">
        <f t="array" aca="1" ref="E452" ca="1">CONCATENATE(INDIRECT(ADDRESS(1,5,1,0,"KeySet"),0),":","""",valueMaker!E452,"""")</f>
        <v>kainGender:"男性"</v>
      </c>
      <c r="F452" t="str" cm="1">
        <f t="array" aca="1" ref="F452" ca="1">CONCATENATE(INDIRECT(ADDRESS(1,6,1,0,"KeySet"),0),":","""",TEXT(valueMaker!F452,"yyyy/m/d"),"""")</f>
        <v>tanjyoubi:"1991/8/1"</v>
      </c>
      <c r="G452" t="str" cm="1">
        <f t="array" aca="1" ref="G452" ca="1">CONCATENATE(INDIRECT(ADDRESS(1,6,1,0,"KeySet"),0),":","""",TEXT(valueMaker!G452,"yyyy/m/d"),"""")</f>
        <v>tanjyoubi:"2013/3/1"</v>
      </c>
      <c r="H452" t="str" cm="1">
        <f t="array" aca="1" ref="H452" ca="1">CONCATENATE(INDIRECT(ADDRESS(1,6,1,0,"KeySet"),0),":","""",TEXT(valueMaker!H452,"yyyy/m/d"),"""")</f>
        <v>tanjyoubi:"2016/2/29"</v>
      </c>
      <c r="I452" t="str" cm="1">
        <f t="array" aca="1" ref="I452" ca="1">CONCATENATE(INDIRECT(ADDRESS(1,9,1,0,"KeySet"),0),":","""",valueMaker!I452,"""")</f>
        <v>denwaBangou:"090-3365-8961"</v>
      </c>
      <c r="J452" t="str" cm="1">
        <f t="array" aca="1" ref="J452" ca="1">CONCATENATE(INDIRECT(ADDRESS(1,10,1,0,"KeySet"),0),":","""",valueMaker!J452,"""")</f>
        <v>mailAddress:"Zhao_Han_Wei_41334@outlook.jp.co"</v>
      </c>
      <c r="K452" t="str" cm="1">
        <f t="array" aca="1" ref="K452" ca="1">CONCATENATE(INDIRECT(ADDRESS(1,11,1,0,"KeySet"),0),":","""",valueMaker!K452,"""")</f>
        <v>kaninSyubetu:"高級"</v>
      </c>
      <c r="L452" t="str" cm="1">
        <f t="array" aca="1" ref="L452" ca="1">CONCATENATE(INDIRECT(ADDRESS(1,12,1,0,"KeySet"),0),":","""",valueMaker!L452,"""")</f>
        <v>kaninKengenWB:"有り"</v>
      </c>
      <c r="M452" t="str" cm="1">
        <f t="array" aca="1" ref="M452" ca="1">CONCATENATE(INDIRECT(ADDRESS(1,13,1,0,"KeySet"),0),":","""",valueMaker!M452,"""")</f>
        <v>wakibiri:"10%"</v>
      </c>
      <c r="N452" t="str" cm="1">
        <f t="array" aca="1" ref="N452" ca="1">CONCATENATE(INDIRECT(ADDRESS(1,14,1,0,"KeySet"),0),":","""",valueMaker!N452,"""")</f>
        <v>kaninKengenPoint:"有り"</v>
      </c>
      <c r="O452" t="str" cm="1">
        <f t="array" aca="1" ref="O452" ca="1">CONCATENATE(INDIRECT(ADDRESS(1,15,1,0,"KeySet"),0),":","""",valueMaker!O452,"""")</f>
        <v>point:"761"</v>
      </c>
      <c r="P452" t="str" cm="1">
        <f t="array" aca="1" ref="P452" ca="1">CONCATENATE(INDIRECT(ADDRESS(1,16,1,0,"KeySet"),0),":","""",valueMaker!P452,"""")</f>
        <v>bikou:""</v>
      </c>
    </row>
    <row r="453" spans="1:16">
      <c r="A453" t="str" cm="1">
        <f t="array" aca="1" ref="A453" ca="1">CONCATENATE(INDIRECT(ADDRESS(1,1,1,0,"KeySet"),0),":","""",valueMaker!A453,"""")</f>
        <v>kainBangou:"TD10452"</v>
      </c>
      <c r="B453" t="str" cm="1">
        <f t="array" aca="1" ref="B453" ca="1">CONCATENATE(INDIRECT(ADDRESS(1,2,1,0,"KeySet"),0),":","""",valueMaker!B453,"""")</f>
        <v>kainMeiKanji:"劉旋衡"</v>
      </c>
      <c r="C453" t="str" cm="1">
        <f t="array" aca="1" ref="C453" ca="1">CONCATENATE(INDIRECT(ADDRESS(1,3,1,0,"KeySet"),0),":","""",valueMaker!C453,"""")</f>
        <v>kainMeiKana:"ﾘｳ ｼｭｴﾝ ﾎｩｵﾝ"</v>
      </c>
      <c r="D453" t="str" cm="1">
        <f t="array" aca="1" ref="D453" ca="1">CONCATENATE(INDIRECT(ADDRESS(1,4,1,0,"KeySet"),0),":","""",valueMaker!D453,"""")</f>
        <v>kainMeiEn:"Liu Xuan Heng"</v>
      </c>
      <c r="E453" t="str" cm="1">
        <f t="array" aca="1" ref="E453" ca="1">CONCATENATE(INDIRECT(ADDRESS(1,5,1,0,"KeySet"),0),":","""",valueMaker!E453,"""")</f>
        <v>kainGender:"-"</v>
      </c>
      <c r="F453" t="str" cm="1">
        <f t="array" aca="1" ref="F453" ca="1">CONCATENATE(INDIRECT(ADDRESS(1,6,1,0,"KeySet"),0),":","""",TEXT(valueMaker!F453,"yyyy/m/d"),"""")</f>
        <v>tanjyoubi:"1978/7/24"</v>
      </c>
      <c r="G453" t="str" cm="1">
        <f t="array" aca="1" ref="G453" ca="1">CONCATENATE(INDIRECT(ADDRESS(1,6,1,0,"KeySet"),0),":","""",TEXT(valueMaker!G453,"yyyy/m/d"),"""")</f>
        <v>tanjyoubi:"2001/10/5"</v>
      </c>
      <c r="H453" t="str" cm="1">
        <f t="array" aca="1" ref="H453" ca="1">CONCATENATE(INDIRECT(ADDRESS(1,6,1,0,"KeySet"),0),":","""",TEXT(valueMaker!H453,"yyyy/m/d"),"""")</f>
        <v>tanjyoubi:"2003/10/5"</v>
      </c>
      <c r="I453" t="str" cm="1">
        <f t="array" aca="1" ref="I453" ca="1">CONCATENATE(INDIRECT(ADDRESS(1,9,1,0,"KeySet"),0),":","""",valueMaker!I453,"""")</f>
        <v>denwaBangou:"080-7358-6651"</v>
      </c>
      <c r="J453" t="str" cm="1">
        <f t="array" aca="1" ref="J453" ca="1">CONCATENATE(INDIRECT(ADDRESS(1,10,1,0,"KeySet"),0),":","""",valueMaker!J453,"""")</f>
        <v>mailAddress:"Liu_Xuan_Heng_37169@outlook.jp.co"</v>
      </c>
      <c r="K453" t="str" cm="1">
        <f t="array" aca="1" ref="K453" ca="1">CONCATENATE(INDIRECT(ADDRESS(1,11,1,0,"KeySet"),0),":","""",valueMaker!K453,"""")</f>
        <v>kaninSyubetu:"高級"</v>
      </c>
      <c r="L453" t="str" cm="1">
        <f t="array" aca="1" ref="L453" ca="1">CONCATENATE(INDIRECT(ADDRESS(1,12,1,0,"KeySet"),0),":","""",valueMaker!L453,"""")</f>
        <v>kaninKengenWB:"有り"</v>
      </c>
      <c r="M453" t="str" cm="1">
        <f t="array" aca="1" ref="M453" ca="1">CONCATENATE(INDIRECT(ADDRESS(1,13,1,0,"KeySet"),0),":","""",valueMaker!M453,"""")</f>
        <v>wakibiri:"10%"</v>
      </c>
      <c r="N453" t="str" cm="1">
        <f t="array" aca="1" ref="N453" ca="1">CONCATENATE(INDIRECT(ADDRESS(1,14,1,0,"KeySet"),0),":","""",valueMaker!N453,"""")</f>
        <v>kaninKengenPoint:"有り"</v>
      </c>
      <c r="O453" t="str" cm="1">
        <f t="array" aca="1" ref="O453" ca="1">CONCATENATE(INDIRECT(ADDRESS(1,15,1,0,"KeySet"),0),":","""",valueMaker!O453,"""")</f>
        <v>point:"980"</v>
      </c>
      <c r="P453" t="str" cm="1">
        <f t="array" aca="1" ref="P453" ca="1">CONCATENATE(INDIRECT(ADDRESS(1,16,1,0,"KeySet"),0),":","""",valueMaker!P453,"""")</f>
        <v>bikou:""</v>
      </c>
    </row>
    <row r="454" spans="1:16">
      <c r="A454" t="str" cm="1">
        <f t="array" aca="1" ref="A454" ca="1">CONCATENATE(INDIRECT(ADDRESS(1,1,1,0,"KeySet"),0),":","""",valueMaker!A454,"""")</f>
        <v>kainBangou:"TD10453"</v>
      </c>
      <c r="B454" t="str" cm="1">
        <f t="array" aca="1" ref="B454" ca="1">CONCATENATE(INDIRECT(ADDRESS(1,2,1,0,"KeySet"),0),":","""",valueMaker!B454,"""")</f>
        <v>kainMeiKanji:"周騰威"</v>
      </c>
      <c r="C454" t="str" cm="1">
        <f t="array" aca="1" ref="C454" ca="1">CONCATENATE(INDIRECT(ADDRESS(1,3,1,0,"KeySet"),0),":","""",valueMaker!C454,"""")</f>
        <v>kainMeiKana:"ｼﾞｮｳ ﾄｩｵﾝ ｳｴｲ"</v>
      </c>
      <c r="D454" t="str" cm="1">
        <f t="array" aca="1" ref="D454" ca="1">CONCATENATE(INDIRECT(ADDRESS(1,4,1,0,"KeySet"),0),":","""",valueMaker!D454,"""")</f>
        <v>kainMeiEn:"Zhou Teng Wei"</v>
      </c>
      <c r="E454" t="str" cm="1">
        <f t="array" aca="1" ref="E454" ca="1">CONCATENATE(INDIRECT(ADDRESS(1,5,1,0,"KeySet"),0),":","""",valueMaker!E454,"""")</f>
        <v>kainGender:"女性"</v>
      </c>
      <c r="F454" t="str" cm="1">
        <f t="array" aca="1" ref="F454" ca="1">CONCATENATE(INDIRECT(ADDRESS(1,6,1,0,"KeySet"),0),":","""",TEXT(valueMaker!F454,"yyyy/m/d"),"""")</f>
        <v>tanjyoubi:"1974/6/22"</v>
      </c>
      <c r="G454" t="str" cm="1">
        <f t="array" aca="1" ref="G454" ca="1">CONCATENATE(INDIRECT(ADDRESS(1,6,1,0,"KeySet"),0),":","""",TEXT(valueMaker!G454,"yyyy/m/d"),"""")</f>
        <v>tanjyoubi:"2014/6/12"</v>
      </c>
      <c r="H454" t="str" cm="1">
        <f t="array" aca="1" ref="H454" ca="1">CONCATENATE(INDIRECT(ADDRESS(1,6,1,0,"KeySet"),0),":","""",TEXT(valueMaker!H454,"yyyy/m/d"),"""")</f>
        <v>tanjyoubi:"2016/6/11"</v>
      </c>
      <c r="I454" t="str" cm="1">
        <f t="array" aca="1" ref="I454" ca="1">CONCATENATE(INDIRECT(ADDRESS(1,9,1,0,"KeySet"),0),":","""",valueMaker!I454,"""")</f>
        <v>denwaBangou:"080-9860-1065"</v>
      </c>
      <c r="J454" t="str" cm="1">
        <f t="array" aca="1" ref="J454" ca="1">CONCATENATE(INDIRECT(ADDRESS(1,10,1,0,"KeySet"),0),":","""",valueMaker!J454,"""")</f>
        <v>mailAddress:"Zhou_Teng_Wei_41802@outlook.jp.co"</v>
      </c>
      <c r="K454" t="str" cm="1">
        <f t="array" aca="1" ref="K454" ca="1">CONCATENATE(INDIRECT(ADDRESS(1,11,1,0,"KeySet"),0),":","""",valueMaker!K454,"""")</f>
        <v>kaninSyubetu:"高級"</v>
      </c>
      <c r="L454" t="str" cm="1">
        <f t="array" aca="1" ref="L454" ca="1">CONCATENATE(INDIRECT(ADDRESS(1,12,1,0,"KeySet"),0),":","""",valueMaker!L454,"""")</f>
        <v>kaninKengenWB:"有り"</v>
      </c>
      <c r="M454" t="str" cm="1">
        <f t="array" aca="1" ref="M454" ca="1">CONCATENATE(INDIRECT(ADDRESS(1,13,1,0,"KeySet"),0),":","""",valueMaker!M454,"""")</f>
        <v>wakibiri:"10%"</v>
      </c>
      <c r="N454" t="str" cm="1">
        <f t="array" aca="1" ref="N454" ca="1">CONCATENATE(INDIRECT(ADDRESS(1,14,1,0,"KeySet"),0),":","""",valueMaker!N454,"""")</f>
        <v>kaninKengenPoint:"有り"</v>
      </c>
      <c r="O454" t="str" cm="1">
        <f t="array" aca="1" ref="O454" ca="1">CONCATENATE(INDIRECT(ADDRESS(1,15,1,0,"KeySet"),0),":","""",valueMaker!O454,"""")</f>
        <v>point:"756"</v>
      </c>
      <c r="P454" t="str" cm="1">
        <f t="array" aca="1" ref="P454" ca="1">CONCATENATE(INDIRECT(ADDRESS(1,16,1,0,"KeySet"),0),":","""",valueMaker!P454,"""")</f>
        <v>bikou:""</v>
      </c>
    </row>
    <row r="455" spans="1:16">
      <c r="A455" t="str" cm="1">
        <f t="array" aca="1" ref="A455" ca="1">CONCATENATE(INDIRECT(ADDRESS(1,1,1,0,"KeySet"),0),":","""",valueMaker!A455,"""")</f>
        <v>kainBangou:"TD10454"</v>
      </c>
      <c r="B455" t="str" cm="1">
        <f t="array" aca="1" ref="B455" ca="1">CONCATENATE(INDIRECT(ADDRESS(1,2,1,0,"KeySet"),0),":","""",valueMaker!B455,"""")</f>
        <v>kainMeiKanji:"鄭盈年"</v>
      </c>
      <c r="C455" t="str" cm="1">
        <f t="array" aca="1" ref="C455" ca="1">CONCATENATE(INDIRECT(ADDRESS(1,3,1,0,"KeySet"),0),":","""",valueMaker!C455,"""")</f>
        <v>kainMeiKana:"ｼﾞｭﾖﾝ ｲｰﾝ ﾆｴﾝ"</v>
      </c>
      <c r="D455" t="str" cm="1">
        <f t="array" aca="1" ref="D455" ca="1">CONCATENATE(INDIRECT(ADDRESS(1,4,1,0,"KeySet"),0),":","""",valueMaker!D455,"""")</f>
        <v>kainMeiEn:"Zheng Ying Nian"</v>
      </c>
      <c r="E455" t="str" cm="1">
        <f t="array" aca="1" ref="E455" ca="1">CONCATENATE(INDIRECT(ADDRESS(1,5,1,0,"KeySet"),0),":","""",valueMaker!E455,"""")</f>
        <v>kainGender:"女性"</v>
      </c>
      <c r="F455" t="str" cm="1">
        <f t="array" aca="1" ref="F455" ca="1">CONCATENATE(INDIRECT(ADDRESS(1,6,1,0,"KeySet"),0),":","""",TEXT(valueMaker!F455,"yyyy/m/d"),"""")</f>
        <v>tanjyoubi:"1996/11/22"</v>
      </c>
      <c r="G455" t="str" cm="1">
        <f t="array" aca="1" ref="G455" ca="1">CONCATENATE(INDIRECT(ADDRESS(1,6,1,0,"KeySet"),0),":","""",TEXT(valueMaker!G455,"yyyy/m/d"),"""")</f>
        <v>tanjyoubi:"2021/7/5"</v>
      </c>
      <c r="H455" t="str" cm="1">
        <f t="array" aca="1" ref="H455" ca="1">CONCATENATE(INDIRECT(ADDRESS(1,6,1,0,"KeySet"),0),":","""",TEXT(valueMaker!H455,"yyyy/m/d"),"""")</f>
        <v>tanjyoubi:"2022/7/5"</v>
      </c>
      <c r="I455" t="str" cm="1">
        <f t="array" aca="1" ref="I455" ca="1">CONCATENATE(INDIRECT(ADDRESS(1,9,1,0,"KeySet"),0),":","""",valueMaker!I455,"""")</f>
        <v>denwaBangou:"090-1563-7699"</v>
      </c>
      <c r="J455" t="str" cm="1">
        <f t="array" aca="1" ref="J455" ca="1">CONCATENATE(INDIRECT(ADDRESS(1,10,1,0,"KeySet"),0),":","""",valueMaker!J455,"""")</f>
        <v>mailAddress:"Zheng_Ying_Nian_44382@outlook.jp.co"</v>
      </c>
      <c r="K455" t="str" cm="1">
        <f t="array" aca="1" ref="K455" ca="1">CONCATENATE(INDIRECT(ADDRESS(1,11,1,0,"KeySet"),0),":","""",valueMaker!K455,"""")</f>
        <v>kaninSyubetu:"普通"</v>
      </c>
      <c r="L455" t="str" cm="1">
        <f t="array" aca="1" ref="L455" ca="1">CONCATENATE(INDIRECT(ADDRESS(1,12,1,0,"KeySet"),0),":","""",valueMaker!L455,"""")</f>
        <v>kaninKengenWB:"有り"</v>
      </c>
      <c r="M455" t="str" cm="1">
        <f t="array" aca="1" ref="M455" ca="1">CONCATENATE(INDIRECT(ADDRESS(1,13,1,0,"KeySet"),0),":","""",valueMaker!M455,"""")</f>
        <v>wakibiri:"5%"</v>
      </c>
      <c r="N455" t="str" cm="1">
        <f t="array" aca="1" ref="N455" ca="1">CONCATENATE(INDIRECT(ADDRESS(1,14,1,0,"KeySet"),0),":","""",valueMaker!N455,"""")</f>
        <v>kaninKengenPoint:"有り"</v>
      </c>
      <c r="O455" t="str" cm="1">
        <f t="array" aca="1" ref="O455" ca="1">CONCATENATE(INDIRECT(ADDRESS(1,15,1,0,"KeySet"),0),":","""",valueMaker!O455,"""")</f>
        <v>point:"630"</v>
      </c>
      <c r="P455" t="str" cm="1">
        <f t="array" aca="1" ref="P455" ca="1">CONCATENATE(INDIRECT(ADDRESS(1,16,1,0,"KeySet"),0),":","""",valueMaker!P455,"""")</f>
        <v>bikou:""</v>
      </c>
    </row>
    <row r="456" spans="1:16">
      <c r="A456" t="str" cm="1">
        <f t="array" aca="1" ref="A456" ca="1">CONCATENATE(INDIRECT(ADDRESS(1,1,1,0,"KeySet"),0),":","""",valueMaker!A456,"""")</f>
        <v>kainBangou:"TD10455"</v>
      </c>
      <c r="B456" t="str" cm="1">
        <f t="array" aca="1" ref="B456" ca="1">CONCATENATE(INDIRECT(ADDRESS(1,2,1,0,"KeySet"),0),":","""",valueMaker!B456,"""")</f>
        <v>kainMeiKanji:"黃索頻"</v>
      </c>
      <c r="C456" t="str" cm="1">
        <f t="array" aca="1" ref="C456" ca="1">CONCATENATE(INDIRECT(ADDRESS(1,3,1,0,"KeySet"),0),":","""",valueMaker!C456,"""")</f>
        <v>kainMeiKana:"ﾎﾜｰﾝ ｽｩｵ ﾋﾟﾝ"</v>
      </c>
      <c r="D456" t="str" cm="1">
        <f t="array" aca="1" ref="D456" ca="1">CONCATENATE(INDIRECT(ADDRESS(1,4,1,0,"KeySet"),0),":","""",valueMaker!D456,"""")</f>
        <v>kainMeiEn:"Huang Suo Pin"</v>
      </c>
      <c r="E456" t="str" cm="1">
        <f t="array" aca="1" ref="E456" ca="1">CONCATENATE(INDIRECT(ADDRESS(1,5,1,0,"KeySet"),0),":","""",valueMaker!E456,"""")</f>
        <v>kainGender:"女性"</v>
      </c>
      <c r="F456" t="str" cm="1">
        <f t="array" aca="1" ref="F456" ca="1">CONCATENATE(INDIRECT(ADDRESS(1,6,1,0,"KeySet"),0),":","""",TEXT(valueMaker!F456,"yyyy/m/d"),"""")</f>
        <v>tanjyoubi:"1968/11/6"</v>
      </c>
      <c r="G456" t="str" cm="1">
        <f t="array" aca="1" ref="G456" ca="1">CONCATENATE(INDIRECT(ADDRESS(1,6,1,0,"KeySet"),0),":","""",TEXT(valueMaker!G456,"yyyy/m/d"),"""")</f>
        <v>tanjyoubi:"2005/4/10"</v>
      </c>
      <c r="H456" t="str" cm="1">
        <f t="array" aca="1" ref="H456" ca="1">CONCATENATE(INDIRECT(ADDRESS(1,6,1,0,"KeySet"),0),":","""",TEXT(valueMaker!H456,"yyyy/m/d"),"""")</f>
        <v>tanjyoubi:"2007/4/10"</v>
      </c>
      <c r="I456" t="str" cm="1">
        <f t="array" aca="1" ref="I456" ca="1">CONCATENATE(INDIRECT(ADDRESS(1,9,1,0,"KeySet"),0),":","""",valueMaker!I456,"""")</f>
        <v>denwaBangou:"090-1785-5755"</v>
      </c>
      <c r="J456" t="str" cm="1">
        <f t="array" aca="1" ref="J456" ca="1">CONCATENATE(INDIRECT(ADDRESS(1,10,1,0,"KeySet"),0),":","""",valueMaker!J456,"""")</f>
        <v>mailAddress:"Huang_Suo_Pin_38452@outlook.jp.co"</v>
      </c>
      <c r="K456" t="str" cm="1">
        <f t="array" aca="1" ref="K456" ca="1">CONCATENATE(INDIRECT(ADDRESS(1,11,1,0,"KeySet"),0),":","""",valueMaker!K456,"""")</f>
        <v>kaninSyubetu:"普通"</v>
      </c>
      <c r="L456" t="str" cm="1">
        <f t="array" aca="1" ref="L456" ca="1">CONCATENATE(INDIRECT(ADDRESS(1,12,1,0,"KeySet"),0),":","""",valueMaker!L456,"""")</f>
        <v>kaninKengenWB:"有り"</v>
      </c>
      <c r="M456" t="str" cm="1">
        <f t="array" aca="1" ref="M456" ca="1">CONCATENATE(INDIRECT(ADDRESS(1,13,1,0,"KeySet"),0),":","""",valueMaker!M456,"""")</f>
        <v>wakibiri:"5%"</v>
      </c>
      <c r="N456" t="str" cm="1">
        <f t="array" aca="1" ref="N456" ca="1">CONCATENATE(INDIRECT(ADDRESS(1,14,1,0,"KeySet"),0),":","""",valueMaker!N456,"""")</f>
        <v>kaninKengenPoint:"-"</v>
      </c>
      <c r="O456" t="str" cm="1">
        <f t="array" aca="1" ref="O456" ca="1">CONCATENATE(INDIRECT(ADDRESS(1,15,1,0,"KeySet"),0),":","""",valueMaker!O456,"""")</f>
        <v>point:"-"</v>
      </c>
      <c r="P456" t="str" cm="1">
        <f t="array" aca="1" ref="P456" ca="1">CONCATENATE(INDIRECT(ADDRESS(1,16,1,0,"KeySet"),0),":","""",valueMaker!P456,"""")</f>
        <v>bikou:""</v>
      </c>
    </row>
    <row r="457" spans="1:16">
      <c r="A457" t="str" cm="1">
        <f t="array" aca="1" ref="A457" ca="1">CONCATENATE(INDIRECT(ADDRESS(1,1,1,0,"KeySet"),0),":","""",valueMaker!A457,"""")</f>
        <v>kainBangou:"TD10456"</v>
      </c>
      <c r="B457" t="str" cm="1">
        <f t="array" aca="1" ref="B457" ca="1">CONCATENATE(INDIRECT(ADDRESS(1,2,1,0,"KeySet"),0),":","""",valueMaker!B457,"""")</f>
        <v>kainMeiKanji:"胡暉晨"</v>
      </c>
      <c r="C457" t="str" cm="1">
        <f t="array" aca="1" ref="C457" ca="1">CONCATENATE(INDIRECT(ADDRESS(1,3,1,0,"KeySet"),0),":","""",valueMaker!C457,"""")</f>
        <v>kainMeiKana:"ﾎｩ ﾎｩｲ ﾁｪﾝ"</v>
      </c>
      <c r="D457" t="str" cm="1">
        <f t="array" aca="1" ref="D457" ca="1">CONCATENATE(INDIRECT(ADDRESS(1,4,1,0,"KeySet"),0),":","""",valueMaker!D457,"""")</f>
        <v>kainMeiEn:"Hu Hui Chen"</v>
      </c>
      <c r="E457" t="str" cm="1">
        <f t="array" aca="1" ref="E457" ca="1">CONCATENATE(INDIRECT(ADDRESS(1,5,1,0,"KeySet"),0),":","""",valueMaker!E457,"""")</f>
        <v>kainGender:"-"</v>
      </c>
      <c r="F457" t="str" cm="1">
        <f t="array" aca="1" ref="F457" ca="1">CONCATENATE(INDIRECT(ADDRESS(1,6,1,0,"KeySet"),0),":","""",TEXT(valueMaker!F457,"yyyy/m/d"),"""")</f>
        <v>tanjyoubi:"1971/6/22"</v>
      </c>
      <c r="G457" t="str" cm="1">
        <f t="array" aca="1" ref="G457" ca="1">CONCATENATE(INDIRECT(ADDRESS(1,6,1,0,"KeySet"),0),":","""",TEXT(valueMaker!G457,"yyyy/m/d"),"""")</f>
        <v>tanjyoubi:"1999/12/24"</v>
      </c>
      <c r="H457" t="str" cm="1">
        <f t="array" aca="1" ref="H457" ca="1">CONCATENATE(INDIRECT(ADDRESS(1,6,1,0,"KeySet"),0),":","""",TEXT(valueMaker!H457,"yyyy/m/d"),"""")</f>
        <v>tanjyoubi:"2000/12/23"</v>
      </c>
      <c r="I457" t="str" cm="1">
        <f t="array" aca="1" ref="I457" ca="1">CONCATENATE(INDIRECT(ADDRESS(1,9,1,0,"KeySet"),0),":","""",valueMaker!I457,"""")</f>
        <v>denwaBangou:"080-9626-9294"</v>
      </c>
      <c r="J457" t="str" cm="1">
        <f t="array" aca="1" ref="J457" ca="1">CONCATENATE(INDIRECT(ADDRESS(1,10,1,0,"KeySet"),0),":","""",valueMaker!J457,"""")</f>
        <v>mailAddress:"Hu_Hui_Chen_36518@outlook.jp.co"</v>
      </c>
      <c r="K457" t="str" cm="1">
        <f t="array" aca="1" ref="K457" ca="1">CONCATENATE(INDIRECT(ADDRESS(1,11,1,0,"KeySet"),0),":","""",valueMaker!K457,"""")</f>
        <v>kaninSyubetu:"普通"</v>
      </c>
      <c r="L457" t="str" cm="1">
        <f t="array" aca="1" ref="L457" ca="1">CONCATENATE(INDIRECT(ADDRESS(1,12,1,0,"KeySet"),0),":","""",valueMaker!L457,"""")</f>
        <v>kaninKengenWB:"-"</v>
      </c>
      <c r="M457" t="str" cm="1">
        <f t="array" aca="1" ref="M457" ca="1">CONCATENATE(INDIRECT(ADDRESS(1,13,1,0,"KeySet"),0),":","""",valueMaker!M457,"""")</f>
        <v>wakibiri:"-"</v>
      </c>
      <c r="N457" t="str" cm="1">
        <f t="array" aca="1" ref="N457" ca="1">CONCATENATE(INDIRECT(ADDRESS(1,14,1,0,"KeySet"),0),":","""",valueMaker!N457,"""")</f>
        <v>kaninKengenPoint:"-"</v>
      </c>
      <c r="O457" t="str" cm="1">
        <f t="array" aca="1" ref="O457" ca="1">CONCATENATE(INDIRECT(ADDRESS(1,15,1,0,"KeySet"),0),":","""",valueMaker!O457,"""")</f>
        <v>point:"-"</v>
      </c>
      <c r="P457" t="str" cm="1">
        <f t="array" aca="1" ref="P457" ca="1">CONCATENATE(INDIRECT(ADDRESS(1,16,1,0,"KeySet"),0),":","""",valueMaker!P457,"""")</f>
        <v>bikou:""</v>
      </c>
    </row>
    <row r="458" spans="1:16">
      <c r="A458" t="str" cm="1">
        <f t="array" aca="1" ref="A458" ca="1">CONCATENATE(INDIRECT(ADDRESS(1,1,1,0,"KeySet"),0),":","""",valueMaker!A458,"""")</f>
        <v>kainBangou:"TD10457"</v>
      </c>
      <c r="B458" t="str" cm="1">
        <f t="array" aca="1" ref="B458" ca="1">CONCATENATE(INDIRECT(ADDRESS(1,2,1,0,"KeySet"),0),":","""",valueMaker!B458,"""")</f>
        <v>kainMeiKanji:"鄭依思"</v>
      </c>
      <c r="C458" t="str" cm="1">
        <f t="array" aca="1" ref="C458" ca="1">CONCATENATE(INDIRECT(ADDRESS(1,3,1,0,"KeySet"),0),":","""",valueMaker!C458,"""")</f>
        <v>kainMeiKana:"ｼﾞｭﾖﾝ ｲｰ ｽｰ"</v>
      </c>
      <c r="D458" t="str" cm="1">
        <f t="array" aca="1" ref="D458" ca="1">CONCATENATE(INDIRECT(ADDRESS(1,4,1,0,"KeySet"),0),":","""",valueMaker!D458,"""")</f>
        <v>kainMeiEn:"Zheng Yi Si"</v>
      </c>
      <c r="E458" t="str" cm="1">
        <f t="array" aca="1" ref="E458" ca="1">CONCATENATE(INDIRECT(ADDRESS(1,5,1,0,"KeySet"),0),":","""",valueMaker!E458,"""")</f>
        <v>kainGender:"女性"</v>
      </c>
      <c r="F458" t="str" cm="1">
        <f t="array" aca="1" ref="F458" ca="1">CONCATENATE(INDIRECT(ADDRESS(1,6,1,0,"KeySet"),0),":","""",TEXT(valueMaker!F458,"yyyy/m/d"),"""")</f>
        <v>tanjyoubi:"1962/12/1"</v>
      </c>
      <c r="G458" t="str" cm="1">
        <f t="array" aca="1" ref="G458" ca="1">CONCATENATE(INDIRECT(ADDRESS(1,6,1,0,"KeySet"),0),":","""",TEXT(valueMaker!G458,"yyyy/m/d"),"""")</f>
        <v>tanjyoubi:"2018/8/9"</v>
      </c>
      <c r="H458" t="str" cm="1">
        <f t="array" aca="1" ref="H458" ca="1">CONCATENATE(INDIRECT(ADDRESS(1,6,1,0,"KeySet"),0),":","""",TEXT(valueMaker!H458,"yyyy/m/d"),"""")</f>
        <v>tanjyoubi:"2021/8/8"</v>
      </c>
      <c r="I458" t="str" cm="1">
        <f t="array" aca="1" ref="I458" ca="1">CONCATENATE(INDIRECT(ADDRESS(1,9,1,0,"KeySet"),0),":","""",valueMaker!I458,"""")</f>
        <v>denwaBangou:"080-5538-8409"</v>
      </c>
      <c r="J458" t="str" cm="1">
        <f t="array" aca="1" ref="J458" ca="1">CONCATENATE(INDIRECT(ADDRESS(1,10,1,0,"KeySet"),0),":","""",valueMaker!J458,"""")</f>
        <v>mailAddress:"Zheng_Yi_Si_43321@outlook.jp.co"</v>
      </c>
      <c r="K458" t="str" cm="1">
        <f t="array" aca="1" ref="K458" ca="1">CONCATENATE(INDIRECT(ADDRESS(1,11,1,0,"KeySet"),0),":","""",valueMaker!K458,"""")</f>
        <v>kaninSyubetu:"普通"</v>
      </c>
      <c r="L458" t="str" cm="1">
        <f t="array" aca="1" ref="L458" ca="1">CONCATENATE(INDIRECT(ADDRESS(1,12,1,0,"KeySet"),0),":","""",valueMaker!L458,"""")</f>
        <v>kaninKengenWB:"有り"</v>
      </c>
      <c r="M458" t="str" cm="1">
        <f t="array" aca="1" ref="M458" ca="1">CONCATENATE(INDIRECT(ADDRESS(1,13,1,0,"KeySet"),0),":","""",valueMaker!M458,"""")</f>
        <v>wakibiri:"5%"</v>
      </c>
      <c r="N458" t="str" cm="1">
        <f t="array" aca="1" ref="N458" ca="1">CONCATENATE(INDIRECT(ADDRESS(1,14,1,0,"KeySet"),0),":","""",valueMaker!N458,"""")</f>
        <v>kaninKengenPoint:"有り"</v>
      </c>
      <c r="O458" t="str" cm="1">
        <f t="array" aca="1" ref="O458" ca="1">CONCATENATE(INDIRECT(ADDRESS(1,15,1,0,"KeySet"),0),":","""",valueMaker!O458,"""")</f>
        <v>point:"684"</v>
      </c>
      <c r="P458" t="str" cm="1">
        <f t="array" aca="1" ref="P458" ca="1">CONCATENATE(INDIRECT(ADDRESS(1,16,1,0,"KeySet"),0),":","""",valueMaker!P458,"""")</f>
        <v>bikou:""</v>
      </c>
    </row>
    <row r="459" spans="1:16">
      <c r="A459" t="str" cm="1">
        <f t="array" aca="1" ref="A459" ca="1">CONCATENATE(INDIRECT(ADDRESS(1,1,1,0,"KeySet"),0),":","""",valueMaker!A459,"""")</f>
        <v>kainBangou:"TD10458"</v>
      </c>
      <c r="B459" t="str" cm="1">
        <f t="array" aca="1" ref="B459" ca="1">CONCATENATE(INDIRECT(ADDRESS(1,2,1,0,"KeySet"),0),":","""",valueMaker!B459,"""")</f>
        <v>kainMeiKanji:"孫經能"</v>
      </c>
      <c r="C459" t="str" cm="1">
        <f t="array" aca="1" ref="C459" ca="1">CONCATENATE(INDIRECT(ADDRESS(1,3,1,0,"KeySet"),0),":","""",valueMaker!C459,"""")</f>
        <v>kainMeiKana:"ｽｩﾝ ｼﾞｰﾝ ﾇｵﾝ"</v>
      </c>
      <c r="D459" t="str" cm="1">
        <f t="array" aca="1" ref="D459" ca="1">CONCATENATE(INDIRECT(ADDRESS(1,4,1,0,"KeySet"),0),":","""",valueMaker!D459,"""")</f>
        <v>kainMeiEn:"Sun Jing Neng"</v>
      </c>
      <c r="E459" t="str" cm="1">
        <f t="array" aca="1" ref="E459" ca="1">CONCATENATE(INDIRECT(ADDRESS(1,5,1,0,"KeySet"),0),":","""",valueMaker!E459,"""")</f>
        <v>kainGender:"男性"</v>
      </c>
      <c r="F459" t="str" cm="1">
        <f t="array" aca="1" ref="F459" ca="1">CONCATENATE(INDIRECT(ADDRESS(1,6,1,0,"KeySet"),0),":","""",TEXT(valueMaker!F459,"yyyy/m/d"),"""")</f>
        <v>tanjyoubi:"1961/1/10"</v>
      </c>
      <c r="G459" t="str" cm="1">
        <f t="array" aca="1" ref="G459" ca="1">CONCATENATE(INDIRECT(ADDRESS(1,6,1,0,"KeySet"),0),":","""",TEXT(valueMaker!G459,"yyyy/m/d"),"""")</f>
        <v>tanjyoubi:"2021/12/26"</v>
      </c>
      <c r="H459" t="str" cm="1">
        <f t="array" aca="1" ref="H459" ca="1">CONCATENATE(INDIRECT(ADDRESS(1,6,1,0,"KeySet"),0),":","""",TEXT(valueMaker!H459,"yyyy/m/d"),"""")</f>
        <v>tanjyoubi:"2023/12/26"</v>
      </c>
      <c r="I459" t="str" cm="1">
        <f t="array" aca="1" ref="I459" ca="1">CONCATENATE(INDIRECT(ADDRESS(1,9,1,0,"KeySet"),0),":","""",valueMaker!I459,"""")</f>
        <v>denwaBangou:"090-3010-3854"</v>
      </c>
      <c r="J459" t="str" cm="1">
        <f t="array" aca="1" ref="J459" ca="1">CONCATENATE(INDIRECT(ADDRESS(1,10,1,0,"KeySet"),0),":","""",valueMaker!J459,"""")</f>
        <v>mailAddress:"Sun_Jing_Neng_44556@outlook.jp.co"</v>
      </c>
      <c r="K459" t="str" cm="1">
        <f t="array" aca="1" ref="K459" ca="1">CONCATENATE(INDIRECT(ADDRESS(1,11,1,0,"KeySet"),0),":","""",valueMaker!K459,"""")</f>
        <v>kaninSyubetu:"高級"</v>
      </c>
      <c r="L459" t="str" cm="1">
        <f t="array" aca="1" ref="L459" ca="1">CONCATENATE(INDIRECT(ADDRESS(1,12,1,0,"KeySet"),0),":","""",valueMaker!L459,"""")</f>
        <v>kaninKengenWB:"-"</v>
      </c>
      <c r="M459" t="str" cm="1">
        <f t="array" aca="1" ref="M459" ca="1">CONCATENATE(INDIRECT(ADDRESS(1,13,1,0,"KeySet"),0),":","""",valueMaker!M459,"""")</f>
        <v>wakibiri:"-"</v>
      </c>
      <c r="N459" t="str" cm="1">
        <f t="array" aca="1" ref="N459" ca="1">CONCATENATE(INDIRECT(ADDRESS(1,14,1,0,"KeySet"),0),":","""",valueMaker!N459,"""")</f>
        <v>kaninKengenPoint:"有り"</v>
      </c>
      <c r="O459" t="str" cm="1">
        <f t="array" aca="1" ref="O459" ca="1">CONCATENATE(INDIRECT(ADDRESS(1,15,1,0,"KeySet"),0),":","""",valueMaker!O459,"""")</f>
        <v>point:"58"</v>
      </c>
      <c r="P459" t="str" cm="1">
        <f t="array" aca="1" ref="P459" ca="1">CONCATENATE(INDIRECT(ADDRESS(1,16,1,0,"KeySet"),0),":","""",valueMaker!P459,"""")</f>
        <v>bikou:""</v>
      </c>
    </row>
    <row r="460" spans="1:16">
      <c r="A460" t="str" cm="1">
        <f t="array" aca="1" ref="A460" ca="1">CONCATENATE(INDIRECT(ADDRESS(1,1,1,0,"KeySet"),0),":","""",valueMaker!A460,"""")</f>
        <v>kainBangou:"TD10459"</v>
      </c>
      <c r="B460" t="str" cm="1">
        <f t="array" aca="1" ref="B460" ca="1">CONCATENATE(INDIRECT(ADDRESS(1,2,1,0,"KeySet"),0),":","""",valueMaker!B460,"""")</f>
        <v>kainMeiKanji:"鄭道頻"</v>
      </c>
      <c r="C460" t="str" cm="1">
        <f t="array" aca="1" ref="C460" ca="1">CONCATENATE(INDIRECT(ADDRESS(1,3,1,0,"KeySet"),0),":","""",valueMaker!C460,"""")</f>
        <v>kainMeiKana:"ｼﾞｭﾖﾝ ﾀﾞｵ ﾋﾟﾝ"</v>
      </c>
      <c r="D460" t="str" cm="1">
        <f t="array" aca="1" ref="D460" ca="1">CONCATENATE(INDIRECT(ADDRESS(1,4,1,0,"KeySet"),0),":","""",valueMaker!D460,"""")</f>
        <v>kainMeiEn:"Zheng Dao Pin"</v>
      </c>
      <c r="E460" t="str" cm="1">
        <f t="array" aca="1" ref="E460" ca="1">CONCATENATE(INDIRECT(ADDRESS(1,5,1,0,"KeySet"),0),":","""",valueMaker!E460,"""")</f>
        <v>kainGender:"男性"</v>
      </c>
      <c r="F460" t="str" cm="1">
        <f t="array" aca="1" ref="F460" ca="1">CONCATENATE(INDIRECT(ADDRESS(1,6,1,0,"KeySet"),0),":","""",TEXT(valueMaker!F460,"yyyy/m/d"),"""")</f>
        <v>tanjyoubi:"1986/9/5"</v>
      </c>
      <c r="G460" t="str" cm="1">
        <f t="array" aca="1" ref="G460" ca="1">CONCATENATE(INDIRECT(ADDRESS(1,6,1,0,"KeySet"),0),":","""",TEXT(valueMaker!G460,"yyyy/m/d"),"""")</f>
        <v>tanjyoubi:"2013/7/11"</v>
      </c>
      <c r="H460" t="str" cm="1">
        <f t="array" aca="1" ref="H460" ca="1">CONCATENATE(INDIRECT(ADDRESS(1,6,1,0,"KeySet"),0),":","""",TEXT(valueMaker!H460,"yyyy/m/d"),"""")</f>
        <v>tanjyoubi:"2014/7/11"</v>
      </c>
      <c r="I460" t="str" cm="1">
        <f t="array" aca="1" ref="I460" ca="1">CONCATENATE(INDIRECT(ADDRESS(1,9,1,0,"KeySet"),0),":","""",valueMaker!I460,"""")</f>
        <v>denwaBangou:"090-8981-5804"</v>
      </c>
      <c r="J460" t="str" cm="1">
        <f t="array" aca="1" ref="J460" ca="1">CONCATENATE(INDIRECT(ADDRESS(1,10,1,0,"KeySet"),0),":","""",valueMaker!J460,"""")</f>
        <v>mailAddress:"Zheng_Dao_Pin_41466@outlook.jp.co"</v>
      </c>
      <c r="K460" t="str" cm="1">
        <f t="array" aca="1" ref="K460" ca="1">CONCATENATE(INDIRECT(ADDRESS(1,11,1,0,"KeySet"),0),":","""",valueMaker!K460,"""")</f>
        <v>kaninSyubetu:"普通"</v>
      </c>
      <c r="L460" t="str" cm="1">
        <f t="array" aca="1" ref="L460" ca="1">CONCATENATE(INDIRECT(ADDRESS(1,12,1,0,"KeySet"),0),":","""",valueMaker!L460,"""")</f>
        <v>kaninKengenWB:"有り"</v>
      </c>
      <c r="M460" t="str" cm="1">
        <f t="array" aca="1" ref="M460" ca="1">CONCATENATE(INDIRECT(ADDRESS(1,13,1,0,"KeySet"),0),":","""",valueMaker!M460,"""")</f>
        <v>wakibiri:"5%"</v>
      </c>
      <c r="N460" t="str" cm="1">
        <f t="array" aca="1" ref="N460" ca="1">CONCATENATE(INDIRECT(ADDRESS(1,14,1,0,"KeySet"),0),":","""",valueMaker!N460,"""")</f>
        <v>kaninKengenPoint:"有り"</v>
      </c>
      <c r="O460" t="str" cm="1">
        <f t="array" aca="1" ref="O460" ca="1">CONCATENATE(INDIRECT(ADDRESS(1,15,1,0,"KeySet"),0),":","""",valueMaker!O460,"""")</f>
        <v>point:"25"</v>
      </c>
      <c r="P460" t="str" cm="1">
        <f t="array" aca="1" ref="P460" ca="1">CONCATENATE(INDIRECT(ADDRESS(1,16,1,0,"KeySet"),0),":","""",valueMaker!P460,"""")</f>
        <v>bikou:""</v>
      </c>
    </row>
    <row r="461" spans="1:16">
      <c r="A461" t="str" cm="1">
        <f t="array" aca="1" ref="A461" ca="1">CONCATENATE(INDIRECT(ADDRESS(1,1,1,0,"KeySet"),0),":","""",valueMaker!A461,"""")</f>
        <v>kainBangou:"TD10460"</v>
      </c>
      <c r="B461" t="str" cm="1">
        <f t="array" aca="1" ref="B461" ca="1">CONCATENATE(INDIRECT(ADDRESS(1,2,1,0,"KeySet"),0),":","""",valueMaker!B461,"""")</f>
        <v>kainMeiKanji:"李物修"</v>
      </c>
      <c r="C461" t="str" cm="1">
        <f t="array" aca="1" ref="C461" ca="1">CONCATENATE(INDIRECT(ADDRESS(1,3,1,0,"KeySet"),0),":","""",valueMaker!C461,"""")</f>
        <v>kainMeiKana:"ﾘｰ ｳｰ ｼｳ"</v>
      </c>
      <c r="D461" t="str" cm="1">
        <f t="array" aca="1" ref="D461" ca="1">CONCATENATE(INDIRECT(ADDRESS(1,4,1,0,"KeySet"),0),":","""",valueMaker!D461,"""")</f>
        <v>kainMeiEn:"Li Wu Xiu"</v>
      </c>
      <c r="E461" t="str" cm="1">
        <f t="array" aca="1" ref="E461" ca="1">CONCATENATE(INDIRECT(ADDRESS(1,5,1,0,"KeySet"),0),":","""",valueMaker!E461,"""")</f>
        <v>kainGender:"女性"</v>
      </c>
      <c r="F461" t="str" cm="1">
        <f t="array" aca="1" ref="F461" ca="1">CONCATENATE(INDIRECT(ADDRESS(1,6,1,0,"KeySet"),0),":","""",TEXT(valueMaker!F461,"yyyy/m/d"),"""")</f>
        <v>tanjyoubi:"1968/1/5"</v>
      </c>
      <c r="G461" t="str" cm="1">
        <f t="array" aca="1" ref="G461" ca="1">CONCATENATE(INDIRECT(ADDRESS(1,6,1,0,"KeySet"),0),":","""",TEXT(valueMaker!G461,"yyyy/m/d"),"""")</f>
        <v>tanjyoubi:"1992/3/17"</v>
      </c>
      <c r="H461" t="str" cm="1">
        <f t="array" aca="1" ref="H461" ca="1">CONCATENATE(INDIRECT(ADDRESS(1,6,1,0,"KeySet"),0),":","""",TEXT(valueMaker!H461,"yyyy/m/d"),"""")</f>
        <v>tanjyoubi:"1995/3/17"</v>
      </c>
      <c r="I461" t="str" cm="1">
        <f t="array" aca="1" ref="I461" ca="1">CONCATENATE(INDIRECT(ADDRESS(1,9,1,0,"KeySet"),0),":","""",valueMaker!I461,"""")</f>
        <v>denwaBangou:"090-5241-9382"</v>
      </c>
      <c r="J461" t="str" cm="1">
        <f t="array" aca="1" ref="J461" ca="1">CONCATENATE(INDIRECT(ADDRESS(1,10,1,0,"KeySet"),0),":","""",valueMaker!J461,"""")</f>
        <v>mailAddress:"Li_Wu_Xiu_33680@outlook.jp.co"</v>
      </c>
      <c r="K461" t="str" cm="1">
        <f t="array" aca="1" ref="K461" ca="1">CONCATENATE(INDIRECT(ADDRESS(1,11,1,0,"KeySet"),0),":","""",valueMaker!K461,"""")</f>
        <v>kaninSyubetu:"普通"</v>
      </c>
      <c r="L461" t="str" cm="1">
        <f t="array" aca="1" ref="L461" ca="1">CONCATENATE(INDIRECT(ADDRESS(1,12,1,0,"KeySet"),0),":","""",valueMaker!L461,"""")</f>
        <v>kaninKengenWB:"-"</v>
      </c>
      <c r="M461" t="str" cm="1">
        <f t="array" aca="1" ref="M461" ca="1">CONCATENATE(INDIRECT(ADDRESS(1,13,1,0,"KeySet"),0),":","""",valueMaker!M461,"""")</f>
        <v>wakibiri:"-"</v>
      </c>
      <c r="N461" t="str" cm="1">
        <f t="array" aca="1" ref="N461" ca="1">CONCATENATE(INDIRECT(ADDRESS(1,14,1,0,"KeySet"),0),":","""",valueMaker!N461,"""")</f>
        <v>kaninKengenPoint:"有り"</v>
      </c>
      <c r="O461" t="str" cm="1">
        <f t="array" aca="1" ref="O461" ca="1">CONCATENATE(INDIRECT(ADDRESS(1,15,1,0,"KeySet"),0),":","""",valueMaker!O461,"""")</f>
        <v>point:"274"</v>
      </c>
      <c r="P461" t="str" cm="1">
        <f t="array" aca="1" ref="P461" ca="1">CONCATENATE(INDIRECT(ADDRESS(1,16,1,0,"KeySet"),0),":","""",valueMaker!P461,"""")</f>
        <v>bikou:""</v>
      </c>
    </row>
    <row r="462" spans="1:16">
      <c r="A462" t="str" cm="1">
        <f t="array" aca="1" ref="A462" ca="1">CONCATENATE(INDIRECT(ADDRESS(1,1,1,0,"KeySet"),0),":","""",valueMaker!A462,"""")</f>
        <v>kainBangou:"TD10461"</v>
      </c>
      <c r="B462" t="str" cm="1">
        <f t="array" aca="1" ref="B462" ca="1">CONCATENATE(INDIRECT(ADDRESS(1,2,1,0,"KeySet"),0),":","""",valueMaker!B462,"""")</f>
        <v>kainMeiKanji:"鄭若齊"</v>
      </c>
      <c r="C462" t="str" cm="1">
        <f t="array" aca="1" ref="C462" ca="1">CONCATENATE(INDIRECT(ADDRESS(1,3,1,0,"KeySet"),0),":","""",valueMaker!C462,"""")</f>
        <v>kainMeiKana:"ｼﾞｭﾖﾝ ｩﾙｵ ﾁｲ"</v>
      </c>
      <c r="D462" t="str" cm="1">
        <f t="array" aca="1" ref="D462" ca="1">CONCATENATE(INDIRECT(ADDRESS(1,4,1,0,"KeySet"),0),":","""",valueMaker!D462,"""")</f>
        <v>kainMeiEn:"Zheng Ruo Qi"</v>
      </c>
      <c r="E462" t="str" cm="1">
        <f t="array" aca="1" ref="E462" ca="1">CONCATENATE(INDIRECT(ADDRESS(1,5,1,0,"KeySet"),0),":","""",valueMaker!E462,"""")</f>
        <v>kainGender:"男性"</v>
      </c>
      <c r="F462" t="str" cm="1">
        <f t="array" aca="1" ref="F462" ca="1">CONCATENATE(INDIRECT(ADDRESS(1,6,1,0,"KeySet"),0),":","""",TEXT(valueMaker!F462,"yyyy/m/d"),"""")</f>
        <v>tanjyoubi:"2003/6/20"</v>
      </c>
      <c r="G462" t="str" cm="1">
        <f t="array" aca="1" ref="G462" ca="1">CONCATENATE(INDIRECT(ADDRESS(1,6,1,0,"KeySet"),0),":","""",TEXT(valueMaker!G462,"yyyy/m/d"),"""")</f>
        <v>tanjyoubi:"2021/8/10"</v>
      </c>
      <c r="H462" t="str" cm="1">
        <f t="array" aca="1" ref="H462" ca="1">CONCATENATE(INDIRECT(ADDRESS(1,6,1,0,"KeySet"),0),":","""",TEXT(valueMaker!H462,"yyyy/m/d"),"""")</f>
        <v>tanjyoubi:"2023/8/10"</v>
      </c>
      <c r="I462" t="str" cm="1">
        <f t="array" aca="1" ref="I462" ca="1">CONCATENATE(INDIRECT(ADDRESS(1,9,1,0,"KeySet"),0),":","""",valueMaker!I462,"""")</f>
        <v>denwaBangou:"090-9142-8748"</v>
      </c>
      <c r="J462" t="str" cm="1">
        <f t="array" aca="1" ref="J462" ca="1">CONCATENATE(INDIRECT(ADDRESS(1,10,1,0,"KeySet"),0),":","""",valueMaker!J462,"""")</f>
        <v>mailAddress:"Zheng_Ruo Qi_44418@outlook.jp.co"</v>
      </c>
      <c r="K462" t="str" cm="1">
        <f t="array" aca="1" ref="K462" ca="1">CONCATENATE(INDIRECT(ADDRESS(1,11,1,0,"KeySet"),0),":","""",valueMaker!K462,"""")</f>
        <v>kaninSyubetu:"普通"</v>
      </c>
      <c r="L462" t="str" cm="1">
        <f t="array" aca="1" ref="L462" ca="1">CONCATENATE(INDIRECT(ADDRESS(1,12,1,0,"KeySet"),0),":","""",valueMaker!L462,"""")</f>
        <v>kaninKengenWB:"有り"</v>
      </c>
      <c r="M462" t="str" cm="1">
        <f t="array" aca="1" ref="M462" ca="1">CONCATENATE(INDIRECT(ADDRESS(1,13,1,0,"KeySet"),0),":","""",valueMaker!M462,"""")</f>
        <v>wakibiri:"5%"</v>
      </c>
      <c r="N462" t="str" cm="1">
        <f t="array" aca="1" ref="N462" ca="1">CONCATENATE(INDIRECT(ADDRESS(1,14,1,0,"KeySet"),0),":","""",valueMaker!N462,"""")</f>
        <v>kaninKengenPoint:"-"</v>
      </c>
      <c r="O462" t="str" cm="1">
        <f t="array" aca="1" ref="O462" ca="1">CONCATENATE(INDIRECT(ADDRESS(1,15,1,0,"KeySet"),0),":","""",valueMaker!O462,"""")</f>
        <v>point:"-"</v>
      </c>
      <c r="P462" t="str" cm="1">
        <f t="array" aca="1" ref="P462" ca="1">CONCATENATE(INDIRECT(ADDRESS(1,16,1,0,"KeySet"),0),":","""",valueMaker!P462,"""")</f>
        <v>bikou:""</v>
      </c>
    </row>
    <row r="463" spans="1:16">
      <c r="A463" t="str" cm="1">
        <f t="array" aca="1" ref="A463" ca="1">CONCATENATE(INDIRECT(ADDRESS(1,1,1,0,"KeySet"),0),":","""",valueMaker!A463,"""")</f>
        <v>kainBangou:"TD10462"</v>
      </c>
      <c r="B463" t="str" cm="1">
        <f t="array" aca="1" ref="B463" ca="1">CONCATENATE(INDIRECT(ADDRESS(1,2,1,0,"KeySet"),0),":","""",valueMaker!B463,"""")</f>
        <v>kainMeiKanji:"劉風帝"</v>
      </c>
      <c r="C463" t="str" cm="1">
        <f t="array" aca="1" ref="C463" ca="1">CONCATENATE(INDIRECT(ADDRESS(1,3,1,0,"KeySet"),0),":","""",valueMaker!C463,"""")</f>
        <v>kainMeiKana:"ﾘｳ ﾌｵﾝ ﾃﾞｨｰ"</v>
      </c>
      <c r="D463" t="str" cm="1">
        <f t="array" aca="1" ref="D463" ca="1">CONCATENATE(INDIRECT(ADDRESS(1,4,1,0,"KeySet"),0),":","""",valueMaker!D463,"""")</f>
        <v>kainMeiEn:"Liu Feng Di"</v>
      </c>
      <c r="E463" t="str" cm="1">
        <f t="array" aca="1" ref="E463" ca="1">CONCATENATE(INDIRECT(ADDRESS(1,5,1,0,"KeySet"),0),":","""",valueMaker!E463,"""")</f>
        <v>kainGender:"男性"</v>
      </c>
      <c r="F463" t="str" cm="1">
        <f t="array" aca="1" ref="F463" ca="1">CONCATENATE(INDIRECT(ADDRESS(1,6,1,0,"KeySet"),0),":","""",TEXT(valueMaker!F463,"yyyy/m/d"),"""")</f>
        <v>tanjyoubi:"1984/3/5"</v>
      </c>
      <c r="G463" t="str" cm="1">
        <f t="array" aca="1" ref="G463" ca="1">CONCATENATE(INDIRECT(ADDRESS(1,6,1,0,"KeySet"),0),":","""",TEXT(valueMaker!G463,"yyyy/m/d"),"""")</f>
        <v>tanjyoubi:"2003/5/27"</v>
      </c>
      <c r="H463" t="str" cm="1">
        <f t="array" aca="1" ref="H463" ca="1">CONCATENATE(INDIRECT(ADDRESS(1,6,1,0,"KeySet"),0),":","""",TEXT(valueMaker!H463,"yyyy/m/d"),"""")</f>
        <v>tanjyoubi:"2005/5/26"</v>
      </c>
      <c r="I463" t="str" cm="1">
        <f t="array" aca="1" ref="I463" ca="1">CONCATENATE(INDIRECT(ADDRESS(1,9,1,0,"KeySet"),0),":","""",valueMaker!I463,"""")</f>
        <v>denwaBangou:"090-4699-6804"</v>
      </c>
      <c r="J463" t="str" cm="1">
        <f t="array" aca="1" ref="J463" ca="1">CONCATENATE(INDIRECT(ADDRESS(1,10,1,0,"KeySet"),0),":","""",valueMaker!J463,"""")</f>
        <v>mailAddress:"Liu_Feng_Di_37768@outlook.jp.co"</v>
      </c>
      <c r="K463" t="str" cm="1">
        <f t="array" aca="1" ref="K463" ca="1">CONCATENATE(INDIRECT(ADDRESS(1,11,1,0,"KeySet"),0),":","""",valueMaker!K463,"""")</f>
        <v>kaninSyubetu:"普通"</v>
      </c>
      <c r="L463" t="str" cm="1">
        <f t="array" aca="1" ref="L463" ca="1">CONCATENATE(INDIRECT(ADDRESS(1,12,1,0,"KeySet"),0),":","""",valueMaker!L463,"""")</f>
        <v>kaninKengenWB:"有り"</v>
      </c>
      <c r="M463" t="str" cm="1">
        <f t="array" aca="1" ref="M463" ca="1">CONCATENATE(INDIRECT(ADDRESS(1,13,1,0,"KeySet"),0),":","""",valueMaker!M463,"""")</f>
        <v>wakibiri:"5%"</v>
      </c>
      <c r="N463" t="str" cm="1">
        <f t="array" aca="1" ref="N463" ca="1">CONCATENATE(INDIRECT(ADDRESS(1,14,1,0,"KeySet"),0),":","""",valueMaker!N463,"""")</f>
        <v>kaninKengenPoint:"有り"</v>
      </c>
      <c r="O463" t="str" cm="1">
        <f t="array" aca="1" ref="O463" ca="1">CONCATENATE(INDIRECT(ADDRESS(1,15,1,0,"KeySet"),0),":","""",valueMaker!O463,"""")</f>
        <v>point:"27"</v>
      </c>
      <c r="P463" t="str" cm="1">
        <f t="array" aca="1" ref="P463" ca="1">CONCATENATE(INDIRECT(ADDRESS(1,16,1,0,"KeySet"),0),":","""",valueMaker!P463,"""")</f>
        <v>bikou:""</v>
      </c>
    </row>
    <row r="464" spans="1:16">
      <c r="A464" t="str" cm="1">
        <f t="array" aca="1" ref="A464" ca="1">CONCATENATE(INDIRECT(ADDRESS(1,1,1,0,"KeySet"),0),":","""",valueMaker!A464,"""")</f>
        <v>kainBangou:"TD10463"</v>
      </c>
      <c r="B464" t="str" cm="1">
        <f t="array" aca="1" ref="B464" ca="1">CONCATENATE(INDIRECT(ADDRESS(1,2,1,0,"KeySet"),0),":","""",valueMaker!B464,"""")</f>
        <v>kainMeiKanji:"郭韻臨"</v>
      </c>
      <c r="C464" t="str" cm="1">
        <f t="array" aca="1" ref="C464" ca="1">CONCATENATE(INDIRECT(ADDRESS(1,3,1,0,"KeySet"),0),":","""",valueMaker!C464,"""")</f>
        <v>kainMeiKana:"ｸﾞｵ ﾕｲﾝ ﾘﾝ"</v>
      </c>
      <c r="D464" t="str" cm="1">
        <f t="array" aca="1" ref="D464" ca="1">CONCATENATE(INDIRECT(ADDRESS(1,4,1,0,"KeySet"),0),":","""",valueMaker!D464,"""")</f>
        <v>kainMeiEn:"Guo Yun Lin"</v>
      </c>
      <c r="E464" t="str" cm="1">
        <f t="array" aca="1" ref="E464" ca="1">CONCATENATE(INDIRECT(ADDRESS(1,5,1,0,"KeySet"),0),":","""",valueMaker!E464,"""")</f>
        <v>kainGender:"男性"</v>
      </c>
      <c r="F464" t="str" cm="1">
        <f t="array" aca="1" ref="F464" ca="1">CONCATENATE(INDIRECT(ADDRESS(1,6,1,0,"KeySet"),0),":","""",TEXT(valueMaker!F464,"yyyy/m/d"),"""")</f>
        <v>tanjyoubi:"1983/2/15"</v>
      </c>
      <c r="G464" t="str" cm="1">
        <f t="array" aca="1" ref="G464" ca="1">CONCATENATE(INDIRECT(ADDRESS(1,6,1,0,"KeySet"),0),":","""",TEXT(valueMaker!G464,"yyyy/m/d"),"""")</f>
        <v>tanjyoubi:"2017/1/29"</v>
      </c>
      <c r="H464" t="str" cm="1">
        <f t="array" aca="1" ref="H464" ca="1">CONCATENATE(INDIRECT(ADDRESS(1,6,1,0,"KeySet"),0),":","""",TEXT(valueMaker!H464,"yyyy/m/d"),"""")</f>
        <v>tanjyoubi:"2018/1/29"</v>
      </c>
      <c r="I464" t="str" cm="1">
        <f t="array" aca="1" ref="I464" ca="1">CONCATENATE(INDIRECT(ADDRESS(1,9,1,0,"KeySet"),0),":","""",valueMaker!I464,"""")</f>
        <v>denwaBangou:"080-6550-5025"</v>
      </c>
      <c r="J464" t="str" cm="1">
        <f t="array" aca="1" ref="J464" ca="1">CONCATENATE(INDIRECT(ADDRESS(1,10,1,0,"KeySet"),0),":","""",valueMaker!J464,"""")</f>
        <v>mailAddress:"Guo_Yun_Lin_42764@outlook.jp.co"</v>
      </c>
      <c r="K464" t="str" cm="1">
        <f t="array" aca="1" ref="K464" ca="1">CONCATENATE(INDIRECT(ADDRESS(1,11,1,0,"KeySet"),0),":","""",valueMaker!K464,"""")</f>
        <v>kaninSyubetu:"普通"</v>
      </c>
      <c r="L464" t="str" cm="1">
        <f t="array" aca="1" ref="L464" ca="1">CONCATENATE(INDIRECT(ADDRESS(1,12,1,0,"KeySet"),0),":","""",valueMaker!L464,"""")</f>
        <v>kaninKengenWB:"-"</v>
      </c>
      <c r="M464" t="str" cm="1">
        <f t="array" aca="1" ref="M464" ca="1">CONCATENATE(INDIRECT(ADDRESS(1,13,1,0,"KeySet"),0),":","""",valueMaker!M464,"""")</f>
        <v>wakibiri:"-"</v>
      </c>
      <c r="N464" t="str" cm="1">
        <f t="array" aca="1" ref="N464" ca="1">CONCATENATE(INDIRECT(ADDRESS(1,14,1,0,"KeySet"),0),":","""",valueMaker!N464,"""")</f>
        <v>kaninKengenPoint:"有り"</v>
      </c>
      <c r="O464" t="str" cm="1">
        <f t="array" aca="1" ref="O464" ca="1">CONCATENATE(INDIRECT(ADDRESS(1,15,1,0,"KeySet"),0),":","""",valueMaker!O464,"""")</f>
        <v>point:"883"</v>
      </c>
      <c r="P464" t="str" cm="1">
        <f t="array" aca="1" ref="P464" ca="1">CONCATENATE(INDIRECT(ADDRESS(1,16,1,0,"KeySet"),0),":","""",valueMaker!P464,"""")</f>
        <v>bikou:""</v>
      </c>
    </row>
    <row r="465" spans="1:16">
      <c r="A465" t="str" cm="1">
        <f t="array" aca="1" ref="A465" ca="1">CONCATENATE(INDIRECT(ADDRESS(1,1,1,0,"KeySet"),0),":","""",valueMaker!A465,"""")</f>
        <v>kainBangou:"TD10464"</v>
      </c>
      <c r="B465" t="str" cm="1">
        <f t="array" aca="1" ref="B465" ca="1">CONCATENATE(INDIRECT(ADDRESS(1,2,1,0,"KeySet"),0),":","""",valueMaker!B465,"""")</f>
        <v>kainMeiKanji:"吳騰瑞"</v>
      </c>
      <c r="C465" t="str" cm="1">
        <f t="array" aca="1" ref="C465" ca="1">CONCATENATE(INDIRECT(ADDRESS(1,3,1,0,"KeySet"),0),":","""",valueMaker!C465,"""")</f>
        <v>kainMeiKana:"ｳｰ ﾄｩｵﾝ ｩﾙｲ"</v>
      </c>
      <c r="D465" t="str" cm="1">
        <f t="array" aca="1" ref="D465" ca="1">CONCATENATE(INDIRECT(ADDRESS(1,4,1,0,"KeySet"),0),":","""",valueMaker!D465,"""")</f>
        <v>kainMeiEn:"Wu Teng Rui"</v>
      </c>
      <c r="E465" t="str" cm="1">
        <f t="array" aca="1" ref="E465" ca="1">CONCATENATE(INDIRECT(ADDRESS(1,5,1,0,"KeySet"),0),":","""",valueMaker!E465,"""")</f>
        <v>kainGender:"男性"</v>
      </c>
      <c r="F465" t="str" cm="1">
        <f t="array" aca="1" ref="F465" ca="1">CONCATENATE(INDIRECT(ADDRESS(1,6,1,0,"KeySet"),0),":","""",TEXT(valueMaker!F465,"yyyy/m/d"),"""")</f>
        <v>tanjyoubi:"2001/1/23"</v>
      </c>
      <c r="G465" t="str" cm="1">
        <f t="array" aca="1" ref="G465" ca="1">CONCATENATE(INDIRECT(ADDRESS(1,6,1,0,"KeySet"),0),":","""",TEXT(valueMaker!G465,"yyyy/m/d"),"""")</f>
        <v>tanjyoubi:"2021/12/21"</v>
      </c>
      <c r="H465" t="str" cm="1">
        <f t="array" aca="1" ref="H465" ca="1">CONCATENATE(INDIRECT(ADDRESS(1,6,1,0,"KeySet"),0),":","""",TEXT(valueMaker!H465,"yyyy/m/d"),"""")</f>
        <v>tanjyoubi:"2022/12/21"</v>
      </c>
      <c r="I465" t="str" cm="1">
        <f t="array" aca="1" ref="I465" ca="1">CONCATENATE(INDIRECT(ADDRESS(1,9,1,0,"KeySet"),0),":","""",valueMaker!I465,"""")</f>
        <v>denwaBangou:"080-7416-5711"</v>
      </c>
      <c r="J465" t="str" cm="1">
        <f t="array" aca="1" ref="J465" ca="1">CONCATENATE(INDIRECT(ADDRESS(1,10,1,0,"KeySet"),0),":","""",valueMaker!J465,"""")</f>
        <v>mailAddress:"Wu_Teng_Rui_44551@outlook.jp.co"</v>
      </c>
      <c r="K465" t="str" cm="1">
        <f t="array" aca="1" ref="K465" ca="1">CONCATENATE(INDIRECT(ADDRESS(1,11,1,0,"KeySet"),0),":","""",valueMaker!K465,"""")</f>
        <v>kaninSyubetu:"高級"</v>
      </c>
      <c r="L465" t="str" cm="1">
        <f t="array" aca="1" ref="L465" ca="1">CONCATENATE(INDIRECT(ADDRESS(1,12,1,0,"KeySet"),0),":","""",valueMaker!L465,"""")</f>
        <v>kaninKengenWB:"有り"</v>
      </c>
      <c r="M465" t="str" cm="1">
        <f t="array" aca="1" ref="M465" ca="1">CONCATENATE(INDIRECT(ADDRESS(1,13,1,0,"KeySet"),0),":","""",valueMaker!M465,"""")</f>
        <v>wakibiri:"10%"</v>
      </c>
      <c r="N465" t="str" cm="1">
        <f t="array" aca="1" ref="N465" ca="1">CONCATENATE(INDIRECT(ADDRESS(1,14,1,0,"KeySet"),0),":","""",valueMaker!N465,"""")</f>
        <v>kaninKengenPoint:"有り"</v>
      </c>
      <c r="O465" t="str" cm="1">
        <f t="array" aca="1" ref="O465" ca="1">CONCATENATE(INDIRECT(ADDRESS(1,15,1,0,"KeySet"),0),":","""",valueMaker!O465,"""")</f>
        <v>point:"501"</v>
      </c>
      <c r="P465" t="str" cm="1">
        <f t="array" aca="1" ref="P465" ca="1">CONCATENATE(INDIRECT(ADDRESS(1,16,1,0,"KeySet"),0),":","""",valueMaker!P465,"""")</f>
        <v>bikou:""</v>
      </c>
    </row>
    <row r="466" spans="1:16">
      <c r="A466" t="str" cm="1">
        <f t="array" aca="1" ref="A466" ca="1">CONCATENATE(INDIRECT(ADDRESS(1,1,1,0,"KeySet"),0),":","""",valueMaker!A466,"""")</f>
        <v>kainBangou:"TD10465"</v>
      </c>
      <c r="B466" t="str" cm="1">
        <f t="array" aca="1" ref="B466" ca="1">CONCATENATE(INDIRECT(ADDRESS(1,2,1,0,"KeySet"),0),":","""",valueMaker!B466,"""")</f>
        <v>kainMeiKanji:"楊木納"</v>
      </c>
      <c r="C466" t="str" cm="1">
        <f t="array" aca="1" ref="C466" ca="1">CONCATENATE(INDIRECT(ADDRESS(1,3,1,0,"KeySet"),0),":","""",valueMaker!C466,"""")</f>
        <v>kainMeiKana:"ﾔｰﾝ ﾑｩ ﾅｰ"</v>
      </c>
      <c r="D466" t="str" cm="1">
        <f t="array" aca="1" ref="D466" ca="1">CONCATENATE(INDIRECT(ADDRESS(1,4,1,0,"KeySet"),0),":","""",valueMaker!D466,"""")</f>
        <v>kainMeiEn:"Yang Mu Na"</v>
      </c>
      <c r="E466" t="str" cm="1">
        <f t="array" aca="1" ref="E466" ca="1">CONCATENATE(INDIRECT(ADDRESS(1,5,1,0,"KeySet"),0),":","""",valueMaker!E466,"""")</f>
        <v>kainGender:"男性"</v>
      </c>
      <c r="F466" t="str" cm="1">
        <f t="array" aca="1" ref="F466" ca="1">CONCATENATE(INDIRECT(ADDRESS(1,6,1,0,"KeySet"),0),":","""",TEXT(valueMaker!F466,"yyyy/m/d"),"""")</f>
        <v>tanjyoubi:"1965/9/12"</v>
      </c>
      <c r="G466" t="str" cm="1">
        <f t="array" aca="1" ref="G466" ca="1">CONCATENATE(INDIRECT(ADDRESS(1,6,1,0,"KeySet"),0),":","""",TEXT(valueMaker!G466,"yyyy/m/d"),"""")</f>
        <v>tanjyoubi:"2011/4/3"</v>
      </c>
      <c r="H466" t="str" cm="1">
        <f t="array" aca="1" ref="H466" ca="1">CONCATENATE(INDIRECT(ADDRESS(1,6,1,0,"KeySet"),0),":","""",TEXT(valueMaker!H466,"yyyy/m/d"),"""")</f>
        <v>tanjyoubi:"2014/4/2"</v>
      </c>
      <c r="I466" t="str" cm="1">
        <f t="array" aca="1" ref="I466" ca="1">CONCATENATE(INDIRECT(ADDRESS(1,9,1,0,"KeySet"),0),":","""",valueMaker!I466,"""")</f>
        <v>denwaBangou:"080-7691-4661"</v>
      </c>
      <c r="J466" t="str" cm="1">
        <f t="array" aca="1" ref="J466" ca="1">CONCATENATE(INDIRECT(ADDRESS(1,10,1,0,"KeySet"),0),":","""",valueMaker!J466,"""")</f>
        <v>mailAddress:"Yang_Mu_Na_40636@outlook.jp.co"</v>
      </c>
      <c r="K466" t="str" cm="1">
        <f t="array" aca="1" ref="K466" ca="1">CONCATENATE(INDIRECT(ADDRESS(1,11,1,0,"KeySet"),0),":","""",valueMaker!K466,"""")</f>
        <v>kaninSyubetu:"普通"</v>
      </c>
      <c r="L466" t="str" cm="1">
        <f t="array" aca="1" ref="L466" ca="1">CONCATENATE(INDIRECT(ADDRESS(1,12,1,0,"KeySet"),0),":","""",valueMaker!L466,"""")</f>
        <v>kaninKengenWB:"-"</v>
      </c>
      <c r="M466" t="str" cm="1">
        <f t="array" aca="1" ref="M466" ca="1">CONCATENATE(INDIRECT(ADDRESS(1,13,1,0,"KeySet"),0),":","""",valueMaker!M466,"""")</f>
        <v>wakibiri:"-"</v>
      </c>
      <c r="N466" t="str" cm="1">
        <f t="array" aca="1" ref="N466" ca="1">CONCATENATE(INDIRECT(ADDRESS(1,14,1,0,"KeySet"),0),":","""",valueMaker!N466,"""")</f>
        <v>kaninKengenPoint:"-"</v>
      </c>
      <c r="O466" t="str" cm="1">
        <f t="array" aca="1" ref="O466" ca="1">CONCATENATE(INDIRECT(ADDRESS(1,15,1,0,"KeySet"),0),":","""",valueMaker!O466,"""")</f>
        <v>point:"-"</v>
      </c>
      <c r="P466" t="str" cm="1">
        <f t="array" aca="1" ref="P466" ca="1">CONCATENATE(INDIRECT(ADDRESS(1,16,1,0,"KeySet"),0),":","""",valueMaker!P466,"""")</f>
        <v>bikou:""</v>
      </c>
    </row>
    <row r="467" spans="1:16">
      <c r="A467" t="str" cm="1">
        <f t="array" aca="1" ref="A467" ca="1">CONCATENATE(INDIRECT(ADDRESS(1,1,1,0,"KeySet"),0),":","""",valueMaker!A467,"""")</f>
        <v>kainBangou:"TD10466"</v>
      </c>
      <c r="B467" t="str" cm="1">
        <f t="array" aca="1" ref="B467" ca="1">CONCATENATE(INDIRECT(ADDRESS(1,2,1,0,"KeySet"),0),":","""",valueMaker!B467,"""")</f>
        <v>kainMeiKanji:"林碼紀"</v>
      </c>
      <c r="C467" t="str" cm="1">
        <f t="array" aca="1" ref="C467" ca="1">CONCATENATE(INDIRECT(ADDRESS(1,3,1,0,"KeySet"),0),":","""",valueMaker!C467,"""")</f>
        <v>kainMeiKana:"ﾘﾝ ﾏｰ ｼﾞｰ"</v>
      </c>
      <c r="D467" t="str" cm="1">
        <f t="array" aca="1" ref="D467" ca="1">CONCATENATE(INDIRECT(ADDRESS(1,4,1,0,"KeySet"),0),":","""",valueMaker!D467,"""")</f>
        <v>kainMeiEn:"Lin Ma Ji"</v>
      </c>
      <c r="E467" t="str" cm="1">
        <f t="array" aca="1" ref="E467" ca="1">CONCATENATE(INDIRECT(ADDRESS(1,5,1,0,"KeySet"),0),":","""",valueMaker!E467,"""")</f>
        <v>kainGender:"女性"</v>
      </c>
      <c r="F467" t="str" cm="1">
        <f t="array" aca="1" ref="F467" ca="1">CONCATENATE(INDIRECT(ADDRESS(1,6,1,0,"KeySet"),0),":","""",TEXT(valueMaker!F467,"yyyy/m/d"),"""")</f>
        <v>tanjyoubi:"1989/3/20"</v>
      </c>
      <c r="G467" t="str" cm="1">
        <f t="array" aca="1" ref="G467" ca="1">CONCATENATE(INDIRECT(ADDRESS(1,6,1,0,"KeySet"),0),":","""",TEXT(valueMaker!G467,"yyyy/m/d"),"""")</f>
        <v>tanjyoubi:"2020/12/18"</v>
      </c>
      <c r="H467" t="str" cm="1">
        <f t="array" aca="1" ref="H467" ca="1">CONCATENATE(INDIRECT(ADDRESS(1,6,1,0,"KeySet"),0),":","""",TEXT(valueMaker!H467,"yyyy/m/d"),"""")</f>
        <v>tanjyoubi:"2023/12/18"</v>
      </c>
      <c r="I467" t="str" cm="1">
        <f t="array" aca="1" ref="I467" ca="1">CONCATENATE(INDIRECT(ADDRESS(1,9,1,0,"KeySet"),0),":","""",valueMaker!I467,"""")</f>
        <v>denwaBangou:"090-6291-4354"</v>
      </c>
      <c r="J467" t="str" cm="1">
        <f t="array" aca="1" ref="J467" ca="1">CONCATENATE(INDIRECT(ADDRESS(1,10,1,0,"KeySet"),0),":","""",valueMaker!J467,"""")</f>
        <v>mailAddress:"Lin_Ma_Ji_44183@outlook.jp.co"</v>
      </c>
      <c r="K467" t="str" cm="1">
        <f t="array" aca="1" ref="K467" ca="1">CONCATENATE(INDIRECT(ADDRESS(1,11,1,0,"KeySet"),0),":","""",valueMaker!K467,"""")</f>
        <v>kaninSyubetu:"普通"</v>
      </c>
      <c r="L467" t="str" cm="1">
        <f t="array" aca="1" ref="L467" ca="1">CONCATENATE(INDIRECT(ADDRESS(1,12,1,0,"KeySet"),0),":","""",valueMaker!L467,"""")</f>
        <v>kaninKengenWB:"-"</v>
      </c>
      <c r="M467" t="str" cm="1">
        <f t="array" aca="1" ref="M467" ca="1">CONCATENATE(INDIRECT(ADDRESS(1,13,1,0,"KeySet"),0),":","""",valueMaker!M467,"""")</f>
        <v>wakibiri:"-"</v>
      </c>
      <c r="N467" t="str" cm="1">
        <f t="array" aca="1" ref="N467" ca="1">CONCATENATE(INDIRECT(ADDRESS(1,14,1,0,"KeySet"),0),":","""",valueMaker!N467,"""")</f>
        <v>kaninKengenPoint:"有り"</v>
      </c>
      <c r="O467" t="str" cm="1">
        <f t="array" aca="1" ref="O467" ca="1">CONCATENATE(INDIRECT(ADDRESS(1,15,1,0,"KeySet"),0),":","""",valueMaker!O467,"""")</f>
        <v>point:"475"</v>
      </c>
      <c r="P467" t="str" cm="1">
        <f t="array" aca="1" ref="P467" ca="1">CONCATENATE(INDIRECT(ADDRESS(1,16,1,0,"KeySet"),0),":","""",valueMaker!P467,"""")</f>
        <v>bikou:""</v>
      </c>
    </row>
    <row r="468" spans="1:16">
      <c r="A468" t="str" cm="1">
        <f t="array" aca="1" ref="A468" ca="1">CONCATENATE(INDIRECT(ADDRESS(1,1,1,0,"KeySet"),0),":","""",valueMaker!A468,"""")</f>
        <v>kainBangou:"TD10467"</v>
      </c>
      <c r="B468" t="str" cm="1">
        <f t="array" aca="1" ref="B468" ca="1">CONCATENATE(INDIRECT(ADDRESS(1,2,1,0,"KeySet"),0),":","""",valueMaker!B468,"""")</f>
        <v>kainMeiKanji:"于具幽"</v>
      </c>
      <c r="C468" t="str" cm="1">
        <f t="array" aca="1" ref="C468" ca="1">CONCATENATE(INDIRECT(ADDRESS(1,3,1,0,"KeySet"),0),":","""",valueMaker!C468,"""")</f>
        <v>kainMeiKana:"ﾕｲ ｼﾞｭｲ ﾖｳ"</v>
      </c>
      <c r="D468" t="str" cm="1">
        <f t="array" aca="1" ref="D468" ca="1">CONCATENATE(INDIRECT(ADDRESS(1,4,1,0,"KeySet"),0),":","""",valueMaker!D468,"""")</f>
        <v>kainMeiEn:"Yu Ju You"</v>
      </c>
      <c r="E468" t="str" cm="1">
        <f t="array" aca="1" ref="E468" ca="1">CONCATENATE(INDIRECT(ADDRESS(1,5,1,0,"KeySet"),0),":","""",valueMaker!E468,"""")</f>
        <v>kainGender:"男性"</v>
      </c>
      <c r="F468" t="str" cm="1">
        <f t="array" aca="1" ref="F468" ca="1">CONCATENATE(INDIRECT(ADDRESS(1,6,1,0,"KeySet"),0),":","""",TEXT(valueMaker!F468,"yyyy/m/d"),"""")</f>
        <v>tanjyoubi:"1970/11/24"</v>
      </c>
      <c r="G468" t="str" cm="1">
        <f t="array" aca="1" ref="G468" ca="1">CONCATENATE(INDIRECT(ADDRESS(1,6,1,0,"KeySet"),0),":","""",TEXT(valueMaker!G468,"yyyy/m/d"),"""")</f>
        <v>tanjyoubi:"2000/1/2"</v>
      </c>
      <c r="H468" t="str" cm="1">
        <f t="array" aca="1" ref="H468" ca="1">CONCATENATE(INDIRECT(ADDRESS(1,6,1,0,"KeySet"),0),":","""",TEXT(valueMaker!H468,"yyyy/m/d"),"""")</f>
        <v>tanjyoubi:"2002/1/1"</v>
      </c>
      <c r="I468" t="str" cm="1">
        <f t="array" aca="1" ref="I468" ca="1">CONCATENATE(INDIRECT(ADDRESS(1,9,1,0,"KeySet"),0),":","""",valueMaker!I468,"""")</f>
        <v>denwaBangou:"080-9033-7979"</v>
      </c>
      <c r="J468" t="str" cm="1">
        <f t="array" aca="1" ref="J468" ca="1">CONCATENATE(INDIRECT(ADDRESS(1,10,1,0,"KeySet"),0),":","""",valueMaker!J468,"""")</f>
        <v>mailAddress:"Yu_Ju_You_36527@outlook.jp.co"</v>
      </c>
      <c r="K468" t="str" cm="1">
        <f t="array" aca="1" ref="K468" ca="1">CONCATENATE(INDIRECT(ADDRESS(1,11,1,0,"KeySet"),0),":","""",valueMaker!K468,"""")</f>
        <v>kaninSyubetu:"普通"</v>
      </c>
      <c r="L468" t="str" cm="1">
        <f t="array" aca="1" ref="L468" ca="1">CONCATENATE(INDIRECT(ADDRESS(1,12,1,0,"KeySet"),0),":","""",valueMaker!L468,"""")</f>
        <v>kaninKengenWB:"有り"</v>
      </c>
      <c r="M468" t="str" cm="1">
        <f t="array" aca="1" ref="M468" ca="1">CONCATENATE(INDIRECT(ADDRESS(1,13,1,0,"KeySet"),0),":","""",valueMaker!M468,"""")</f>
        <v>wakibiri:"5%"</v>
      </c>
      <c r="N468" t="str" cm="1">
        <f t="array" aca="1" ref="N468" ca="1">CONCATENATE(INDIRECT(ADDRESS(1,14,1,0,"KeySet"),0),":","""",valueMaker!N468,"""")</f>
        <v>kaninKengenPoint:"有り"</v>
      </c>
      <c r="O468" t="str" cm="1">
        <f t="array" aca="1" ref="O468" ca="1">CONCATENATE(INDIRECT(ADDRESS(1,15,1,0,"KeySet"),0),":","""",valueMaker!O468,"""")</f>
        <v>point:"493"</v>
      </c>
      <c r="P468" t="str" cm="1">
        <f t="array" aca="1" ref="P468" ca="1">CONCATENATE(INDIRECT(ADDRESS(1,16,1,0,"KeySet"),0),":","""",valueMaker!P468,"""")</f>
        <v>bikou:""</v>
      </c>
    </row>
    <row r="469" spans="1:16">
      <c r="A469" t="str" cm="1">
        <f t="array" aca="1" ref="A469" ca="1">CONCATENATE(INDIRECT(ADDRESS(1,1,1,0,"KeySet"),0),":","""",valueMaker!A469,"""")</f>
        <v>kainBangou:"TD10468"</v>
      </c>
      <c r="B469" t="str" cm="1">
        <f t="array" aca="1" ref="B469" ca="1">CONCATENATE(INDIRECT(ADDRESS(1,2,1,0,"KeySet"),0),":","""",valueMaker!B469,"""")</f>
        <v>kainMeiKanji:"徐瀚躍"</v>
      </c>
      <c r="C469" t="str" cm="1">
        <f t="array" aca="1" ref="C469" ca="1">CONCATENATE(INDIRECT(ADDRESS(1,3,1,0,"KeySet"),0),":","""",valueMaker!C469,"""")</f>
        <v>kainMeiKana:"ｼｭｲ ﾊﾝ ﾕｴ"</v>
      </c>
      <c r="D469" t="str" cm="1">
        <f t="array" aca="1" ref="D469" ca="1">CONCATENATE(INDIRECT(ADDRESS(1,4,1,0,"KeySet"),0),":","""",valueMaker!D469,"""")</f>
        <v>kainMeiEn:"Xu Han Yue"</v>
      </c>
      <c r="E469" t="str" cm="1">
        <f t="array" aca="1" ref="E469" ca="1">CONCATENATE(INDIRECT(ADDRESS(1,5,1,0,"KeySet"),0),":","""",valueMaker!E469,"""")</f>
        <v>kainGender:"男性"</v>
      </c>
      <c r="F469" t="str" cm="1">
        <f t="array" aca="1" ref="F469" ca="1">CONCATENATE(INDIRECT(ADDRESS(1,6,1,0,"KeySet"),0),":","""",TEXT(valueMaker!F469,"yyyy/m/d"),"""")</f>
        <v>tanjyoubi:"1988/5/12"</v>
      </c>
      <c r="G469" t="str" cm="1">
        <f t="array" aca="1" ref="G469" ca="1">CONCATENATE(INDIRECT(ADDRESS(1,6,1,0,"KeySet"),0),":","""",TEXT(valueMaker!G469,"yyyy/m/d"),"""")</f>
        <v>tanjyoubi:"2017/6/2"</v>
      </c>
      <c r="H469" t="str" cm="1">
        <f t="array" aca="1" ref="H469" ca="1">CONCATENATE(INDIRECT(ADDRESS(1,6,1,0,"KeySet"),0),":","""",TEXT(valueMaker!H469,"yyyy/m/d"),"""")</f>
        <v>tanjyoubi:"2019/6/2"</v>
      </c>
      <c r="I469" t="str" cm="1">
        <f t="array" aca="1" ref="I469" ca="1">CONCATENATE(INDIRECT(ADDRESS(1,9,1,0,"KeySet"),0),":","""",valueMaker!I469,"""")</f>
        <v>denwaBangou:"090-2512-0900"</v>
      </c>
      <c r="J469" t="str" cm="1">
        <f t="array" aca="1" ref="J469" ca="1">CONCATENATE(INDIRECT(ADDRESS(1,10,1,0,"KeySet"),0),":","""",valueMaker!J469,"""")</f>
        <v>mailAddress:"Xu_Han_Yue_42888@outlook.jp.co"</v>
      </c>
      <c r="K469" t="str" cm="1">
        <f t="array" aca="1" ref="K469" ca="1">CONCATENATE(INDIRECT(ADDRESS(1,11,1,0,"KeySet"),0),":","""",valueMaker!K469,"""")</f>
        <v>kaninSyubetu:"高級"</v>
      </c>
      <c r="L469" t="str" cm="1">
        <f t="array" aca="1" ref="L469" ca="1">CONCATENATE(INDIRECT(ADDRESS(1,12,1,0,"KeySet"),0),":","""",valueMaker!L469,"""")</f>
        <v>kaninKengenWB:"有り"</v>
      </c>
      <c r="M469" t="str" cm="1">
        <f t="array" aca="1" ref="M469" ca="1">CONCATENATE(INDIRECT(ADDRESS(1,13,1,0,"KeySet"),0),":","""",valueMaker!M469,"""")</f>
        <v>wakibiri:"10%"</v>
      </c>
      <c r="N469" t="str" cm="1">
        <f t="array" aca="1" ref="N469" ca="1">CONCATENATE(INDIRECT(ADDRESS(1,14,1,0,"KeySet"),0),":","""",valueMaker!N469,"""")</f>
        <v>kaninKengenPoint:"-"</v>
      </c>
      <c r="O469" t="str" cm="1">
        <f t="array" aca="1" ref="O469" ca="1">CONCATENATE(INDIRECT(ADDRESS(1,15,1,0,"KeySet"),0),":","""",valueMaker!O469,"""")</f>
        <v>point:"-"</v>
      </c>
      <c r="P469" t="str" cm="1">
        <f t="array" aca="1" ref="P469" ca="1">CONCATENATE(INDIRECT(ADDRESS(1,16,1,0,"KeySet"),0),":","""",valueMaker!P469,"""")</f>
        <v>bikou:""</v>
      </c>
    </row>
    <row r="470" spans="1:16">
      <c r="A470" t="str" cm="1">
        <f t="array" aca="1" ref="A470" ca="1">CONCATENATE(INDIRECT(ADDRESS(1,1,1,0,"KeySet"),0),":","""",valueMaker!A470,"""")</f>
        <v>kainBangou:"TD10469"</v>
      </c>
      <c r="B470" t="str" cm="1">
        <f t="array" aca="1" ref="B470" ca="1">CONCATENATE(INDIRECT(ADDRESS(1,2,1,0,"KeySet"),0),":","""",valueMaker!B470,"""")</f>
        <v>kainMeiKanji:"馮曇軒"</v>
      </c>
      <c r="C470" t="str" cm="1">
        <f t="array" aca="1" ref="C470" ca="1">CONCATENATE(INDIRECT(ADDRESS(1,3,1,0,"KeySet"),0),":","""",valueMaker!C470,"""")</f>
        <v>kainMeiKana:"ﾌｵﾝ ﾀﾝ ｼｭｴﾝ"</v>
      </c>
      <c r="D470" t="str" cm="1">
        <f t="array" aca="1" ref="D470" ca="1">CONCATENATE(INDIRECT(ADDRESS(1,4,1,0,"KeySet"),0),":","""",valueMaker!D470,"""")</f>
        <v>kainMeiEn:"Feng Tan Xuan"</v>
      </c>
      <c r="E470" t="str" cm="1">
        <f t="array" aca="1" ref="E470" ca="1">CONCATENATE(INDIRECT(ADDRESS(1,5,1,0,"KeySet"),0),":","""",valueMaker!E470,"""")</f>
        <v>kainGender:"男性"</v>
      </c>
      <c r="F470" t="str" cm="1">
        <f t="array" aca="1" ref="F470" ca="1">CONCATENATE(INDIRECT(ADDRESS(1,6,1,0,"KeySet"),0),":","""",TEXT(valueMaker!F470,"yyyy/m/d"),"""")</f>
        <v>tanjyoubi:"1977/1/7"</v>
      </c>
      <c r="G470" t="str" cm="1">
        <f t="array" aca="1" ref="G470" ca="1">CONCATENATE(INDIRECT(ADDRESS(1,6,1,0,"KeySet"),0),":","""",TEXT(valueMaker!G470,"yyyy/m/d"),"""")</f>
        <v>tanjyoubi:"2002/5/27"</v>
      </c>
      <c r="H470" t="str" cm="1">
        <f t="array" aca="1" ref="H470" ca="1">CONCATENATE(INDIRECT(ADDRESS(1,6,1,0,"KeySet"),0),":","""",TEXT(valueMaker!H470,"yyyy/m/d"),"""")</f>
        <v>tanjyoubi:"2003/5/27"</v>
      </c>
      <c r="I470" t="str" cm="1">
        <f t="array" aca="1" ref="I470" ca="1">CONCATENATE(INDIRECT(ADDRESS(1,9,1,0,"KeySet"),0),":","""",valueMaker!I470,"""")</f>
        <v>denwaBangou:"080-9975-3088"</v>
      </c>
      <c r="J470" t="str" cm="1">
        <f t="array" aca="1" ref="J470" ca="1">CONCATENATE(INDIRECT(ADDRESS(1,10,1,0,"KeySet"),0),":","""",valueMaker!J470,"""")</f>
        <v>mailAddress:"Feng_Tan_Xuan_37403@outlook.jp.co"</v>
      </c>
      <c r="K470" t="str" cm="1">
        <f t="array" aca="1" ref="K470" ca="1">CONCATENATE(INDIRECT(ADDRESS(1,11,1,0,"KeySet"),0),":","""",valueMaker!K470,"""")</f>
        <v>kaninSyubetu:"高級"</v>
      </c>
      <c r="L470" t="str" cm="1">
        <f t="array" aca="1" ref="L470" ca="1">CONCATENATE(INDIRECT(ADDRESS(1,12,1,0,"KeySet"),0),":","""",valueMaker!L470,"""")</f>
        <v>kaninKengenWB:"有り"</v>
      </c>
      <c r="M470" t="str" cm="1">
        <f t="array" aca="1" ref="M470" ca="1">CONCATENATE(INDIRECT(ADDRESS(1,13,1,0,"KeySet"),0),":","""",valueMaker!M470,"""")</f>
        <v>wakibiri:"10%"</v>
      </c>
      <c r="N470" t="str" cm="1">
        <f t="array" aca="1" ref="N470" ca="1">CONCATENATE(INDIRECT(ADDRESS(1,14,1,0,"KeySet"),0),":","""",valueMaker!N470,"""")</f>
        <v>kaninKengenPoint:"有り"</v>
      </c>
      <c r="O470" t="str" cm="1">
        <f t="array" aca="1" ref="O470" ca="1">CONCATENATE(INDIRECT(ADDRESS(1,15,1,0,"KeySet"),0),":","""",valueMaker!O470,"""")</f>
        <v>point:"220"</v>
      </c>
      <c r="P470" t="str" cm="1">
        <f t="array" aca="1" ref="P470" ca="1">CONCATENATE(INDIRECT(ADDRESS(1,16,1,0,"KeySet"),0),":","""",valueMaker!P470,"""")</f>
        <v>bikou:""</v>
      </c>
    </row>
    <row r="471" spans="1:16">
      <c r="A471" t="str" cm="1">
        <f t="array" aca="1" ref="A471" ca="1">CONCATENATE(INDIRECT(ADDRESS(1,1,1,0,"KeySet"),0),":","""",valueMaker!A471,"""")</f>
        <v>kainBangou:"TD10470"</v>
      </c>
      <c r="B471" t="str" cm="1">
        <f t="array" aca="1" ref="B471" ca="1">CONCATENATE(INDIRECT(ADDRESS(1,2,1,0,"KeySet"),0),":","""",valueMaker!B471,"""")</f>
        <v>kainMeiKanji:"林益希"</v>
      </c>
      <c r="C471" t="str" cm="1">
        <f t="array" aca="1" ref="C471" ca="1">CONCATENATE(INDIRECT(ADDRESS(1,3,1,0,"KeySet"),0),":","""",valueMaker!C471,"""")</f>
        <v>kainMeiKana:"ﾘﾝ ｲｰ ｼｲ"</v>
      </c>
      <c r="D471" t="str" cm="1">
        <f t="array" aca="1" ref="D471" ca="1">CONCATENATE(INDIRECT(ADDRESS(1,4,1,0,"KeySet"),0),":","""",valueMaker!D471,"""")</f>
        <v>kainMeiEn:"Lin Yi Xi"</v>
      </c>
      <c r="E471" t="str" cm="1">
        <f t="array" aca="1" ref="E471" ca="1">CONCATENATE(INDIRECT(ADDRESS(1,5,1,0,"KeySet"),0),":","""",valueMaker!E471,"""")</f>
        <v>kainGender:"-"</v>
      </c>
      <c r="F471" t="str" cm="1">
        <f t="array" aca="1" ref="F471" ca="1">CONCATENATE(INDIRECT(ADDRESS(1,6,1,0,"KeySet"),0),":","""",TEXT(valueMaker!F471,"yyyy/m/d"),"""")</f>
        <v>tanjyoubi:"1965/6/10"</v>
      </c>
      <c r="G471" t="str" cm="1">
        <f t="array" aca="1" ref="G471" ca="1">CONCATENATE(INDIRECT(ADDRESS(1,6,1,0,"KeySet"),0),":","""",TEXT(valueMaker!G471,"yyyy/m/d"),"""")</f>
        <v>tanjyoubi:"1987/11/11"</v>
      </c>
      <c r="H471" t="str" cm="1">
        <f t="array" aca="1" ref="H471" ca="1">CONCATENATE(INDIRECT(ADDRESS(1,6,1,0,"KeySet"),0),":","""",TEXT(valueMaker!H471,"yyyy/m/d"),"""")</f>
        <v>tanjyoubi:"1990/11/10"</v>
      </c>
      <c r="I471" t="str" cm="1">
        <f t="array" aca="1" ref="I471" ca="1">CONCATENATE(INDIRECT(ADDRESS(1,9,1,0,"KeySet"),0),":","""",valueMaker!I471,"""")</f>
        <v>denwaBangou:"080-4390-0415"</v>
      </c>
      <c r="J471" t="str" cm="1">
        <f t="array" aca="1" ref="J471" ca="1">CONCATENATE(INDIRECT(ADDRESS(1,10,1,0,"KeySet"),0),":","""",valueMaker!J471,"""")</f>
        <v>mailAddress:"Lin_Yi_Xi_32092@outlook.jp.co"</v>
      </c>
      <c r="K471" t="str" cm="1">
        <f t="array" aca="1" ref="K471" ca="1">CONCATENATE(INDIRECT(ADDRESS(1,11,1,0,"KeySet"),0),":","""",valueMaker!K471,"""")</f>
        <v>kaninSyubetu:"普通"</v>
      </c>
      <c r="L471" t="str" cm="1">
        <f t="array" aca="1" ref="L471" ca="1">CONCATENATE(INDIRECT(ADDRESS(1,12,1,0,"KeySet"),0),":","""",valueMaker!L471,"""")</f>
        <v>kaninKengenWB:"有り"</v>
      </c>
      <c r="M471" t="str" cm="1">
        <f t="array" aca="1" ref="M471" ca="1">CONCATENATE(INDIRECT(ADDRESS(1,13,1,0,"KeySet"),0),":","""",valueMaker!M471,"""")</f>
        <v>wakibiri:"5%"</v>
      </c>
      <c r="N471" t="str" cm="1">
        <f t="array" aca="1" ref="N471" ca="1">CONCATENATE(INDIRECT(ADDRESS(1,14,1,0,"KeySet"),0),":","""",valueMaker!N471,"""")</f>
        <v>kaninKengenPoint:"有り"</v>
      </c>
      <c r="O471" t="str" cm="1">
        <f t="array" aca="1" ref="O471" ca="1">CONCATENATE(INDIRECT(ADDRESS(1,15,1,0,"KeySet"),0),":","""",valueMaker!O471,"""")</f>
        <v>point:"202"</v>
      </c>
      <c r="P471" t="str" cm="1">
        <f t="array" aca="1" ref="P471" ca="1">CONCATENATE(INDIRECT(ADDRESS(1,16,1,0,"KeySet"),0),":","""",valueMaker!P471,"""")</f>
        <v>bikou:""</v>
      </c>
    </row>
    <row r="472" spans="1:16">
      <c r="A472" t="str" cm="1">
        <f t="array" aca="1" ref="A472" ca="1">CONCATENATE(INDIRECT(ADDRESS(1,1,1,0,"KeySet"),0),":","""",valueMaker!A472,"""")</f>
        <v>kainBangou:"TD10471"</v>
      </c>
      <c r="B472" t="str" cm="1">
        <f t="array" aca="1" ref="B472" ca="1">CONCATENATE(INDIRECT(ADDRESS(1,2,1,0,"KeySet"),0),":","""",valueMaker!B472,"""")</f>
        <v>kainMeiKanji:"孫軒荒"</v>
      </c>
      <c r="C472" t="str" cm="1">
        <f t="array" aca="1" ref="C472" ca="1">CONCATENATE(INDIRECT(ADDRESS(1,3,1,0,"KeySet"),0),":","""",valueMaker!C472,"""")</f>
        <v>kainMeiKana:"ｽｩﾝ ｼｭｴﾝ ﾎﾜｰﾝ"</v>
      </c>
      <c r="D472" t="str" cm="1">
        <f t="array" aca="1" ref="D472" ca="1">CONCATENATE(INDIRECT(ADDRESS(1,4,1,0,"KeySet"),0),":","""",valueMaker!D472,"""")</f>
        <v>kainMeiEn:"Sun Xuan Huang"</v>
      </c>
      <c r="E472" t="str" cm="1">
        <f t="array" aca="1" ref="E472" ca="1">CONCATENATE(INDIRECT(ADDRESS(1,5,1,0,"KeySet"),0),":","""",valueMaker!E472,"""")</f>
        <v>kainGender:"男性"</v>
      </c>
      <c r="F472" t="str" cm="1">
        <f t="array" aca="1" ref="F472" ca="1">CONCATENATE(INDIRECT(ADDRESS(1,6,1,0,"KeySet"),0),":","""",TEXT(valueMaker!F472,"yyyy/m/d"),"""")</f>
        <v>tanjyoubi:"1969/11/15"</v>
      </c>
      <c r="G472" t="str" cm="1">
        <f t="array" aca="1" ref="G472" ca="1">CONCATENATE(INDIRECT(ADDRESS(1,6,1,0,"KeySet"),0),":","""",TEXT(valueMaker!G472,"yyyy/m/d"),"""")</f>
        <v>tanjyoubi:"2006/12/15"</v>
      </c>
      <c r="H472" t="str" cm="1">
        <f t="array" aca="1" ref="H472" ca="1">CONCATENATE(INDIRECT(ADDRESS(1,6,1,0,"KeySet"),0),":","""",TEXT(valueMaker!H472,"yyyy/m/d"),"""")</f>
        <v>tanjyoubi:"2007/12/15"</v>
      </c>
      <c r="I472" t="str" cm="1">
        <f t="array" aca="1" ref="I472" ca="1">CONCATENATE(INDIRECT(ADDRESS(1,9,1,0,"KeySet"),0),":","""",valueMaker!I472,"""")</f>
        <v>denwaBangou:"090-7427-0740"</v>
      </c>
      <c r="J472" t="str" cm="1">
        <f t="array" aca="1" ref="J472" ca="1">CONCATENATE(INDIRECT(ADDRESS(1,10,1,0,"KeySet"),0),":","""",valueMaker!J472,"""")</f>
        <v>mailAddress:"Sun_Xuan_Huang_39066@outlook.jp.co"</v>
      </c>
      <c r="K472" t="str" cm="1">
        <f t="array" aca="1" ref="K472" ca="1">CONCATENATE(INDIRECT(ADDRESS(1,11,1,0,"KeySet"),0),":","""",valueMaker!K472,"""")</f>
        <v>kaninSyubetu:"高級"</v>
      </c>
      <c r="L472" t="str" cm="1">
        <f t="array" aca="1" ref="L472" ca="1">CONCATENATE(INDIRECT(ADDRESS(1,12,1,0,"KeySet"),0),":","""",valueMaker!L472,"""")</f>
        <v>kaninKengenWB:"有り"</v>
      </c>
      <c r="M472" t="str" cm="1">
        <f t="array" aca="1" ref="M472" ca="1">CONCATENATE(INDIRECT(ADDRESS(1,13,1,0,"KeySet"),0),":","""",valueMaker!M472,"""")</f>
        <v>wakibiri:"10%"</v>
      </c>
      <c r="N472" t="str" cm="1">
        <f t="array" aca="1" ref="N472" ca="1">CONCATENATE(INDIRECT(ADDRESS(1,14,1,0,"KeySet"),0),":","""",valueMaker!N472,"""")</f>
        <v>kaninKengenPoint:"有り"</v>
      </c>
      <c r="O472" t="str" cm="1">
        <f t="array" aca="1" ref="O472" ca="1">CONCATENATE(INDIRECT(ADDRESS(1,15,1,0,"KeySet"),0),":","""",valueMaker!O472,"""")</f>
        <v>point:"115"</v>
      </c>
      <c r="P472" t="str" cm="1">
        <f t="array" aca="1" ref="P472" ca="1">CONCATENATE(INDIRECT(ADDRESS(1,16,1,0,"KeySet"),0),":","""",valueMaker!P472,"""")</f>
        <v>bikou:""</v>
      </c>
    </row>
    <row r="473" spans="1:16">
      <c r="A473" t="str" cm="1">
        <f t="array" aca="1" ref="A473" ca="1">CONCATENATE(INDIRECT(ADDRESS(1,1,1,0,"KeySet"),0),":","""",valueMaker!A473,"""")</f>
        <v>kainBangou:"TD10472"</v>
      </c>
      <c r="B473" t="str" cm="1">
        <f t="array" aca="1" ref="B473" ca="1">CONCATENATE(INDIRECT(ADDRESS(1,2,1,0,"KeySet"),0),":","""",valueMaker!B473,"""")</f>
        <v>kainMeiKanji:"劉台亭"</v>
      </c>
      <c r="C473" t="str" cm="1">
        <f t="array" aca="1" ref="C473" ca="1">CONCATENATE(INDIRECT(ADDRESS(1,3,1,0,"KeySet"),0),":","""",valueMaker!C473,"""")</f>
        <v>kainMeiKana:"ﾘｳ ﾀｲ ﾃｨｰﾝ"</v>
      </c>
      <c r="D473" t="str" cm="1">
        <f t="array" aca="1" ref="D473" ca="1">CONCATENATE(INDIRECT(ADDRESS(1,4,1,0,"KeySet"),0),":","""",valueMaker!D473,"""")</f>
        <v>kainMeiEn:"Liu Tai Ting"</v>
      </c>
      <c r="E473" t="str" cm="1">
        <f t="array" aca="1" ref="E473" ca="1">CONCATENATE(INDIRECT(ADDRESS(1,5,1,0,"KeySet"),0),":","""",valueMaker!E473,"""")</f>
        <v>kainGender:"男性"</v>
      </c>
      <c r="F473" t="str" cm="1">
        <f t="array" aca="1" ref="F473" ca="1">CONCATENATE(INDIRECT(ADDRESS(1,6,1,0,"KeySet"),0),":","""",TEXT(valueMaker!F473,"yyyy/m/d"),"""")</f>
        <v>tanjyoubi:"1998/12/20"</v>
      </c>
      <c r="G473" t="str" cm="1">
        <f t="array" aca="1" ref="G473" ca="1">CONCATENATE(INDIRECT(ADDRESS(1,6,1,0,"KeySet"),0),":","""",TEXT(valueMaker!G473,"yyyy/m/d"),"""")</f>
        <v>tanjyoubi:"2021/6/18"</v>
      </c>
      <c r="H473" t="str" cm="1">
        <f t="array" aca="1" ref="H473" ca="1">CONCATENATE(INDIRECT(ADDRESS(1,6,1,0,"KeySet"),0),":","""",TEXT(valueMaker!H473,"yyyy/m/d"),"""")</f>
        <v>tanjyoubi:"2022/6/18"</v>
      </c>
      <c r="I473" t="str" cm="1">
        <f t="array" aca="1" ref="I473" ca="1">CONCATENATE(INDIRECT(ADDRESS(1,9,1,0,"KeySet"),0),":","""",valueMaker!I473,"""")</f>
        <v>denwaBangou:"090-9577-2182"</v>
      </c>
      <c r="J473" t="str" cm="1">
        <f t="array" aca="1" ref="J473" ca="1">CONCATENATE(INDIRECT(ADDRESS(1,10,1,0,"KeySet"),0),":","""",valueMaker!J473,"""")</f>
        <v>mailAddress:"Liu_Tai_Ting_44365@outlook.jp.co"</v>
      </c>
      <c r="K473" t="str" cm="1">
        <f t="array" aca="1" ref="K473" ca="1">CONCATENATE(INDIRECT(ADDRESS(1,11,1,0,"KeySet"),0),":","""",valueMaker!K473,"""")</f>
        <v>kaninSyubetu:"普通"</v>
      </c>
      <c r="L473" t="str" cm="1">
        <f t="array" aca="1" ref="L473" ca="1">CONCATENATE(INDIRECT(ADDRESS(1,12,1,0,"KeySet"),0),":","""",valueMaker!L473,"""")</f>
        <v>kaninKengenWB:"有り"</v>
      </c>
      <c r="M473" t="str" cm="1">
        <f t="array" aca="1" ref="M473" ca="1">CONCATENATE(INDIRECT(ADDRESS(1,13,1,0,"KeySet"),0),":","""",valueMaker!M473,"""")</f>
        <v>wakibiri:"5%"</v>
      </c>
      <c r="N473" t="str" cm="1">
        <f t="array" aca="1" ref="N473" ca="1">CONCATENATE(INDIRECT(ADDRESS(1,14,1,0,"KeySet"),0),":","""",valueMaker!N473,"""")</f>
        <v>kaninKengenPoint:"有り"</v>
      </c>
      <c r="O473" t="str" cm="1">
        <f t="array" aca="1" ref="O473" ca="1">CONCATENATE(INDIRECT(ADDRESS(1,15,1,0,"KeySet"),0),":","""",valueMaker!O473,"""")</f>
        <v>point:"680"</v>
      </c>
      <c r="P473" t="str" cm="1">
        <f t="array" aca="1" ref="P473" ca="1">CONCATENATE(INDIRECT(ADDRESS(1,16,1,0,"KeySet"),0),":","""",valueMaker!P473,"""")</f>
        <v>bikou:""</v>
      </c>
    </row>
    <row r="474" spans="1:16">
      <c r="A474" t="str" cm="1">
        <f t="array" aca="1" ref="A474" ca="1">CONCATENATE(INDIRECT(ADDRESS(1,1,1,0,"KeySet"),0),":","""",valueMaker!A474,"""")</f>
        <v>kainBangou:"TD10473"</v>
      </c>
      <c r="B474" t="str" cm="1">
        <f t="array" aca="1" ref="B474" ca="1">CONCATENATE(INDIRECT(ADDRESS(1,2,1,0,"KeySet"),0),":","""",valueMaker!B474,"""")</f>
        <v>kainMeiKanji:"唐綸網"</v>
      </c>
      <c r="C474" t="str" cm="1">
        <f t="array" aca="1" ref="C474" ca="1">CONCATENATE(INDIRECT(ADDRESS(1,3,1,0,"KeySet"),0),":","""",valueMaker!C474,"""")</f>
        <v>kainMeiKana:"ﾀｰﾝ ﾙﾝ ﾜｰﾝ"</v>
      </c>
      <c r="D474" t="str" cm="1">
        <f t="array" aca="1" ref="D474" ca="1">CONCATENATE(INDIRECT(ADDRESS(1,4,1,0,"KeySet"),0),":","""",valueMaker!D474,"""")</f>
        <v>kainMeiEn:"Tang Lun Wang"</v>
      </c>
      <c r="E474" t="str" cm="1">
        <f t="array" aca="1" ref="E474" ca="1">CONCATENATE(INDIRECT(ADDRESS(1,5,1,0,"KeySet"),0),":","""",valueMaker!E474,"""")</f>
        <v>kainGender:"女性"</v>
      </c>
      <c r="F474" t="str" cm="1">
        <f t="array" aca="1" ref="F474" ca="1">CONCATENATE(INDIRECT(ADDRESS(1,6,1,0,"KeySet"),0),":","""",TEXT(valueMaker!F474,"yyyy/m/d"),"""")</f>
        <v>tanjyoubi:"2001/8/8"</v>
      </c>
      <c r="G474" t="str" cm="1">
        <f t="array" aca="1" ref="G474" ca="1">CONCATENATE(INDIRECT(ADDRESS(1,6,1,0,"KeySet"),0),":","""",TEXT(valueMaker!G474,"yyyy/m/d"),"""")</f>
        <v>tanjyoubi:"2022/4/3"</v>
      </c>
      <c r="H474" t="str" cm="1">
        <f t="array" aca="1" ref="H474" ca="1">CONCATENATE(INDIRECT(ADDRESS(1,6,1,0,"KeySet"),0),":","""",TEXT(valueMaker!H474,"yyyy/m/d"),"""")</f>
        <v>tanjyoubi:"2024/4/2"</v>
      </c>
      <c r="I474" t="str" cm="1">
        <f t="array" aca="1" ref="I474" ca="1">CONCATENATE(INDIRECT(ADDRESS(1,9,1,0,"KeySet"),0),":","""",valueMaker!I474,"""")</f>
        <v>denwaBangou:"090-1601-0301"</v>
      </c>
      <c r="J474" t="str" cm="1">
        <f t="array" aca="1" ref="J474" ca="1">CONCATENATE(INDIRECT(ADDRESS(1,10,1,0,"KeySet"),0),":","""",valueMaker!J474,"""")</f>
        <v>mailAddress:"Tang_Lun Wang_44654@outlook.jp.co"</v>
      </c>
      <c r="K474" t="str" cm="1">
        <f t="array" aca="1" ref="K474" ca="1">CONCATENATE(INDIRECT(ADDRESS(1,11,1,0,"KeySet"),0),":","""",valueMaker!K474,"""")</f>
        <v>kaninSyubetu:"普通"</v>
      </c>
      <c r="L474" t="str" cm="1">
        <f t="array" aca="1" ref="L474" ca="1">CONCATENATE(INDIRECT(ADDRESS(1,12,1,0,"KeySet"),0),":","""",valueMaker!L474,"""")</f>
        <v>kaninKengenWB:"有り"</v>
      </c>
      <c r="M474" t="str" cm="1">
        <f t="array" aca="1" ref="M474" ca="1">CONCATENATE(INDIRECT(ADDRESS(1,13,1,0,"KeySet"),0),":","""",valueMaker!M474,"""")</f>
        <v>wakibiri:"5%"</v>
      </c>
      <c r="N474" t="str" cm="1">
        <f t="array" aca="1" ref="N474" ca="1">CONCATENATE(INDIRECT(ADDRESS(1,14,1,0,"KeySet"),0),":","""",valueMaker!N474,"""")</f>
        <v>kaninKengenPoint:"有り"</v>
      </c>
      <c r="O474" t="str" cm="1">
        <f t="array" aca="1" ref="O474" ca="1">CONCATENATE(INDIRECT(ADDRESS(1,15,1,0,"KeySet"),0),":","""",valueMaker!O474,"""")</f>
        <v>point:"861"</v>
      </c>
      <c r="P474" t="str" cm="1">
        <f t="array" aca="1" ref="P474" ca="1">CONCATENATE(INDIRECT(ADDRESS(1,16,1,0,"KeySet"),0),":","""",valueMaker!P474,"""")</f>
        <v>bikou:""</v>
      </c>
    </row>
    <row r="475" spans="1:16">
      <c r="A475" t="str" cm="1">
        <f t="array" aca="1" ref="A475" ca="1">CONCATENATE(INDIRECT(ADDRESS(1,1,1,0,"KeySet"),0),":","""",valueMaker!A475,"""")</f>
        <v>kainBangou:"TD10474"</v>
      </c>
      <c r="B475" t="str" cm="1">
        <f t="array" aca="1" ref="B475" ca="1">CONCATENATE(INDIRECT(ADDRESS(1,2,1,0,"KeySet"),0),":","""",valueMaker!B475,"""")</f>
        <v>kainMeiKanji:"梁登寧"</v>
      </c>
      <c r="C475" t="str" cm="1">
        <f t="array" aca="1" ref="C475" ca="1">CONCATENATE(INDIRECT(ADDRESS(1,3,1,0,"KeySet"),0),":","""",valueMaker!C475,"""")</f>
        <v>kainMeiKana:"ﾘﾔｰﾝ ﾄﾞｩｵﾝ ﾆｰﾝ"</v>
      </c>
      <c r="D475" t="str" cm="1">
        <f t="array" aca="1" ref="D475" ca="1">CONCATENATE(INDIRECT(ADDRESS(1,4,1,0,"KeySet"),0),":","""",valueMaker!D475,"""")</f>
        <v>kainMeiEn:"Liang Deng Ning"</v>
      </c>
      <c r="E475" t="str" cm="1">
        <f t="array" aca="1" ref="E475" ca="1">CONCATENATE(INDIRECT(ADDRESS(1,5,1,0,"KeySet"),0),":","""",valueMaker!E475,"""")</f>
        <v>kainGender:"女性"</v>
      </c>
      <c r="F475" t="str" cm="1">
        <f t="array" aca="1" ref="F475" ca="1">CONCATENATE(INDIRECT(ADDRESS(1,6,1,0,"KeySet"),0),":","""",TEXT(valueMaker!F475,"yyyy/m/d"),"""")</f>
        <v>tanjyoubi:"1978/3/26"</v>
      </c>
      <c r="G475" t="str" cm="1">
        <f t="array" aca="1" ref="G475" ca="1">CONCATENATE(INDIRECT(ADDRESS(1,6,1,0,"KeySet"),0),":","""",TEXT(valueMaker!G475,"yyyy/m/d"),"""")</f>
        <v>tanjyoubi:"2009/3/26"</v>
      </c>
      <c r="H475" t="str" cm="1">
        <f t="array" aca="1" ref="H475" ca="1">CONCATENATE(INDIRECT(ADDRESS(1,6,1,0,"KeySet"),0),":","""",TEXT(valueMaker!H475,"yyyy/m/d"),"""")</f>
        <v>tanjyoubi:"2011/3/26"</v>
      </c>
      <c r="I475" t="str" cm="1">
        <f t="array" aca="1" ref="I475" ca="1">CONCATENATE(INDIRECT(ADDRESS(1,9,1,0,"KeySet"),0),":","""",valueMaker!I475,"""")</f>
        <v>denwaBangou:"090-9290-4380"</v>
      </c>
      <c r="J475" t="str" cm="1">
        <f t="array" aca="1" ref="J475" ca="1">CONCATENATE(INDIRECT(ADDRESS(1,10,1,0,"KeySet"),0),":","""",valueMaker!J475,"""")</f>
        <v>mailAddress:"Liang_Deng_Ning_39898@outlook.jp.co"</v>
      </c>
      <c r="K475" t="str" cm="1">
        <f t="array" aca="1" ref="K475" ca="1">CONCATENATE(INDIRECT(ADDRESS(1,11,1,0,"KeySet"),0),":","""",valueMaker!K475,"""")</f>
        <v>kaninSyubetu:"高級"</v>
      </c>
      <c r="L475" t="str" cm="1">
        <f t="array" aca="1" ref="L475" ca="1">CONCATENATE(INDIRECT(ADDRESS(1,12,1,0,"KeySet"),0),":","""",valueMaker!L475,"""")</f>
        <v>kaninKengenWB:"有り"</v>
      </c>
      <c r="M475" t="str" cm="1">
        <f t="array" aca="1" ref="M475" ca="1">CONCATENATE(INDIRECT(ADDRESS(1,13,1,0,"KeySet"),0),":","""",valueMaker!M475,"""")</f>
        <v>wakibiri:"10%"</v>
      </c>
      <c r="N475" t="str" cm="1">
        <f t="array" aca="1" ref="N475" ca="1">CONCATENATE(INDIRECT(ADDRESS(1,14,1,0,"KeySet"),0),":","""",valueMaker!N475,"""")</f>
        <v>kaninKengenPoint:"有り"</v>
      </c>
      <c r="O475" t="str" cm="1">
        <f t="array" aca="1" ref="O475" ca="1">CONCATENATE(INDIRECT(ADDRESS(1,15,1,0,"KeySet"),0),":","""",valueMaker!O475,"""")</f>
        <v>point:"732"</v>
      </c>
      <c r="P475" t="str" cm="1">
        <f t="array" aca="1" ref="P475" ca="1">CONCATENATE(INDIRECT(ADDRESS(1,16,1,0,"KeySet"),0),":","""",valueMaker!P475,"""")</f>
        <v>bikou:""</v>
      </c>
    </row>
    <row r="476" spans="1:16">
      <c r="A476" t="str" cm="1">
        <f t="array" aca="1" ref="A476" ca="1">CONCATENATE(INDIRECT(ADDRESS(1,1,1,0,"KeySet"),0),":","""",valueMaker!A476,"""")</f>
        <v>kainBangou:"TD10475"</v>
      </c>
      <c r="B476" t="str" cm="1">
        <f t="array" aca="1" ref="B476" ca="1">CONCATENATE(INDIRECT(ADDRESS(1,2,1,0,"KeySet"),0),":","""",valueMaker!B476,"""")</f>
        <v>kainMeiKanji:"張芬勁"</v>
      </c>
      <c r="C476" t="str" cm="1">
        <f t="array" aca="1" ref="C476" ca="1">CONCATENATE(INDIRECT(ADDRESS(1,3,1,0,"KeySet"),0),":","""",valueMaker!C476,"""")</f>
        <v>kainMeiKana:"ｼﾞｬｰﾝ ﾌｪﾝ ｼﾞﾝ"</v>
      </c>
      <c r="D476" t="str" cm="1">
        <f t="array" aca="1" ref="D476" ca="1">CONCATENATE(INDIRECT(ADDRESS(1,4,1,0,"KeySet"),0),":","""",valueMaker!D476,"""")</f>
        <v>kainMeiEn:"Zhang Fen Jin"</v>
      </c>
      <c r="E476" t="str" cm="1">
        <f t="array" aca="1" ref="E476" ca="1">CONCATENATE(INDIRECT(ADDRESS(1,5,1,0,"KeySet"),0),":","""",valueMaker!E476,"""")</f>
        <v>kainGender:"男性"</v>
      </c>
      <c r="F476" t="str" cm="1">
        <f t="array" aca="1" ref="F476" ca="1">CONCATENATE(INDIRECT(ADDRESS(1,6,1,0,"KeySet"),0),":","""",TEXT(valueMaker!F476,"yyyy/m/d"),"""")</f>
        <v>tanjyoubi:"1988/4/30"</v>
      </c>
      <c r="G476" t="str" cm="1">
        <f t="array" aca="1" ref="G476" ca="1">CONCATENATE(INDIRECT(ADDRESS(1,6,1,0,"KeySet"),0),":","""",TEXT(valueMaker!G476,"yyyy/m/d"),"""")</f>
        <v>tanjyoubi:"2023/10/24"</v>
      </c>
      <c r="H476" t="str" cm="1">
        <f t="array" aca="1" ref="H476" ca="1">CONCATENATE(INDIRECT(ADDRESS(1,6,1,0,"KeySet"),0),":","""",TEXT(valueMaker!H476,"yyyy/m/d"),"""")</f>
        <v>tanjyoubi:"2026/10/23"</v>
      </c>
      <c r="I476" t="str" cm="1">
        <f t="array" aca="1" ref="I476" ca="1">CONCATENATE(INDIRECT(ADDRESS(1,9,1,0,"KeySet"),0),":","""",valueMaker!I476,"""")</f>
        <v>denwaBangou:"080-7894-6889"</v>
      </c>
      <c r="J476" t="str" cm="1">
        <f t="array" aca="1" ref="J476" ca="1">CONCATENATE(INDIRECT(ADDRESS(1,10,1,0,"KeySet"),0),":","""",valueMaker!J476,"""")</f>
        <v>mailAddress:"Zhang_Fen Jin_45223@outlook.jp.co"</v>
      </c>
      <c r="K476" t="str" cm="1">
        <f t="array" aca="1" ref="K476" ca="1">CONCATENATE(INDIRECT(ADDRESS(1,11,1,0,"KeySet"),0),":","""",valueMaker!K476,"""")</f>
        <v>kaninSyubetu:"高級"</v>
      </c>
      <c r="L476" t="str" cm="1">
        <f t="array" aca="1" ref="L476" ca="1">CONCATENATE(INDIRECT(ADDRESS(1,12,1,0,"KeySet"),0),":","""",valueMaker!L476,"""")</f>
        <v>kaninKengenWB:"有り"</v>
      </c>
      <c r="M476" t="str" cm="1">
        <f t="array" aca="1" ref="M476" ca="1">CONCATENATE(INDIRECT(ADDRESS(1,13,1,0,"KeySet"),0),":","""",valueMaker!M476,"""")</f>
        <v>wakibiri:"10%"</v>
      </c>
      <c r="N476" t="str" cm="1">
        <f t="array" aca="1" ref="N476" ca="1">CONCATENATE(INDIRECT(ADDRESS(1,14,1,0,"KeySet"),0),":","""",valueMaker!N476,"""")</f>
        <v>kaninKengenPoint:"有り"</v>
      </c>
      <c r="O476" t="str" cm="1">
        <f t="array" aca="1" ref="O476" ca="1">CONCATENATE(INDIRECT(ADDRESS(1,15,1,0,"KeySet"),0),":","""",valueMaker!O476,"""")</f>
        <v>point:"113"</v>
      </c>
      <c r="P476" t="str" cm="1">
        <f t="array" aca="1" ref="P476" ca="1">CONCATENATE(INDIRECT(ADDRESS(1,16,1,0,"KeySet"),0),":","""",valueMaker!P476,"""")</f>
        <v>bikou:""</v>
      </c>
    </row>
    <row r="477" spans="1:16">
      <c r="A477" t="str" cm="1">
        <f t="array" aca="1" ref="A477" ca="1">CONCATENATE(INDIRECT(ADDRESS(1,1,1,0,"KeySet"),0),":","""",valueMaker!A477,"""")</f>
        <v>kainBangou:"TD10476"</v>
      </c>
      <c r="B477" t="str" cm="1">
        <f t="array" aca="1" ref="B477" ca="1">CONCATENATE(INDIRECT(ADDRESS(1,2,1,0,"KeySet"),0),":","""",valueMaker!B477,"""")</f>
        <v>kainMeiKanji:"謝菏科"</v>
      </c>
      <c r="C477" t="str" cm="1">
        <f t="array" aca="1" ref="C477" ca="1">CONCATENATE(INDIRECT(ADDRESS(1,3,1,0,"KeySet"),0),":","""",valueMaker!C477,"""")</f>
        <v>kainMeiKana:"ｼｴ ﾎｰｧ ｺｰｧ"</v>
      </c>
      <c r="D477" t="str" cm="1">
        <f t="array" aca="1" ref="D477" ca="1">CONCATENATE(INDIRECT(ADDRESS(1,4,1,0,"KeySet"),0),":","""",valueMaker!D477,"""")</f>
        <v>kainMeiEn:"Xie He Ke"</v>
      </c>
      <c r="E477" t="str" cm="1">
        <f t="array" aca="1" ref="E477" ca="1">CONCATENATE(INDIRECT(ADDRESS(1,5,1,0,"KeySet"),0),":","""",valueMaker!E477,"""")</f>
        <v>kainGender:"男性"</v>
      </c>
      <c r="F477" t="str" cm="1">
        <f t="array" aca="1" ref="F477" ca="1">CONCATENATE(INDIRECT(ADDRESS(1,6,1,0,"KeySet"),0),":","""",TEXT(valueMaker!F477,"yyyy/m/d"),"""")</f>
        <v>tanjyoubi:"1971/2/14"</v>
      </c>
      <c r="G477" t="str" cm="1">
        <f t="array" aca="1" ref="G477" ca="1">CONCATENATE(INDIRECT(ADDRESS(1,6,1,0,"KeySet"),0),":","""",TEXT(valueMaker!G477,"yyyy/m/d"),"""")</f>
        <v>tanjyoubi:"2006/2/18"</v>
      </c>
      <c r="H477" t="str" cm="1">
        <f t="array" aca="1" ref="H477" ca="1">CONCATENATE(INDIRECT(ADDRESS(1,6,1,0,"KeySet"),0),":","""",TEXT(valueMaker!H477,"yyyy/m/d"),"""")</f>
        <v>tanjyoubi:"2009/2/17"</v>
      </c>
      <c r="I477" t="str" cm="1">
        <f t="array" aca="1" ref="I477" ca="1">CONCATENATE(INDIRECT(ADDRESS(1,9,1,0,"KeySet"),0),":","""",valueMaker!I477,"""")</f>
        <v>denwaBangou:"080-7821-3865"</v>
      </c>
      <c r="J477" t="str" cm="1">
        <f t="array" aca="1" ref="J477" ca="1">CONCATENATE(INDIRECT(ADDRESS(1,10,1,0,"KeySet"),0),":","""",valueMaker!J477,"""")</f>
        <v>mailAddress:"Xie_He_Ke_38766@outlook.jp.co"</v>
      </c>
      <c r="K477" t="str" cm="1">
        <f t="array" aca="1" ref="K477" ca="1">CONCATENATE(INDIRECT(ADDRESS(1,11,1,0,"KeySet"),0),":","""",valueMaker!K477,"""")</f>
        <v>kaninSyubetu:"普通"</v>
      </c>
      <c r="L477" t="str" cm="1">
        <f t="array" aca="1" ref="L477" ca="1">CONCATENATE(INDIRECT(ADDRESS(1,12,1,0,"KeySet"),0),":","""",valueMaker!L477,"""")</f>
        <v>kaninKengenWB:"有り"</v>
      </c>
      <c r="M477" t="str" cm="1">
        <f t="array" aca="1" ref="M477" ca="1">CONCATENATE(INDIRECT(ADDRESS(1,13,1,0,"KeySet"),0),":","""",valueMaker!M477,"""")</f>
        <v>wakibiri:"5%"</v>
      </c>
      <c r="N477" t="str" cm="1">
        <f t="array" aca="1" ref="N477" ca="1">CONCATENATE(INDIRECT(ADDRESS(1,14,1,0,"KeySet"),0),":","""",valueMaker!N477,"""")</f>
        <v>kaninKengenPoint:"有り"</v>
      </c>
      <c r="O477" t="str" cm="1">
        <f t="array" aca="1" ref="O477" ca="1">CONCATENATE(INDIRECT(ADDRESS(1,15,1,0,"KeySet"),0),":","""",valueMaker!O477,"""")</f>
        <v>point:"130"</v>
      </c>
      <c r="P477" t="str" cm="1">
        <f t="array" aca="1" ref="P477" ca="1">CONCATENATE(INDIRECT(ADDRESS(1,16,1,0,"KeySet"),0),":","""",valueMaker!P477,"""")</f>
        <v>bikou:""</v>
      </c>
    </row>
    <row r="478" spans="1:16">
      <c r="A478" t="str" cm="1">
        <f t="array" aca="1" ref="A478" ca="1">CONCATENATE(INDIRECT(ADDRESS(1,1,1,0,"KeySet"),0),":","""",valueMaker!A478,"""")</f>
        <v>kainBangou:"TD10477"</v>
      </c>
      <c r="B478" t="str" cm="1">
        <f t="array" aca="1" ref="B478" ca="1">CONCATENATE(INDIRECT(ADDRESS(1,2,1,0,"KeySet"),0),":","""",valueMaker!B478,"""")</f>
        <v>kainMeiKanji:"唐碼紀"</v>
      </c>
      <c r="C478" t="str" cm="1">
        <f t="array" aca="1" ref="C478" ca="1">CONCATENATE(INDIRECT(ADDRESS(1,3,1,0,"KeySet"),0),":","""",valueMaker!C478,"""")</f>
        <v>kainMeiKana:"ﾀｰﾝ ﾏｰ ｼﾞｰ"</v>
      </c>
      <c r="D478" t="str" cm="1">
        <f t="array" aca="1" ref="D478" ca="1">CONCATENATE(INDIRECT(ADDRESS(1,4,1,0,"KeySet"),0),":","""",valueMaker!D478,"""")</f>
        <v>kainMeiEn:"Tang Ma Ji"</v>
      </c>
      <c r="E478" t="str" cm="1">
        <f t="array" aca="1" ref="E478" ca="1">CONCATENATE(INDIRECT(ADDRESS(1,5,1,0,"KeySet"),0),":","""",valueMaker!E478,"""")</f>
        <v>kainGender:"男性"</v>
      </c>
      <c r="F478" t="str" cm="1">
        <f t="array" aca="1" ref="F478" ca="1">CONCATENATE(INDIRECT(ADDRESS(1,6,1,0,"KeySet"),0),":","""",TEXT(valueMaker!F478,"yyyy/m/d"),"""")</f>
        <v>tanjyoubi:"2005/7/25"</v>
      </c>
      <c r="G478" t="str" cm="1">
        <f t="array" aca="1" ref="G478" ca="1">CONCATENATE(INDIRECT(ADDRESS(1,6,1,0,"KeySet"),0),":","""",TEXT(valueMaker!G478,"yyyy/m/d"),"""")</f>
        <v>tanjyoubi:"2024/6/3"</v>
      </c>
      <c r="H478" t="str" cm="1">
        <f t="array" aca="1" ref="H478" ca="1">CONCATENATE(INDIRECT(ADDRESS(1,6,1,0,"KeySet"),0),":","""",TEXT(valueMaker!H478,"yyyy/m/d"),"""")</f>
        <v>tanjyoubi:"2025/6/3"</v>
      </c>
      <c r="I478" t="str" cm="1">
        <f t="array" aca="1" ref="I478" ca="1">CONCATENATE(INDIRECT(ADDRESS(1,9,1,0,"KeySet"),0),":","""",valueMaker!I478,"""")</f>
        <v>denwaBangou:"090-7662-1033"</v>
      </c>
      <c r="J478" t="str" cm="1">
        <f t="array" aca="1" ref="J478" ca="1">CONCATENATE(INDIRECT(ADDRESS(1,10,1,0,"KeySet"),0),":","""",valueMaker!J478,"""")</f>
        <v>mailAddress:"Tang_Ma_Ji_45446@outlook.jp.co"</v>
      </c>
      <c r="K478" t="str" cm="1">
        <f t="array" aca="1" ref="K478" ca="1">CONCATENATE(INDIRECT(ADDRESS(1,11,1,0,"KeySet"),0),":","""",valueMaker!K478,"""")</f>
        <v>kaninSyubetu:"普通"</v>
      </c>
      <c r="L478" t="str" cm="1">
        <f t="array" aca="1" ref="L478" ca="1">CONCATENATE(INDIRECT(ADDRESS(1,12,1,0,"KeySet"),0),":","""",valueMaker!L478,"""")</f>
        <v>kaninKengenWB:"有り"</v>
      </c>
      <c r="M478" t="str" cm="1">
        <f t="array" aca="1" ref="M478" ca="1">CONCATENATE(INDIRECT(ADDRESS(1,13,1,0,"KeySet"),0),":","""",valueMaker!M478,"""")</f>
        <v>wakibiri:"5%"</v>
      </c>
      <c r="N478" t="str" cm="1">
        <f t="array" aca="1" ref="N478" ca="1">CONCATENATE(INDIRECT(ADDRESS(1,14,1,0,"KeySet"),0),":","""",valueMaker!N478,"""")</f>
        <v>kaninKengenPoint:"-"</v>
      </c>
      <c r="O478" t="str" cm="1">
        <f t="array" aca="1" ref="O478" ca="1">CONCATENATE(INDIRECT(ADDRESS(1,15,1,0,"KeySet"),0),":","""",valueMaker!O478,"""")</f>
        <v>point:"-"</v>
      </c>
      <c r="P478" t="str" cm="1">
        <f t="array" aca="1" ref="P478" ca="1">CONCATENATE(INDIRECT(ADDRESS(1,16,1,0,"KeySet"),0),":","""",valueMaker!P478,"""")</f>
        <v>bikou:""</v>
      </c>
    </row>
    <row r="479" spans="1:16">
      <c r="A479" t="str" cm="1">
        <f t="array" aca="1" ref="A479" ca="1">CONCATENATE(INDIRECT(ADDRESS(1,1,1,0,"KeySet"),0),":","""",valueMaker!A479,"""")</f>
        <v>kainBangou:"TD10478"</v>
      </c>
      <c r="B479" t="str" cm="1">
        <f t="array" aca="1" ref="B479" ca="1">CONCATENATE(INDIRECT(ADDRESS(1,2,1,0,"KeySet"),0),":","""",valueMaker!B479,"""")</f>
        <v>kainMeiKanji:"馮創淺"</v>
      </c>
      <c r="C479" t="str" cm="1">
        <f t="array" aca="1" ref="C479" ca="1">CONCATENATE(INDIRECT(ADDRESS(1,3,1,0,"KeySet"),0),":","""",valueMaker!C479,"""")</f>
        <v>kainMeiKana:"ﾌｵﾝ ﾁｭﾜｰﾝ ﾁｴﾝ"</v>
      </c>
      <c r="D479" t="str" cm="1">
        <f t="array" aca="1" ref="D479" ca="1">CONCATENATE(INDIRECT(ADDRESS(1,4,1,0,"KeySet"),0),":","""",valueMaker!D479,"""")</f>
        <v>kainMeiEn:"Feng Chuang Qian"</v>
      </c>
      <c r="E479" t="str" cm="1">
        <f t="array" aca="1" ref="E479" ca="1">CONCATENATE(INDIRECT(ADDRESS(1,5,1,0,"KeySet"),0),":","""",valueMaker!E479,"""")</f>
        <v>kainGender:"-"</v>
      </c>
      <c r="F479" t="str" cm="1">
        <f t="array" aca="1" ref="F479" ca="1">CONCATENATE(INDIRECT(ADDRESS(1,6,1,0,"KeySet"),0),":","""",TEXT(valueMaker!F479,"yyyy/m/d"),"""")</f>
        <v>tanjyoubi:"1961/1/15"</v>
      </c>
      <c r="G479" t="str" cm="1">
        <f t="array" aca="1" ref="G479" ca="1">CONCATENATE(INDIRECT(ADDRESS(1,6,1,0,"KeySet"),0),":","""",TEXT(valueMaker!G479,"yyyy/m/d"),"""")</f>
        <v>tanjyoubi:"2016/1/10"</v>
      </c>
      <c r="H479" t="str" cm="1">
        <f t="array" aca="1" ref="H479" ca="1">CONCATENATE(INDIRECT(ADDRESS(1,6,1,0,"KeySet"),0),":","""",TEXT(valueMaker!H479,"yyyy/m/d"),"""")</f>
        <v>tanjyoubi:"2019/1/9"</v>
      </c>
      <c r="I479" t="str" cm="1">
        <f t="array" aca="1" ref="I479" ca="1">CONCATENATE(INDIRECT(ADDRESS(1,9,1,0,"KeySet"),0),":","""",valueMaker!I479,"""")</f>
        <v>denwaBangou:"080-9562-1793"</v>
      </c>
      <c r="J479" t="str" cm="1">
        <f t="array" aca="1" ref="J479" ca="1">CONCATENATE(INDIRECT(ADDRESS(1,10,1,0,"KeySet"),0),":","""",valueMaker!J479,"""")</f>
        <v>mailAddress:"Feng_Chuang Qian_42379@outlook.jp.co"</v>
      </c>
      <c r="K479" t="str" cm="1">
        <f t="array" aca="1" ref="K479" ca="1">CONCATENATE(INDIRECT(ADDRESS(1,11,1,0,"KeySet"),0),":","""",valueMaker!K479,"""")</f>
        <v>kaninSyubetu:"普通"</v>
      </c>
      <c r="L479" t="str" cm="1">
        <f t="array" aca="1" ref="L479" ca="1">CONCATENATE(INDIRECT(ADDRESS(1,12,1,0,"KeySet"),0),":","""",valueMaker!L479,"""")</f>
        <v>kaninKengenWB:"-"</v>
      </c>
      <c r="M479" t="str" cm="1">
        <f t="array" aca="1" ref="M479" ca="1">CONCATENATE(INDIRECT(ADDRESS(1,13,1,0,"KeySet"),0),":","""",valueMaker!M479,"""")</f>
        <v>wakibiri:"-"</v>
      </c>
      <c r="N479" t="str" cm="1">
        <f t="array" aca="1" ref="N479" ca="1">CONCATENATE(INDIRECT(ADDRESS(1,14,1,0,"KeySet"),0),":","""",valueMaker!N479,"""")</f>
        <v>kaninKengenPoint:"有り"</v>
      </c>
      <c r="O479" t="str" cm="1">
        <f t="array" aca="1" ref="O479" ca="1">CONCATENATE(INDIRECT(ADDRESS(1,15,1,0,"KeySet"),0),":","""",valueMaker!O479,"""")</f>
        <v>point:"985"</v>
      </c>
      <c r="P479" t="str" cm="1">
        <f t="array" aca="1" ref="P479" ca="1">CONCATENATE(INDIRECT(ADDRESS(1,16,1,0,"KeySet"),0),":","""",valueMaker!P479,"""")</f>
        <v>bikou:""</v>
      </c>
    </row>
    <row r="480" spans="1:16">
      <c r="A480" t="str" cm="1">
        <f t="array" aca="1" ref="A480" ca="1">CONCATENATE(INDIRECT(ADDRESS(1,1,1,0,"KeySet"),0),":","""",valueMaker!A480,"""")</f>
        <v>kainBangou:"TD10479"</v>
      </c>
      <c r="B480" t="str" cm="1">
        <f t="array" aca="1" ref="B480" ca="1">CONCATENATE(INDIRECT(ADDRESS(1,2,1,0,"KeySet"),0),":","""",valueMaker!B480,"""")</f>
        <v>kainMeiKanji:"韓繼材"</v>
      </c>
      <c r="C480" t="str" cm="1">
        <f t="array" aca="1" ref="C480" ca="1">CONCATENATE(INDIRECT(ADDRESS(1,3,1,0,"KeySet"),0),":","""",valueMaker!C480,"""")</f>
        <v>kainMeiKana:"ﾊﾝ ｼﾞｰ ﾂｧｲ"</v>
      </c>
      <c r="D480" t="str" cm="1">
        <f t="array" aca="1" ref="D480" ca="1">CONCATENATE(INDIRECT(ADDRESS(1,4,1,0,"KeySet"),0),":","""",valueMaker!D480,"""")</f>
        <v>kainMeiEn:"Han Ji Cai"</v>
      </c>
      <c r="E480" t="str" cm="1">
        <f t="array" aca="1" ref="E480" ca="1">CONCATENATE(INDIRECT(ADDRESS(1,5,1,0,"KeySet"),0),":","""",valueMaker!E480,"""")</f>
        <v>kainGender:"-"</v>
      </c>
      <c r="F480" t="str" cm="1">
        <f t="array" aca="1" ref="F480" ca="1">CONCATENATE(INDIRECT(ADDRESS(1,6,1,0,"KeySet"),0),":","""",TEXT(valueMaker!F480,"yyyy/m/d"),"""")</f>
        <v>tanjyoubi:"1978/9/16"</v>
      </c>
      <c r="G480" t="str" cm="1">
        <f t="array" aca="1" ref="G480" ca="1">CONCATENATE(INDIRECT(ADDRESS(1,6,1,0,"KeySet"),0),":","""",TEXT(valueMaker!G480,"yyyy/m/d"),"""")</f>
        <v>tanjyoubi:"2007/10/13"</v>
      </c>
      <c r="H480" t="str" cm="1">
        <f t="array" aca="1" ref="H480" ca="1">CONCATENATE(INDIRECT(ADDRESS(1,6,1,0,"KeySet"),0),":","""",TEXT(valueMaker!H480,"yyyy/m/d"),"""")</f>
        <v>tanjyoubi:"2010/10/12"</v>
      </c>
      <c r="I480" t="str" cm="1">
        <f t="array" aca="1" ref="I480" ca="1">CONCATENATE(INDIRECT(ADDRESS(1,9,1,0,"KeySet"),0),":","""",valueMaker!I480,"""")</f>
        <v>denwaBangou:"080-6769-6461"</v>
      </c>
      <c r="J480" t="str" cm="1">
        <f t="array" aca="1" ref="J480" ca="1">CONCATENATE(INDIRECT(ADDRESS(1,10,1,0,"KeySet"),0),":","""",valueMaker!J480,"""")</f>
        <v>mailAddress:"Han_Ji_Cai_39368@outlook.jp.co"</v>
      </c>
      <c r="K480" t="str" cm="1">
        <f t="array" aca="1" ref="K480" ca="1">CONCATENATE(INDIRECT(ADDRESS(1,11,1,0,"KeySet"),0),":","""",valueMaker!K480,"""")</f>
        <v>kaninSyubetu:"普通"</v>
      </c>
      <c r="L480" t="str" cm="1">
        <f t="array" aca="1" ref="L480" ca="1">CONCATENATE(INDIRECT(ADDRESS(1,12,1,0,"KeySet"),0),":","""",valueMaker!L480,"""")</f>
        <v>kaninKengenWB:"有り"</v>
      </c>
      <c r="M480" t="str" cm="1">
        <f t="array" aca="1" ref="M480" ca="1">CONCATENATE(INDIRECT(ADDRESS(1,13,1,0,"KeySet"),0),":","""",valueMaker!M480,"""")</f>
        <v>wakibiri:"5%"</v>
      </c>
      <c r="N480" t="str" cm="1">
        <f t="array" aca="1" ref="N480" ca="1">CONCATENATE(INDIRECT(ADDRESS(1,14,1,0,"KeySet"),0),":","""",valueMaker!N480,"""")</f>
        <v>kaninKengenPoint:"有り"</v>
      </c>
      <c r="O480" t="str" cm="1">
        <f t="array" aca="1" ref="O480" ca="1">CONCATENATE(INDIRECT(ADDRESS(1,15,1,0,"KeySet"),0),":","""",valueMaker!O480,"""")</f>
        <v>point:"392"</v>
      </c>
      <c r="P480" t="str" cm="1">
        <f t="array" aca="1" ref="P480" ca="1">CONCATENATE(INDIRECT(ADDRESS(1,16,1,0,"KeySet"),0),":","""",valueMaker!P480,"""")</f>
        <v>bikou:""</v>
      </c>
    </row>
    <row r="481" spans="1:16">
      <c r="A481" t="str" cm="1">
        <f t="array" aca="1" ref="A481" ca="1">CONCATENATE(INDIRECT(ADDRESS(1,1,1,0,"KeySet"),0),":","""",valueMaker!A481,"""")</f>
        <v>kainBangou:"TD10480"</v>
      </c>
      <c r="B481" t="str" cm="1">
        <f t="array" aca="1" ref="B481" ca="1">CONCATENATE(INDIRECT(ADDRESS(1,2,1,0,"KeySet"),0),":","""",valueMaker!B481,"""")</f>
        <v>kainMeiKanji:"徐逸傲"</v>
      </c>
      <c r="C481" t="str" cm="1">
        <f t="array" aca="1" ref="C481" ca="1">CONCATENATE(INDIRECT(ADDRESS(1,3,1,0,"KeySet"),0),":","""",valueMaker!C481,"""")</f>
        <v>kainMeiKana:"ｼｭｲ ｲｰ ｱｵ"</v>
      </c>
      <c r="D481" t="str" cm="1">
        <f t="array" aca="1" ref="D481" ca="1">CONCATENATE(INDIRECT(ADDRESS(1,4,1,0,"KeySet"),0),":","""",valueMaker!D481,"""")</f>
        <v>kainMeiEn:"Xu Yi Ao"</v>
      </c>
      <c r="E481" t="str" cm="1">
        <f t="array" aca="1" ref="E481" ca="1">CONCATENATE(INDIRECT(ADDRESS(1,5,1,0,"KeySet"),0),":","""",valueMaker!E481,"""")</f>
        <v>kainGender:"男性"</v>
      </c>
      <c r="F481" t="str" cm="1">
        <f t="array" aca="1" ref="F481" ca="1">CONCATENATE(INDIRECT(ADDRESS(1,6,1,0,"KeySet"),0),":","""",TEXT(valueMaker!F481,"yyyy/m/d"),"""")</f>
        <v>tanjyoubi:"1962/1/21"</v>
      </c>
      <c r="G481" t="str" cm="1">
        <f t="array" aca="1" ref="G481" ca="1">CONCATENATE(INDIRECT(ADDRESS(1,6,1,0,"KeySet"),0),":","""",TEXT(valueMaker!G481,"yyyy/m/d"),"""")</f>
        <v>tanjyoubi:"1995/4/26"</v>
      </c>
      <c r="H481" t="str" cm="1">
        <f t="array" aca="1" ref="H481" ca="1">CONCATENATE(INDIRECT(ADDRESS(1,6,1,0,"KeySet"),0),":","""",TEXT(valueMaker!H481,"yyyy/m/d"),"""")</f>
        <v>tanjyoubi:"1997/4/25"</v>
      </c>
      <c r="I481" t="str" cm="1">
        <f t="array" aca="1" ref="I481" ca="1">CONCATENATE(INDIRECT(ADDRESS(1,9,1,0,"KeySet"),0),":","""",valueMaker!I481,"""")</f>
        <v>denwaBangou:"090-8847-8278"</v>
      </c>
      <c r="J481" t="str" cm="1">
        <f t="array" aca="1" ref="J481" ca="1">CONCATENATE(INDIRECT(ADDRESS(1,10,1,0,"KeySet"),0),":","""",valueMaker!J481,"""")</f>
        <v>mailAddress:"Xu_Yi_Ao_34815@outlook.jp.co"</v>
      </c>
      <c r="K481" t="str" cm="1">
        <f t="array" aca="1" ref="K481" ca="1">CONCATENATE(INDIRECT(ADDRESS(1,11,1,0,"KeySet"),0),":","""",valueMaker!K481,"""")</f>
        <v>kaninSyubetu:"普通"</v>
      </c>
      <c r="L481" t="str" cm="1">
        <f t="array" aca="1" ref="L481" ca="1">CONCATENATE(INDIRECT(ADDRESS(1,12,1,0,"KeySet"),0),":","""",valueMaker!L481,"""")</f>
        <v>kaninKengenWB:"有り"</v>
      </c>
      <c r="M481" t="str" cm="1">
        <f t="array" aca="1" ref="M481" ca="1">CONCATENATE(INDIRECT(ADDRESS(1,13,1,0,"KeySet"),0),":","""",valueMaker!M481,"""")</f>
        <v>wakibiri:"5%"</v>
      </c>
      <c r="N481" t="str" cm="1">
        <f t="array" aca="1" ref="N481" ca="1">CONCATENATE(INDIRECT(ADDRESS(1,14,1,0,"KeySet"),0),":","""",valueMaker!N481,"""")</f>
        <v>kaninKengenPoint:"-"</v>
      </c>
      <c r="O481" t="str" cm="1">
        <f t="array" aca="1" ref="O481" ca="1">CONCATENATE(INDIRECT(ADDRESS(1,15,1,0,"KeySet"),0),":","""",valueMaker!O481,"""")</f>
        <v>point:"-"</v>
      </c>
      <c r="P481" t="str" cm="1">
        <f t="array" aca="1" ref="P481" ca="1">CONCATENATE(INDIRECT(ADDRESS(1,16,1,0,"KeySet"),0),":","""",valueMaker!P481,"""")</f>
        <v>bikou:""</v>
      </c>
    </row>
    <row r="482" spans="1:16">
      <c r="A482" t="str" cm="1">
        <f t="array" aca="1" ref="A482" ca="1">CONCATENATE(INDIRECT(ADDRESS(1,1,1,0,"KeySet"),0),":","""",valueMaker!A482,"""")</f>
        <v>kainBangou:"TD10481"</v>
      </c>
      <c r="B482" t="str" cm="1">
        <f t="array" aca="1" ref="B482" ca="1">CONCATENATE(INDIRECT(ADDRESS(1,2,1,0,"KeySet"),0),":","""",valueMaker!B482,"""")</f>
        <v>kainMeiKanji:"楊聯頃"</v>
      </c>
      <c r="C482" t="str" cm="1">
        <f t="array" aca="1" ref="C482" ca="1">CONCATENATE(INDIRECT(ADDRESS(1,3,1,0,"KeySet"),0),":","""",valueMaker!C482,"""")</f>
        <v>kainMeiKana:"ﾔｰﾝ ﾘｴﾝ ﾁｰﾝ"</v>
      </c>
      <c r="D482" t="str" cm="1">
        <f t="array" aca="1" ref="D482" ca="1">CONCATENATE(INDIRECT(ADDRESS(1,4,1,0,"KeySet"),0),":","""",valueMaker!D482,"""")</f>
        <v>kainMeiEn:"Yang Lian Qing"</v>
      </c>
      <c r="E482" t="str" cm="1">
        <f t="array" aca="1" ref="E482" ca="1">CONCATENATE(INDIRECT(ADDRESS(1,5,1,0,"KeySet"),0),":","""",valueMaker!E482,"""")</f>
        <v>kainGender:"女性"</v>
      </c>
      <c r="F482" t="str" cm="1">
        <f t="array" aca="1" ref="F482" ca="1">CONCATENATE(INDIRECT(ADDRESS(1,6,1,0,"KeySet"),0),":","""",TEXT(valueMaker!F482,"yyyy/m/d"),"""")</f>
        <v>tanjyoubi:"1989/9/8"</v>
      </c>
      <c r="G482" t="str" cm="1">
        <f t="array" aca="1" ref="G482" ca="1">CONCATENATE(INDIRECT(ADDRESS(1,6,1,0,"KeySet"),0),":","""",TEXT(valueMaker!G482,"yyyy/m/d"),"""")</f>
        <v>tanjyoubi:"2020/3/11"</v>
      </c>
      <c r="H482" t="str" cm="1">
        <f t="array" aca="1" ref="H482" ca="1">CONCATENATE(INDIRECT(ADDRESS(1,6,1,0,"KeySet"),0),":","""",TEXT(valueMaker!H482,"yyyy/m/d"),"""")</f>
        <v>tanjyoubi:"2021/3/11"</v>
      </c>
      <c r="I482" t="str" cm="1">
        <f t="array" aca="1" ref="I482" ca="1">CONCATENATE(INDIRECT(ADDRESS(1,9,1,0,"KeySet"),0),":","""",valueMaker!I482,"""")</f>
        <v>denwaBangou:"080-0945-8660"</v>
      </c>
      <c r="J482" t="str" cm="1">
        <f t="array" aca="1" ref="J482" ca="1">CONCATENATE(INDIRECT(ADDRESS(1,10,1,0,"KeySet"),0),":","""",valueMaker!J482,"""")</f>
        <v>mailAddress:"Yang_Lian_Qing_43901@outlook.jp.co"</v>
      </c>
      <c r="K482" t="str" cm="1">
        <f t="array" aca="1" ref="K482" ca="1">CONCATENATE(INDIRECT(ADDRESS(1,11,1,0,"KeySet"),0),":","""",valueMaker!K482,"""")</f>
        <v>kaninSyubetu:"高級"</v>
      </c>
      <c r="L482" t="str" cm="1">
        <f t="array" aca="1" ref="L482" ca="1">CONCATENATE(INDIRECT(ADDRESS(1,12,1,0,"KeySet"),0),":","""",valueMaker!L482,"""")</f>
        <v>kaninKengenWB:"有り"</v>
      </c>
      <c r="M482" t="str" cm="1">
        <f t="array" aca="1" ref="M482" ca="1">CONCATENATE(INDIRECT(ADDRESS(1,13,1,0,"KeySet"),0),":","""",valueMaker!M482,"""")</f>
        <v>wakibiri:"10%"</v>
      </c>
      <c r="N482" t="str" cm="1">
        <f t="array" aca="1" ref="N482" ca="1">CONCATENATE(INDIRECT(ADDRESS(1,14,1,0,"KeySet"),0),":","""",valueMaker!N482,"""")</f>
        <v>kaninKengenPoint:"有り"</v>
      </c>
      <c r="O482" t="str" cm="1">
        <f t="array" aca="1" ref="O482" ca="1">CONCATENATE(INDIRECT(ADDRESS(1,15,1,0,"KeySet"),0),":","""",valueMaker!O482,"""")</f>
        <v>point:"599"</v>
      </c>
      <c r="P482" t="str" cm="1">
        <f t="array" aca="1" ref="P482" ca="1">CONCATENATE(INDIRECT(ADDRESS(1,16,1,0,"KeySet"),0),":","""",valueMaker!P482,"""")</f>
        <v>bikou:""</v>
      </c>
    </row>
    <row r="483" spans="1:16">
      <c r="A483" t="str" cm="1">
        <f t="array" aca="1" ref="A483" ca="1">CONCATENATE(INDIRECT(ADDRESS(1,1,1,0,"KeySet"),0),":","""",valueMaker!A483,"""")</f>
        <v>kainBangou:"TD10482"</v>
      </c>
      <c r="B483" t="str" cm="1">
        <f t="array" aca="1" ref="B483" ca="1">CONCATENATE(INDIRECT(ADDRESS(1,2,1,0,"KeySet"),0),":","""",valueMaker!B483,"""")</f>
        <v>kainMeiKanji:"王元壯"</v>
      </c>
      <c r="C483" t="str" cm="1">
        <f t="array" aca="1" ref="C483" ca="1">CONCATENATE(INDIRECT(ADDRESS(1,3,1,0,"KeySet"),0),":","""",valueMaker!C483,"""")</f>
        <v>kainMeiKana:"ﾜｰﾝ ﾕｴﾝ ｼﾞｭﾜｰﾝ"</v>
      </c>
      <c r="D483" t="str" cm="1">
        <f t="array" aca="1" ref="D483" ca="1">CONCATENATE(INDIRECT(ADDRESS(1,4,1,0,"KeySet"),0),":","""",valueMaker!D483,"""")</f>
        <v>kainMeiEn:"Wang Yuan Zhuang"</v>
      </c>
      <c r="E483" t="str" cm="1">
        <f t="array" aca="1" ref="E483" ca="1">CONCATENATE(INDIRECT(ADDRESS(1,5,1,0,"KeySet"),0),":","""",valueMaker!E483,"""")</f>
        <v>kainGender:"男性"</v>
      </c>
      <c r="F483" t="str" cm="1">
        <f t="array" aca="1" ref="F483" ca="1">CONCATENATE(INDIRECT(ADDRESS(1,6,1,0,"KeySet"),0),":","""",TEXT(valueMaker!F483,"yyyy/m/d"),"""")</f>
        <v>tanjyoubi:"1976/2/23"</v>
      </c>
      <c r="G483" t="str" cm="1">
        <f t="array" aca="1" ref="G483" ca="1">CONCATENATE(INDIRECT(ADDRESS(1,6,1,0,"KeySet"),0),":","""",TEXT(valueMaker!G483,"yyyy/m/d"),"""")</f>
        <v>tanjyoubi:"2021/12/11"</v>
      </c>
      <c r="H483" t="str" cm="1">
        <f t="array" aca="1" ref="H483" ca="1">CONCATENATE(INDIRECT(ADDRESS(1,6,1,0,"KeySet"),0),":","""",TEXT(valueMaker!H483,"yyyy/m/d"),"""")</f>
        <v>tanjyoubi:"2024/12/10"</v>
      </c>
      <c r="I483" t="str" cm="1">
        <f t="array" aca="1" ref="I483" ca="1">CONCATENATE(INDIRECT(ADDRESS(1,9,1,0,"KeySet"),0),":","""",valueMaker!I483,"""")</f>
        <v>denwaBangou:"090-9053-8320"</v>
      </c>
      <c r="J483" t="str" cm="1">
        <f t="array" aca="1" ref="J483" ca="1">CONCATENATE(INDIRECT(ADDRESS(1,10,1,0,"KeySet"),0),":","""",valueMaker!J483,"""")</f>
        <v>mailAddress:"Wang_Yuan_Zhuang_44541@outlook.jp.co"</v>
      </c>
      <c r="K483" t="str" cm="1">
        <f t="array" aca="1" ref="K483" ca="1">CONCATENATE(INDIRECT(ADDRESS(1,11,1,0,"KeySet"),0),":","""",valueMaker!K483,"""")</f>
        <v>kaninSyubetu:"高級"</v>
      </c>
      <c r="L483" t="str" cm="1">
        <f t="array" aca="1" ref="L483" ca="1">CONCATENATE(INDIRECT(ADDRESS(1,12,1,0,"KeySet"),0),":","""",valueMaker!L483,"""")</f>
        <v>kaninKengenWB:"有り"</v>
      </c>
      <c r="M483" t="str" cm="1">
        <f t="array" aca="1" ref="M483" ca="1">CONCATENATE(INDIRECT(ADDRESS(1,13,1,0,"KeySet"),0),":","""",valueMaker!M483,"""")</f>
        <v>wakibiri:"10%"</v>
      </c>
      <c r="N483" t="str" cm="1">
        <f t="array" aca="1" ref="N483" ca="1">CONCATENATE(INDIRECT(ADDRESS(1,14,1,0,"KeySet"),0),":","""",valueMaker!N483,"""")</f>
        <v>kaninKengenPoint:"有り"</v>
      </c>
      <c r="O483" t="str" cm="1">
        <f t="array" aca="1" ref="O483" ca="1">CONCATENATE(INDIRECT(ADDRESS(1,15,1,0,"KeySet"),0),":","""",valueMaker!O483,"""")</f>
        <v>point:"953"</v>
      </c>
      <c r="P483" t="str" cm="1">
        <f t="array" aca="1" ref="P483" ca="1">CONCATENATE(INDIRECT(ADDRESS(1,16,1,0,"KeySet"),0),":","""",valueMaker!P483,"""")</f>
        <v>bikou:""</v>
      </c>
    </row>
    <row r="484" spans="1:16">
      <c r="A484" t="str" cm="1">
        <f t="array" aca="1" ref="A484" ca="1">CONCATENATE(INDIRECT(ADDRESS(1,1,1,0,"KeySet"),0),":","""",valueMaker!A484,"""")</f>
        <v>kainBangou:"TD10483"</v>
      </c>
      <c r="B484" t="str" cm="1">
        <f t="array" aca="1" ref="B484" ca="1">CONCATENATE(INDIRECT(ADDRESS(1,2,1,0,"KeySet"),0),":","""",valueMaker!B484,"""")</f>
        <v>kainMeiKanji:"徐靜耿"</v>
      </c>
      <c r="C484" t="str" cm="1">
        <f t="array" aca="1" ref="C484" ca="1">CONCATENATE(INDIRECT(ADDRESS(1,3,1,0,"KeySet"),0),":","""",valueMaker!C484,"""")</f>
        <v>kainMeiKana:"ｼｭｲ ｼﾞｰﾝ ｸﾞｵﾝ"</v>
      </c>
      <c r="D484" t="str" cm="1">
        <f t="array" aca="1" ref="D484" ca="1">CONCATENATE(INDIRECT(ADDRESS(1,4,1,0,"KeySet"),0),":","""",valueMaker!D484,"""")</f>
        <v>kainMeiEn:"Xu Jing Geng"</v>
      </c>
      <c r="E484" t="str" cm="1">
        <f t="array" aca="1" ref="E484" ca="1">CONCATENATE(INDIRECT(ADDRESS(1,5,1,0,"KeySet"),0),":","""",valueMaker!E484,"""")</f>
        <v>kainGender:"女性"</v>
      </c>
      <c r="F484" t="str" cm="1">
        <f t="array" aca="1" ref="F484" ca="1">CONCATENATE(INDIRECT(ADDRESS(1,6,1,0,"KeySet"),0),":","""",TEXT(valueMaker!F484,"yyyy/m/d"),"""")</f>
        <v>tanjyoubi:"1960/7/1"</v>
      </c>
      <c r="G484" t="str" cm="1">
        <f t="array" aca="1" ref="G484" ca="1">CONCATENATE(INDIRECT(ADDRESS(1,6,1,0,"KeySet"),0),":","""",TEXT(valueMaker!G484,"yyyy/m/d"),"""")</f>
        <v>tanjyoubi:"2013/5/15"</v>
      </c>
      <c r="H484" t="str" cm="1">
        <f t="array" aca="1" ref="H484" ca="1">CONCATENATE(INDIRECT(ADDRESS(1,6,1,0,"KeySet"),0),":","""",TEXT(valueMaker!H484,"yyyy/m/d"),"""")</f>
        <v>tanjyoubi:"2016/5/14"</v>
      </c>
      <c r="I484" t="str" cm="1">
        <f t="array" aca="1" ref="I484" ca="1">CONCATENATE(INDIRECT(ADDRESS(1,9,1,0,"KeySet"),0),":","""",valueMaker!I484,"""")</f>
        <v>denwaBangou:"090-2537-5891"</v>
      </c>
      <c r="J484" t="str" cm="1">
        <f t="array" aca="1" ref="J484" ca="1">CONCATENATE(INDIRECT(ADDRESS(1,10,1,0,"KeySet"),0),":","""",valueMaker!J484,"""")</f>
        <v>mailAddress:"Xu_Jing_Geng_41409@outlook.jp.co"</v>
      </c>
      <c r="K484" t="str" cm="1">
        <f t="array" aca="1" ref="K484" ca="1">CONCATENATE(INDIRECT(ADDRESS(1,11,1,0,"KeySet"),0),":","""",valueMaker!K484,"""")</f>
        <v>kaninSyubetu:"普通"</v>
      </c>
      <c r="L484" t="str" cm="1">
        <f t="array" aca="1" ref="L484" ca="1">CONCATENATE(INDIRECT(ADDRESS(1,12,1,0,"KeySet"),0),":","""",valueMaker!L484,"""")</f>
        <v>kaninKengenWB:"有り"</v>
      </c>
      <c r="M484" t="str" cm="1">
        <f t="array" aca="1" ref="M484" ca="1">CONCATENATE(INDIRECT(ADDRESS(1,13,1,0,"KeySet"),0),":","""",valueMaker!M484,"""")</f>
        <v>wakibiri:"5%"</v>
      </c>
      <c r="N484" t="str" cm="1">
        <f t="array" aca="1" ref="N484" ca="1">CONCATENATE(INDIRECT(ADDRESS(1,14,1,0,"KeySet"),0),":","""",valueMaker!N484,"""")</f>
        <v>kaninKengenPoint:"有り"</v>
      </c>
      <c r="O484" t="str" cm="1">
        <f t="array" aca="1" ref="O484" ca="1">CONCATENATE(INDIRECT(ADDRESS(1,15,1,0,"KeySet"),0),":","""",valueMaker!O484,"""")</f>
        <v>point:"915"</v>
      </c>
      <c r="P484" t="str" cm="1">
        <f t="array" aca="1" ref="P484" ca="1">CONCATENATE(INDIRECT(ADDRESS(1,16,1,0,"KeySet"),0),":","""",valueMaker!P484,"""")</f>
        <v>bikou:""</v>
      </c>
    </row>
    <row r="485" spans="1:16">
      <c r="A485" t="str" cm="1">
        <f t="array" aca="1" ref="A485" ca="1">CONCATENATE(INDIRECT(ADDRESS(1,1,1,0,"KeySet"),0),":","""",valueMaker!A485,"""")</f>
        <v>kainBangou:"TD10484"</v>
      </c>
      <c r="B485" t="str" cm="1">
        <f t="array" aca="1" ref="B485" ca="1">CONCATENATE(INDIRECT(ADDRESS(1,2,1,0,"KeySet"),0),":","""",valueMaker!B485,"""")</f>
        <v>kainMeiKanji:"周虎傑"</v>
      </c>
      <c r="C485" t="str" cm="1">
        <f t="array" aca="1" ref="C485" ca="1">CONCATENATE(INDIRECT(ADDRESS(1,3,1,0,"KeySet"),0),":","""",valueMaker!C485,"""")</f>
        <v>kainMeiKana:"ｼﾞｮｳ ﾎｩ ｼﾞｴ"</v>
      </c>
      <c r="D485" t="str" cm="1">
        <f t="array" aca="1" ref="D485" ca="1">CONCATENATE(INDIRECT(ADDRESS(1,4,1,0,"KeySet"),0),":","""",valueMaker!D485,"""")</f>
        <v>kainMeiEn:"Zhou Hu Jie"</v>
      </c>
      <c r="E485" t="str" cm="1">
        <f t="array" aca="1" ref="E485" ca="1">CONCATENATE(INDIRECT(ADDRESS(1,5,1,0,"KeySet"),0),":","""",valueMaker!E485,"""")</f>
        <v>kainGender:"女性"</v>
      </c>
      <c r="F485" t="str" cm="1">
        <f t="array" aca="1" ref="F485" ca="1">CONCATENATE(INDIRECT(ADDRESS(1,6,1,0,"KeySet"),0),":","""",TEXT(valueMaker!F485,"yyyy/m/d"),"""")</f>
        <v>tanjyoubi:"1961/11/3"</v>
      </c>
      <c r="G485" t="str" cm="1">
        <f t="array" aca="1" ref="G485" ca="1">CONCATENATE(INDIRECT(ADDRESS(1,6,1,0,"KeySet"),0),":","""",TEXT(valueMaker!G485,"yyyy/m/d"),"""")</f>
        <v>tanjyoubi:"2005/6/4"</v>
      </c>
      <c r="H485" t="str" cm="1">
        <f t="array" aca="1" ref="H485" ca="1">CONCATENATE(INDIRECT(ADDRESS(1,6,1,0,"KeySet"),0),":","""",TEXT(valueMaker!H485,"yyyy/m/d"),"""")</f>
        <v>tanjyoubi:"2006/6/4"</v>
      </c>
      <c r="I485" t="str" cm="1">
        <f t="array" aca="1" ref="I485" ca="1">CONCATENATE(INDIRECT(ADDRESS(1,9,1,0,"KeySet"),0),":","""",valueMaker!I485,"""")</f>
        <v>denwaBangou:"080-8376-3457"</v>
      </c>
      <c r="J485" t="str" cm="1">
        <f t="array" aca="1" ref="J485" ca="1">CONCATENATE(INDIRECT(ADDRESS(1,10,1,0,"KeySet"),0),":","""",valueMaker!J485,"""")</f>
        <v>mailAddress:"Zhou_Hu_Jie_38507@outlook.jp.co"</v>
      </c>
      <c r="K485" t="str" cm="1">
        <f t="array" aca="1" ref="K485" ca="1">CONCATENATE(INDIRECT(ADDRESS(1,11,1,0,"KeySet"),0),":","""",valueMaker!K485,"""")</f>
        <v>kaninSyubetu:"高級"</v>
      </c>
      <c r="L485" t="str" cm="1">
        <f t="array" aca="1" ref="L485" ca="1">CONCATENATE(INDIRECT(ADDRESS(1,12,1,0,"KeySet"),0),":","""",valueMaker!L485,"""")</f>
        <v>kaninKengenWB:"-"</v>
      </c>
      <c r="M485" t="str" cm="1">
        <f t="array" aca="1" ref="M485" ca="1">CONCATENATE(INDIRECT(ADDRESS(1,13,1,0,"KeySet"),0),":","""",valueMaker!M485,"""")</f>
        <v>wakibiri:"-"</v>
      </c>
      <c r="N485" t="str" cm="1">
        <f t="array" aca="1" ref="N485" ca="1">CONCATENATE(INDIRECT(ADDRESS(1,14,1,0,"KeySet"),0),":","""",valueMaker!N485,"""")</f>
        <v>kaninKengenPoint:"有り"</v>
      </c>
      <c r="O485" t="str" cm="1">
        <f t="array" aca="1" ref="O485" ca="1">CONCATENATE(INDIRECT(ADDRESS(1,15,1,0,"KeySet"),0),":","""",valueMaker!O485,"""")</f>
        <v>point:"644"</v>
      </c>
      <c r="P485" t="str" cm="1">
        <f t="array" aca="1" ref="P485" ca="1">CONCATENATE(INDIRECT(ADDRESS(1,16,1,0,"KeySet"),0),":","""",valueMaker!P485,"""")</f>
        <v>bikou:""</v>
      </c>
    </row>
    <row r="486" spans="1:16">
      <c r="A486" t="str" cm="1">
        <f t="array" aca="1" ref="A486" ca="1">CONCATENATE(INDIRECT(ADDRESS(1,1,1,0,"KeySet"),0),":","""",valueMaker!A486,"""")</f>
        <v>kainBangou:"TD10485"</v>
      </c>
      <c r="B486" t="str" cm="1">
        <f t="array" aca="1" ref="B486" ca="1">CONCATENATE(INDIRECT(ADDRESS(1,2,1,0,"KeySet"),0),":","""",valueMaker!B486,"""")</f>
        <v>kainMeiKanji:"鄭耿雙"</v>
      </c>
      <c r="C486" t="str" cm="1">
        <f t="array" aca="1" ref="C486" ca="1">CONCATENATE(INDIRECT(ADDRESS(1,3,1,0,"KeySet"),0),":","""",valueMaker!C486,"""")</f>
        <v>kainMeiKana:"ｼﾞｭﾖﾝ ｸﾞｵﾝ ｼｭﾜｰﾝ"</v>
      </c>
      <c r="D486" t="str" cm="1">
        <f t="array" aca="1" ref="D486" ca="1">CONCATENATE(INDIRECT(ADDRESS(1,4,1,0,"KeySet"),0),":","""",valueMaker!D486,"""")</f>
        <v>kainMeiEn:"Zheng Geng Shuang"</v>
      </c>
      <c r="E486" t="str" cm="1">
        <f t="array" aca="1" ref="E486" ca="1">CONCATENATE(INDIRECT(ADDRESS(1,5,1,0,"KeySet"),0),":","""",valueMaker!E486,"""")</f>
        <v>kainGender:"女性"</v>
      </c>
      <c r="F486" t="str" cm="1">
        <f t="array" aca="1" ref="F486" ca="1">CONCATENATE(INDIRECT(ADDRESS(1,6,1,0,"KeySet"),0),":","""",TEXT(valueMaker!F486,"yyyy/m/d"),"""")</f>
        <v>tanjyoubi:"1966/9/2"</v>
      </c>
      <c r="G486" t="str" cm="1">
        <f t="array" aca="1" ref="G486" ca="1">CONCATENATE(INDIRECT(ADDRESS(1,6,1,0,"KeySet"),0),":","""",TEXT(valueMaker!G486,"yyyy/m/d"),"""")</f>
        <v>tanjyoubi:"2017/3/24"</v>
      </c>
      <c r="H486" t="str" cm="1">
        <f t="array" aca="1" ref="H486" ca="1">CONCATENATE(INDIRECT(ADDRESS(1,6,1,0,"KeySet"),0),":","""",TEXT(valueMaker!H486,"yyyy/m/d"),"""")</f>
        <v>tanjyoubi:"2018/3/24"</v>
      </c>
      <c r="I486" t="str" cm="1">
        <f t="array" aca="1" ref="I486" ca="1">CONCATENATE(INDIRECT(ADDRESS(1,9,1,0,"KeySet"),0),":","""",valueMaker!I486,"""")</f>
        <v>denwaBangou:"080-0299-0319"</v>
      </c>
      <c r="J486" t="str" cm="1">
        <f t="array" aca="1" ref="J486" ca="1">CONCATENATE(INDIRECT(ADDRESS(1,10,1,0,"KeySet"),0),":","""",valueMaker!J486,"""")</f>
        <v>mailAddress:"Zheng_Geng_Shuang_42818@outlook.jp.co"</v>
      </c>
      <c r="K486" t="str" cm="1">
        <f t="array" aca="1" ref="K486" ca="1">CONCATENATE(INDIRECT(ADDRESS(1,11,1,0,"KeySet"),0),":","""",valueMaker!K486,"""")</f>
        <v>kaninSyubetu:"普通"</v>
      </c>
      <c r="L486" t="str" cm="1">
        <f t="array" aca="1" ref="L486" ca="1">CONCATENATE(INDIRECT(ADDRESS(1,12,1,0,"KeySet"),0),":","""",valueMaker!L486,"""")</f>
        <v>kaninKengenWB:"有り"</v>
      </c>
      <c r="M486" t="str" cm="1">
        <f t="array" aca="1" ref="M486" ca="1">CONCATENATE(INDIRECT(ADDRESS(1,13,1,0,"KeySet"),0),":","""",valueMaker!M486,"""")</f>
        <v>wakibiri:"5%"</v>
      </c>
      <c r="N486" t="str" cm="1">
        <f t="array" aca="1" ref="N486" ca="1">CONCATENATE(INDIRECT(ADDRESS(1,14,1,0,"KeySet"),0),":","""",valueMaker!N486,"""")</f>
        <v>kaninKengenPoint:"有り"</v>
      </c>
      <c r="O486" t="str" cm="1">
        <f t="array" aca="1" ref="O486" ca="1">CONCATENATE(INDIRECT(ADDRESS(1,15,1,0,"KeySet"),0),":","""",valueMaker!O486,"""")</f>
        <v>point:"73"</v>
      </c>
      <c r="P486" t="str" cm="1">
        <f t="array" aca="1" ref="P486" ca="1">CONCATENATE(INDIRECT(ADDRESS(1,16,1,0,"KeySet"),0),":","""",valueMaker!P486,"""")</f>
        <v>bikou:""</v>
      </c>
    </row>
    <row r="487" spans="1:16">
      <c r="A487" t="str" cm="1">
        <f t="array" aca="1" ref="A487" ca="1">CONCATENATE(INDIRECT(ADDRESS(1,1,1,0,"KeySet"),0),":","""",valueMaker!A487,"""")</f>
        <v>kainBangou:"TD10486"</v>
      </c>
      <c r="B487" t="str" cm="1">
        <f t="array" aca="1" ref="B487" ca="1">CONCATENATE(INDIRECT(ADDRESS(1,2,1,0,"KeySet"),0),":","""",valueMaker!B487,"""")</f>
        <v>kainMeiKanji:"宋菡晨"</v>
      </c>
      <c r="C487" t="str" cm="1">
        <f t="array" aca="1" ref="C487" ca="1">CONCATENATE(INDIRECT(ADDRESS(1,3,1,0,"KeySet"),0),":","""",valueMaker!C487,"""")</f>
        <v>kainMeiKana:"ｿｰﾝ ﾊﾝ ﾁｪﾝ"</v>
      </c>
      <c r="D487" t="str" cm="1">
        <f t="array" aca="1" ref="D487" ca="1">CONCATENATE(INDIRECT(ADDRESS(1,4,1,0,"KeySet"),0),":","""",valueMaker!D487,"""")</f>
        <v>kainMeiEn:"Song Han Chen"</v>
      </c>
      <c r="E487" t="str" cm="1">
        <f t="array" aca="1" ref="E487" ca="1">CONCATENATE(INDIRECT(ADDRESS(1,5,1,0,"KeySet"),0),":","""",valueMaker!E487,"""")</f>
        <v>kainGender:"女性"</v>
      </c>
      <c r="F487" t="str" cm="1">
        <f t="array" aca="1" ref="F487" ca="1">CONCATENATE(INDIRECT(ADDRESS(1,6,1,0,"KeySet"),0),":","""",TEXT(valueMaker!F487,"yyyy/m/d"),"""")</f>
        <v>tanjyoubi:"2005/7/10"</v>
      </c>
      <c r="G487" t="str" cm="1">
        <f t="array" aca="1" ref="G487" ca="1">CONCATENATE(INDIRECT(ADDRESS(1,6,1,0,"KeySet"),0),":","""",TEXT(valueMaker!G487,"yyyy/m/d"),"""")</f>
        <v>tanjyoubi:"2023/8/11"</v>
      </c>
      <c r="H487" t="str" cm="1">
        <f t="array" aca="1" ref="H487" ca="1">CONCATENATE(INDIRECT(ADDRESS(1,6,1,0,"KeySet"),0),":","""",TEXT(valueMaker!H487,"yyyy/m/d"),"""")</f>
        <v>tanjyoubi:"2024/8/10"</v>
      </c>
      <c r="I487" t="str" cm="1">
        <f t="array" aca="1" ref="I487" ca="1">CONCATENATE(INDIRECT(ADDRESS(1,9,1,0,"KeySet"),0),":","""",valueMaker!I487,"""")</f>
        <v>denwaBangou:"090-7783-6541"</v>
      </c>
      <c r="J487" t="str" cm="1">
        <f t="array" aca="1" ref="J487" ca="1">CONCATENATE(INDIRECT(ADDRESS(1,10,1,0,"KeySet"),0),":","""",valueMaker!J487,"""")</f>
        <v>mailAddress:"Song_Han_Chen_45149@outlook.jp.co"</v>
      </c>
      <c r="K487" t="str" cm="1">
        <f t="array" aca="1" ref="K487" ca="1">CONCATENATE(INDIRECT(ADDRESS(1,11,1,0,"KeySet"),0),":","""",valueMaker!K487,"""")</f>
        <v>kaninSyubetu:"普通"</v>
      </c>
      <c r="L487" t="str" cm="1">
        <f t="array" aca="1" ref="L487" ca="1">CONCATENATE(INDIRECT(ADDRESS(1,12,1,0,"KeySet"),0),":","""",valueMaker!L487,"""")</f>
        <v>kaninKengenWB:"有り"</v>
      </c>
      <c r="M487" t="str" cm="1">
        <f t="array" aca="1" ref="M487" ca="1">CONCATENATE(INDIRECT(ADDRESS(1,13,1,0,"KeySet"),0),":","""",valueMaker!M487,"""")</f>
        <v>wakibiri:"5%"</v>
      </c>
      <c r="N487" t="str" cm="1">
        <f t="array" aca="1" ref="N487" ca="1">CONCATENATE(INDIRECT(ADDRESS(1,14,1,0,"KeySet"),0),":","""",valueMaker!N487,"""")</f>
        <v>kaninKengenPoint:"-"</v>
      </c>
      <c r="O487" t="str" cm="1">
        <f t="array" aca="1" ref="O487" ca="1">CONCATENATE(INDIRECT(ADDRESS(1,15,1,0,"KeySet"),0),":","""",valueMaker!O487,"""")</f>
        <v>point:"-"</v>
      </c>
      <c r="P487" t="str" cm="1">
        <f t="array" aca="1" ref="P487" ca="1">CONCATENATE(INDIRECT(ADDRESS(1,16,1,0,"KeySet"),0),":","""",valueMaker!P487,"""")</f>
        <v>bikou:""</v>
      </c>
    </row>
    <row r="488" spans="1:16">
      <c r="A488" t="str" cm="1">
        <f t="array" aca="1" ref="A488" ca="1">CONCATENATE(INDIRECT(ADDRESS(1,1,1,0,"KeySet"),0),":","""",valueMaker!A488,"""")</f>
        <v>kainBangou:"TD10487"</v>
      </c>
      <c r="B488" t="str" cm="1">
        <f t="array" aca="1" ref="B488" ca="1">CONCATENATE(INDIRECT(ADDRESS(1,2,1,0,"KeySet"),0),":","""",valueMaker!B488,"""")</f>
        <v>kainMeiKanji:"朱心璟"</v>
      </c>
      <c r="C488" t="str" cm="1">
        <f t="array" aca="1" ref="C488" ca="1">CONCATENATE(INDIRECT(ADDRESS(1,3,1,0,"KeySet"),0),":","""",valueMaker!C488,"""")</f>
        <v>kainMeiKana:"ｼﾞｭｳ ｼﾝ ｼﾞｰﾝ"</v>
      </c>
      <c r="D488" t="str" cm="1">
        <f t="array" aca="1" ref="D488" ca="1">CONCATENATE(INDIRECT(ADDRESS(1,4,1,0,"KeySet"),0),":","""",valueMaker!D488,"""")</f>
        <v>kainMeiEn:"Zhu Xin Jing"</v>
      </c>
      <c r="E488" t="str" cm="1">
        <f t="array" aca="1" ref="E488" ca="1">CONCATENATE(INDIRECT(ADDRESS(1,5,1,0,"KeySet"),0),":","""",valueMaker!E488,"""")</f>
        <v>kainGender:"男性"</v>
      </c>
      <c r="F488" t="str" cm="1">
        <f t="array" aca="1" ref="F488" ca="1">CONCATENATE(INDIRECT(ADDRESS(1,6,1,0,"KeySet"),0),":","""",TEXT(valueMaker!F488,"yyyy/m/d"),"""")</f>
        <v>tanjyoubi:"1975/9/12"</v>
      </c>
      <c r="G488" t="str" cm="1">
        <f t="array" aca="1" ref="G488" ca="1">CONCATENATE(INDIRECT(ADDRESS(1,6,1,0,"KeySet"),0),":","""",TEXT(valueMaker!G488,"yyyy/m/d"),"""")</f>
        <v>tanjyoubi:"2024/3/29"</v>
      </c>
      <c r="H488" t="str" cm="1">
        <f t="array" aca="1" ref="H488" ca="1">CONCATENATE(INDIRECT(ADDRESS(1,6,1,0,"KeySet"),0),":","""",TEXT(valueMaker!H488,"yyyy/m/d"),"""")</f>
        <v>tanjyoubi:"2026/3/29"</v>
      </c>
      <c r="I488" t="str" cm="1">
        <f t="array" aca="1" ref="I488" ca="1">CONCATENATE(INDIRECT(ADDRESS(1,9,1,0,"KeySet"),0),":","""",valueMaker!I488,"""")</f>
        <v>denwaBangou:"080-7047-2602"</v>
      </c>
      <c r="J488" t="str" cm="1">
        <f t="array" aca="1" ref="J488" ca="1">CONCATENATE(INDIRECT(ADDRESS(1,10,1,0,"KeySet"),0),":","""",valueMaker!J488,"""")</f>
        <v>mailAddress:"Zhu_Xin_Jing_45380@outlook.jp.co"</v>
      </c>
      <c r="K488" t="str" cm="1">
        <f t="array" aca="1" ref="K488" ca="1">CONCATENATE(INDIRECT(ADDRESS(1,11,1,0,"KeySet"),0),":","""",valueMaker!K488,"""")</f>
        <v>kaninSyubetu:"普通"</v>
      </c>
      <c r="L488" t="str" cm="1">
        <f t="array" aca="1" ref="L488" ca="1">CONCATENATE(INDIRECT(ADDRESS(1,12,1,0,"KeySet"),0),":","""",valueMaker!L488,"""")</f>
        <v>kaninKengenWB:"有り"</v>
      </c>
      <c r="M488" t="str" cm="1">
        <f t="array" aca="1" ref="M488" ca="1">CONCATENATE(INDIRECT(ADDRESS(1,13,1,0,"KeySet"),0),":","""",valueMaker!M488,"""")</f>
        <v>wakibiri:"5%"</v>
      </c>
      <c r="N488" t="str" cm="1">
        <f t="array" aca="1" ref="N488" ca="1">CONCATENATE(INDIRECT(ADDRESS(1,14,1,0,"KeySet"),0),":","""",valueMaker!N488,"""")</f>
        <v>kaninKengenPoint:"有り"</v>
      </c>
      <c r="O488" t="str" cm="1">
        <f t="array" aca="1" ref="O488" ca="1">CONCATENATE(INDIRECT(ADDRESS(1,15,1,0,"KeySet"),0),":","""",valueMaker!O488,"""")</f>
        <v>point:"529"</v>
      </c>
      <c r="P488" t="str" cm="1">
        <f t="array" aca="1" ref="P488" ca="1">CONCATENATE(INDIRECT(ADDRESS(1,16,1,0,"KeySet"),0),":","""",valueMaker!P488,"""")</f>
        <v>bikou:""</v>
      </c>
    </row>
    <row r="489" spans="1:16">
      <c r="A489" t="str" cm="1">
        <f t="array" aca="1" ref="A489" ca="1">CONCATENATE(INDIRECT(ADDRESS(1,1,1,0,"KeySet"),0),":","""",valueMaker!A489,"""")</f>
        <v>kainBangou:"TD10488"</v>
      </c>
      <c r="B489" t="str" cm="1">
        <f t="array" aca="1" ref="B489" ca="1">CONCATENATE(INDIRECT(ADDRESS(1,2,1,0,"KeySet"),0),":","""",valueMaker!B489,"""")</f>
        <v>kainMeiKanji:"趙憶捷"</v>
      </c>
      <c r="C489" t="str" cm="1">
        <f t="array" aca="1" ref="C489" ca="1">CONCATENATE(INDIRECT(ADDRESS(1,3,1,0,"KeySet"),0),":","""",valueMaker!C489,"""")</f>
        <v>kainMeiKana:"ｼﾞｬｵ ｲｰ ｼﾞｴ"</v>
      </c>
      <c r="D489" t="str" cm="1">
        <f t="array" aca="1" ref="D489" ca="1">CONCATENATE(INDIRECT(ADDRESS(1,4,1,0,"KeySet"),0),":","""",valueMaker!D489,"""")</f>
        <v>kainMeiEn:"Zhao Yi Jie"</v>
      </c>
      <c r="E489" t="str" cm="1">
        <f t="array" aca="1" ref="E489" ca="1">CONCATENATE(INDIRECT(ADDRESS(1,5,1,0,"KeySet"),0),":","""",valueMaker!E489,"""")</f>
        <v>kainGender:"女性"</v>
      </c>
      <c r="F489" t="str" cm="1">
        <f t="array" aca="1" ref="F489" ca="1">CONCATENATE(INDIRECT(ADDRESS(1,6,1,0,"KeySet"),0),":","""",TEXT(valueMaker!F489,"yyyy/m/d"),"""")</f>
        <v>tanjyoubi:"1973/11/20"</v>
      </c>
      <c r="G489" t="str" cm="1">
        <f t="array" aca="1" ref="G489" ca="1">CONCATENATE(INDIRECT(ADDRESS(1,6,1,0,"KeySet"),0),":","""",TEXT(valueMaker!G489,"yyyy/m/d"),"""")</f>
        <v>tanjyoubi:"1998/10/6"</v>
      </c>
      <c r="H489" t="str" cm="1">
        <f t="array" aca="1" ref="H489" ca="1">CONCATENATE(INDIRECT(ADDRESS(1,6,1,0,"KeySet"),0),":","""",TEXT(valueMaker!H489,"yyyy/m/d"),"""")</f>
        <v>tanjyoubi:"1999/10/6"</v>
      </c>
      <c r="I489" t="str" cm="1">
        <f t="array" aca="1" ref="I489" ca="1">CONCATENATE(INDIRECT(ADDRESS(1,9,1,0,"KeySet"),0),":","""",valueMaker!I489,"""")</f>
        <v>denwaBangou:"090-8899-7679"</v>
      </c>
      <c r="J489" t="str" cm="1">
        <f t="array" aca="1" ref="J489" ca="1">CONCATENATE(INDIRECT(ADDRESS(1,10,1,0,"KeySet"),0),":","""",valueMaker!J489,"""")</f>
        <v>mailAddress:"Zhao_Yi_Jie_36074@outlook.jp.co"</v>
      </c>
      <c r="K489" t="str" cm="1">
        <f t="array" aca="1" ref="K489" ca="1">CONCATENATE(INDIRECT(ADDRESS(1,11,1,0,"KeySet"),0),":","""",valueMaker!K489,"""")</f>
        <v>kaninSyubetu:"高級"</v>
      </c>
      <c r="L489" t="str" cm="1">
        <f t="array" aca="1" ref="L489" ca="1">CONCATENATE(INDIRECT(ADDRESS(1,12,1,0,"KeySet"),0),":","""",valueMaker!L489,"""")</f>
        <v>kaninKengenWB:"-"</v>
      </c>
      <c r="M489" t="str" cm="1">
        <f t="array" aca="1" ref="M489" ca="1">CONCATENATE(INDIRECT(ADDRESS(1,13,1,0,"KeySet"),0),":","""",valueMaker!M489,"""")</f>
        <v>wakibiri:"-"</v>
      </c>
      <c r="N489" t="str" cm="1">
        <f t="array" aca="1" ref="N489" ca="1">CONCATENATE(INDIRECT(ADDRESS(1,14,1,0,"KeySet"),0),":","""",valueMaker!N489,"""")</f>
        <v>kaninKengenPoint:"-"</v>
      </c>
      <c r="O489" t="str" cm="1">
        <f t="array" aca="1" ref="O489" ca="1">CONCATENATE(INDIRECT(ADDRESS(1,15,1,0,"KeySet"),0),":","""",valueMaker!O489,"""")</f>
        <v>point:"-"</v>
      </c>
      <c r="P489" t="str" cm="1">
        <f t="array" aca="1" ref="P489" ca="1">CONCATENATE(INDIRECT(ADDRESS(1,16,1,0,"KeySet"),0),":","""",valueMaker!P489,"""")</f>
        <v>bikou:""</v>
      </c>
    </row>
    <row r="490" spans="1:16">
      <c r="A490" t="str" cm="1">
        <f t="array" aca="1" ref="A490" ca="1">CONCATENATE(INDIRECT(ADDRESS(1,1,1,0,"KeySet"),0),":","""",valueMaker!A490,"""")</f>
        <v>kainBangou:"TD10489"</v>
      </c>
      <c r="B490" t="str" cm="1">
        <f t="array" aca="1" ref="B490" ca="1">CONCATENATE(INDIRECT(ADDRESS(1,2,1,0,"KeySet"),0),":","""",valueMaker!B490,"""")</f>
        <v>kainMeiKanji:"謝冠複"</v>
      </c>
      <c r="C490" t="str" cm="1">
        <f t="array" aca="1" ref="C490" ca="1">CONCATENATE(INDIRECT(ADDRESS(1,3,1,0,"KeySet"),0),":","""",valueMaker!C490,"""")</f>
        <v>kainMeiKana:"ｼｴ ｸﾞﾜﾝ ﾌｩ"</v>
      </c>
      <c r="D490" t="str" cm="1">
        <f t="array" aca="1" ref="D490" ca="1">CONCATENATE(INDIRECT(ADDRESS(1,4,1,0,"KeySet"),0),":","""",valueMaker!D490,"""")</f>
        <v>kainMeiEn:"Xie Guan Fu"</v>
      </c>
      <c r="E490" t="str" cm="1">
        <f t="array" aca="1" ref="E490" ca="1">CONCATENATE(INDIRECT(ADDRESS(1,5,1,0,"KeySet"),0),":","""",valueMaker!E490,"""")</f>
        <v>kainGender:"女性"</v>
      </c>
      <c r="F490" t="str" cm="1">
        <f t="array" aca="1" ref="F490" ca="1">CONCATENATE(INDIRECT(ADDRESS(1,6,1,0,"KeySet"),0),":","""",TEXT(valueMaker!F490,"yyyy/m/d"),"""")</f>
        <v>tanjyoubi:"1963/6/27"</v>
      </c>
      <c r="G490" t="str" cm="1">
        <f t="array" aca="1" ref="G490" ca="1">CONCATENATE(INDIRECT(ADDRESS(1,6,1,0,"KeySet"),0),":","""",TEXT(valueMaker!G490,"yyyy/m/d"),"""")</f>
        <v>tanjyoubi:"2015/2/9"</v>
      </c>
      <c r="H490" t="str" cm="1">
        <f t="array" aca="1" ref="H490" ca="1">CONCATENATE(INDIRECT(ADDRESS(1,6,1,0,"KeySet"),0),":","""",TEXT(valueMaker!H490,"yyyy/m/d"),"""")</f>
        <v>tanjyoubi:"2016/2/9"</v>
      </c>
      <c r="I490" t="str" cm="1">
        <f t="array" aca="1" ref="I490" ca="1">CONCATENATE(INDIRECT(ADDRESS(1,9,1,0,"KeySet"),0),":","""",valueMaker!I490,"""")</f>
        <v>denwaBangou:"080-9794-1615"</v>
      </c>
      <c r="J490" t="str" cm="1">
        <f t="array" aca="1" ref="J490" ca="1">CONCATENATE(INDIRECT(ADDRESS(1,10,1,0,"KeySet"),0),":","""",valueMaker!J490,"""")</f>
        <v>mailAddress:"Xie_Guan_Fu_42044@outlook.jp.co"</v>
      </c>
      <c r="K490" t="str" cm="1">
        <f t="array" aca="1" ref="K490" ca="1">CONCATENATE(INDIRECT(ADDRESS(1,11,1,0,"KeySet"),0),":","""",valueMaker!K490,"""")</f>
        <v>kaninSyubetu:"高級"</v>
      </c>
      <c r="L490" t="str" cm="1">
        <f t="array" aca="1" ref="L490" ca="1">CONCATENATE(INDIRECT(ADDRESS(1,12,1,0,"KeySet"),0),":","""",valueMaker!L490,"""")</f>
        <v>kaninKengenWB:"有り"</v>
      </c>
      <c r="M490" t="str" cm="1">
        <f t="array" aca="1" ref="M490" ca="1">CONCATENATE(INDIRECT(ADDRESS(1,13,1,0,"KeySet"),0),":","""",valueMaker!M490,"""")</f>
        <v>wakibiri:"10%"</v>
      </c>
      <c r="N490" t="str" cm="1">
        <f t="array" aca="1" ref="N490" ca="1">CONCATENATE(INDIRECT(ADDRESS(1,14,1,0,"KeySet"),0),":","""",valueMaker!N490,"""")</f>
        <v>kaninKengenPoint:"-"</v>
      </c>
      <c r="O490" t="str" cm="1">
        <f t="array" aca="1" ref="O490" ca="1">CONCATENATE(INDIRECT(ADDRESS(1,15,1,0,"KeySet"),0),":","""",valueMaker!O490,"""")</f>
        <v>point:"-"</v>
      </c>
      <c r="P490" t="str" cm="1">
        <f t="array" aca="1" ref="P490" ca="1">CONCATENATE(INDIRECT(ADDRESS(1,16,1,0,"KeySet"),0),":","""",valueMaker!P490,"""")</f>
        <v>bikou:""</v>
      </c>
    </row>
    <row r="491" spans="1:16">
      <c r="A491" t="str" cm="1">
        <f t="array" aca="1" ref="A491" ca="1">CONCATENATE(INDIRECT(ADDRESS(1,1,1,0,"KeySet"),0),":","""",valueMaker!A491,"""")</f>
        <v>kainBangou:"TD10490"</v>
      </c>
      <c r="B491" t="str" cm="1">
        <f t="array" aca="1" ref="B491" ca="1">CONCATENATE(INDIRECT(ADDRESS(1,2,1,0,"KeySet"),0),":","""",valueMaker!B491,"""")</f>
        <v>kainMeiKanji:"徐旋衡"</v>
      </c>
      <c r="C491" t="str" cm="1">
        <f t="array" aca="1" ref="C491" ca="1">CONCATENATE(INDIRECT(ADDRESS(1,3,1,0,"KeySet"),0),":","""",valueMaker!C491,"""")</f>
        <v>kainMeiKana:"ｼｭｲ ｼｭｴﾝ ﾎｩｵﾝ"</v>
      </c>
      <c r="D491" t="str" cm="1">
        <f t="array" aca="1" ref="D491" ca="1">CONCATENATE(INDIRECT(ADDRESS(1,4,1,0,"KeySet"),0),":","""",valueMaker!D491,"""")</f>
        <v>kainMeiEn:"Xu Xuan Heng"</v>
      </c>
      <c r="E491" t="str" cm="1">
        <f t="array" aca="1" ref="E491" ca="1">CONCATENATE(INDIRECT(ADDRESS(1,5,1,0,"KeySet"),0),":","""",valueMaker!E491,"""")</f>
        <v>kainGender:"男性"</v>
      </c>
      <c r="F491" t="str" cm="1">
        <f t="array" aca="1" ref="F491" ca="1">CONCATENATE(INDIRECT(ADDRESS(1,6,1,0,"KeySet"),0),":","""",TEXT(valueMaker!F491,"yyyy/m/d"),"""")</f>
        <v>tanjyoubi:"1982/3/9"</v>
      </c>
      <c r="G491" t="str" cm="1">
        <f t="array" aca="1" ref="G491" ca="1">CONCATENATE(INDIRECT(ADDRESS(1,6,1,0,"KeySet"),0),":","""",TEXT(valueMaker!G491,"yyyy/m/d"),"""")</f>
        <v>tanjyoubi:"2009/9/5"</v>
      </c>
      <c r="H491" t="str" cm="1">
        <f t="array" aca="1" ref="H491" ca="1">CONCATENATE(INDIRECT(ADDRESS(1,6,1,0,"KeySet"),0),":","""",TEXT(valueMaker!H491,"yyyy/m/d"),"""")</f>
        <v>tanjyoubi:"2011/9/5"</v>
      </c>
      <c r="I491" t="str" cm="1">
        <f t="array" aca="1" ref="I491" ca="1">CONCATENATE(INDIRECT(ADDRESS(1,9,1,0,"KeySet"),0),":","""",valueMaker!I491,"""")</f>
        <v>denwaBangou:"080-8683-4745"</v>
      </c>
      <c r="J491" t="str" cm="1">
        <f t="array" aca="1" ref="J491" ca="1">CONCATENATE(INDIRECT(ADDRESS(1,10,1,0,"KeySet"),0),":","""",valueMaker!J491,"""")</f>
        <v>mailAddress:"Xu_Xuan_Heng_40061@outlook.jp.co"</v>
      </c>
      <c r="K491" t="str" cm="1">
        <f t="array" aca="1" ref="K491" ca="1">CONCATENATE(INDIRECT(ADDRESS(1,11,1,0,"KeySet"),0),":","""",valueMaker!K491,"""")</f>
        <v>kaninSyubetu:"高級"</v>
      </c>
      <c r="L491" t="str" cm="1">
        <f t="array" aca="1" ref="L491" ca="1">CONCATENATE(INDIRECT(ADDRESS(1,12,1,0,"KeySet"),0),":","""",valueMaker!L491,"""")</f>
        <v>kaninKengenWB:"-"</v>
      </c>
      <c r="M491" t="str" cm="1">
        <f t="array" aca="1" ref="M491" ca="1">CONCATENATE(INDIRECT(ADDRESS(1,13,1,0,"KeySet"),0),":","""",valueMaker!M491,"""")</f>
        <v>wakibiri:"-"</v>
      </c>
      <c r="N491" t="str" cm="1">
        <f t="array" aca="1" ref="N491" ca="1">CONCATENATE(INDIRECT(ADDRESS(1,14,1,0,"KeySet"),0),":","""",valueMaker!N491,"""")</f>
        <v>kaninKengenPoint:"有り"</v>
      </c>
      <c r="O491" t="str" cm="1">
        <f t="array" aca="1" ref="O491" ca="1">CONCATENATE(INDIRECT(ADDRESS(1,15,1,0,"KeySet"),0),":","""",valueMaker!O491,"""")</f>
        <v>point:"634"</v>
      </c>
      <c r="P491" t="str" cm="1">
        <f t="array" aca="1" ref="P491" ca="1">CONCATENATE(INDIRECT(ADDRESS(1,16,1,0,"KeySet"),0),":","""",valueMaker!P491,"""")</f>
        <v>bikou:""</v>
      </c>
    </row>
    <row r="492" spans="1:16">
      <c r="A492" t="str" cm="1">
        <f t="array" aca="1" ref="A492" ca="1">CONCATENATE(INDIRECT(ADDRESS(1,1,1,0,"KeySet"),0),":","""",valueMaker!A492,"""")</f>
        <v>kainBangou:"TD10491"</v>
      </c>
      <c r="B492" t="str" cm="1">
        <f t="array" aca="1" ref="B492" ca="1">CONCATENATE(INDIRECT(ADDRESS(1,2,1,0,"KeySet"),0),":","""",valueMaker!B492,"""")</f>
        <v>kainMeiKanji:"郭芬勁"</v>
      </c>
      <c r="C492" t="str" cm="1">
        <f t="array" aca="1" ref="C492" ca="1">CONCATENATE(INDIRECT(ADDRESS(1,3,1,0,"KeySet"),0),":","""",valueMaker!C492,"""")</f>
        <v>kainMeiKana:"ｸﾞｵ ﾌｪﾝ ｼﾞﾝ"</v>
      </c>
      <c r="D492" t="str" cm="1">
        <f t="array" aca="1" ref="D492" ca="1">CONCATENATE(INDIRECT(ADDRESS(1,4,1,0,"KeySet"),0),":","""",valueMaker!D492,"""")</f>
        <v>kainMeiEn:"Guo Fen Jin"</v>
      </c>
      <c r="E492" t="str" cm="1">
        <f t="array" aca="1" ref="E492" ca="1">CONCATENATE(INDIRECT(ADDRESS(1,5,1,0,"KeySet"),0),":","""",valueMaker!E492,"""")</f>
        <v>kainGender:"女性"</v>
      </c>
      <c r="F492" t="str" cm="1">
        <f t="array" aca="1" ref="F492" ca="1">CONCATENATE(INDIRECT(ADDRESS(1,6,1,0,"KeySet"),0),":","""",TEXT(valueMaker!F492,"yyyy/m/d"),"""")</f>
        <v>tanjyoubi:"1978/12/19"</v>
      </c>
      <c r="G492" t="str" cm="1">
        <f t="array" aca="1" ref="G492" ca="1">CONCATENATE(INDIRECT(ADDRESS(1,6,1,0,"KeySet"),0),":","""",TEXT(valueMaker!G492,"yyyy/m/d"),"""")</f>
        <v>tanjyoubi:"2011/11/7"</v>
      </c>
      <c r="H492" t="str" cm="1">
        <f t="array" aca="1" ref="H492" ca="1">CONCATENATE(INDIRECT(ADDRESS(1,6,1,0,"KeySet"),0),":","""",TEXT(valueMaker!H492,"yyyy/m/d"),"""")</f>
        <v>tanjyoubi:"2014/11/6"</v>
      </c>
      <c r="I492" t="str" cm="1">
        <f t="array" aca="1" ref="I492" ca="1">CONCATENATE(INDIRECT(ADDRESS(1,9,1,0,"KeySet"),0),":","""",valueMaker!I492,"""")</f>
        <v>denwaBangou:"080-6719-3340"</v>
      </c>
      <c r="J492" t="str" cm="1">
        <f t="array" aca="1" ref="J492" ca="1">CONCATENATE(INDIRECT(ADDRESS(1,10,1,0,"KeySet"),0),":","""",valueMaker!J492,"""")</f>
        <v>mailAddress:"Guo_Fen Jin_40854@outlook.jp.co"</v>
      </c>
      <c r="K492" t="str" cm="1">
        <f t="array" aca="1" ref="K492" ca="1">CONCATENATE(INDIRECT(ADDRESS(1,11,1,0,"KeySet"),0),":","""",valueMaker!K492,"""")</f>
        <v>kaninSyubetu:"普通"</v>
      </c>
      <c r="L492" t="str" cm="1">
        <f t="array" aca="1" ref="L492" ca="1">CONCATENATE(INDIRECT(ADDRESS(1,12,1,0,"KeySet"),0),":","""",valueMaker!L492,"""")</f>
        <v>kaninKengenWB:"有り"</v>
      </c>
      <c r="M492" t="str" cm="1">
        <f t="array" aca="1" ref="M492" ca="1">CONCATENATE(INDIRECT(ADDRESS(1,13,1,0,"KeySet"),0),":","""",valueMaker!M492,"""")</f>
        <v>wakibiri:"5%"</v>
      </c>
      <c r="N492" t="str" cm="1">
        <f t="array" aca="1" ref="N492" ca="1">CONCATENATE(INDIRECT(ADDRESS(1,14,1,0,"KeySet"),0),":","""",valueMaker!N492,"""")</f>
        <v>kaninKengenPoint:"有り"</v>
      </c>
      <c r="O492" t="str" cm="1">
        <f t="array" aca="1" ref="O492" ca="1">CONCATENATE(INDIRECT(ADDRESS(1,15,1,0,"KeySet"),0),":","""",valueMaker!O492,"""")</f>
        <v>point:"931"</v>
      </c>
      <c r="P492" t="str" cm="1">
        <f t="array" aca="1" ref="P492" ca="1">CONCATENATE(INDIRECT(ADDRESS(1,16,1,0,"KeySet"),0),":","""",valueMaker!P492,"""")</f>
        <v>bikou:""</v>
      </c>
    </row>
    <row r="493" spans="1:16">
      <c r="A493" t="str" cm="1">
        <f t="array" aca="1" ref="A493" ca="1">CONCATENATE(INDIRECT(ADDRESS(1,1,1,0,"KeySet"),0),":","""",valueMaker!A493,"""")</f>
        <v>kainBangou:"TD10492"</v>
      </c>
      <c r="B493" t="str" cm="1">
        <f t="array" aca="1" ref="B493" ca="1">CONCATENATE(INDIRECT(ADDRESS(1,2,1,0,"KeySet"),0),":","""",valueMaker!B493,"""")</f>
        <v>kainMeiKanji:"黃菏本"</v>
      </c>
      <c r="C493" t="str" cm="1">
        <f t="array" aca="1" ref="C493" ca="1">CONCATENATE(INDIRECT(ADDRESS(1,3,1,0,"KeySet"),0),":","""",valueMaker!C493,"""")</f>
        <v>kainMeiKana:"ﾎﾜｰﾝ ﾎｰｧ ﾍﾞﾝ"</v>
      </c>
      <c r="D493" t="str" cm="1">
        <f t="array" aca="1" ref="D493" ca="1">CONCATENATE(INDIRECT(ADDRESS(1,4,1,0,"KeySet"),0),":","""",valueMaker!D493,"""")</f>
        <v>kainMeiEn:"Huang He Ben"</v>
      </c>
      <c r="E493" t="str" cm="1">
        <f t="array" aca="1" ref="E493" ca="1">CONCATENATE(INDIRECT(ADDRESS(1,5,1,0,"KeySet"),0),":","""",valueMaker!E493,"""")</f>
        <v>kainGender:"女性"</v>
      </c>
      <c r="F493" t="str" cm="1">
        <f t="array" aca="1" ref="F493" ca="1">CONCATENATE(INDIRECT(ADDRESS(1,6,1,0,"KeySet"),0),":","""",TEXT(valueMaker!F493,"yyyy/m/d"),"""")</f>
        <v>tanjyoubi:"1968/2/9"</v>
      </c>
      <c r="G493" t="str" cm="1">
        <f t="array" aca="1" ref="G493" ca="1">CONCATENATE(INDIRECT(ADDRESS(1,6,1,0,"KeySet"),0),":","""",TEXT(valueMaker!G493,"yyyy/m/d"),"""")</f>
        <v>tanjyoubi:"2016/2/17"</v>
      </c>
      <c r="H493" t="str" cm="1">
        <f t="array" aca="1" ref="H493" ca="1">CONCATENATE(INDIRECT(ADDRESS(1,6,1,0,"KeySet"),0),":","""",TEXT(valueMaker!H493,"yyyy/m/d"),"""")</f>
        <v>tanjyoubi:"2017/2/16"</v>
      </c>
      <c r="I493" t="str" cm="1">
        <f t="array" aca="1" ref="I493" ca="1">CONCATENATE(INDIRECT(ADDRESS(1,9,1,0,"KeySet"),0),":","""",valueMaker!I493,"""")</f>
        <v>denwaBangou:"080-9639-0028"</v>
      </c>
      <c r="J493" t="str" cm="1">
        <f t="array" aca="1" ref="J493" ca="1">CONCATENATE(INDIRECT(ADDRESS(1,10,1,0,"KeySet"),0),":","""",valueMaker!J493,"""")</f>
        <v>mailAddress:"Huang_He_Ben_42417@outlook.jp.co"</v>
      </c>
      <c r="K493" t="str" cm="1">
        <f t="array" aca="1" ref="K493" ca="1">CONCATENATE(INDIRECT(ADDRESS(1,11,1,0,"KeySet"),0),":","""",valueMaker!K493,"""")</f>
        <v>kaninSyubetu:"普通"</v>
      </c>
      <c r="L493" t="str" cm="1">
        <f t="array" aca="1" ref="L493" ca="1">CONCATENATE(INDIRECT(ADDRESS(1,12,1,0,"KeySet"),0),":","""",valueMaker!L493,"""")</f>
        <v>kaninKengenWB:"有り"</v>
      </c>
      <c r="M493" t="str" cm="1">
        <f t="array" aca="1" ref="M493" ca="1">CONCATENATE(INDIRECT(ADDRESS(1,13,1,0,"KeySet"),0),":","""",valueMaker!M493,"""")</f>
        <v>wakibiri:"5%"</v>
      </c>
      <c r="N493" t="str" cm="1">
        <f t="array" aca="1" ref="N493" ca="1">CONCATENATE(INDIRECT(ADDRESS(1,14,1,0,"KeySet"),0),":","""",valueMaker!N493,"""")</f>
        <v>kaninKengenPoint:"有り"</v>
      </c>
      <c r="O493" t="str" cm="1">
        <f t="array" aca="1" ref="O493" ca="1">CONCATENATE(INDIRECT(ADDRESS(1,15,1,0,"KeySet"),0),":","""",valueMaker!O493,"""")</f>
        <v>point:"326"</v>
      </c>
      <c r="P493" t="str" cm="1">
        <f t="array" aca="1" ref="P493" ca="1">CONCATENATE(INDIRECT(ADDRESS(1,16,1,0,"KeySet"),0),":","""",valueMaker!P493,"""")</f>
        <v>bikou:""</v>
      </c>
    </row>
    <row r="494" spans="1:16">
      <c r="A494" t="str" cm="1">
        <f t="array" aca="1" ref="A494" ca="1">CONCATENATE(INDIRECT(ADDRESS(1,1,1,0,"KeySet"),0),":","""",valueMaker!A494,"""")</f>
        <v>kainBangou:"TD10493"</v>
      </c>
      <c r="B494" t="str" cm="1">
        <f t="array" aca="1" ref="B494" ca="1">CONCATENATE(INDIRECT(ADDRESS(1,2,1,0,"KeySet"),0),":","""",valueMaker!B494,"""")</f>
        <v>kainMeiKanji:"羅德基"</v>
      </c>
      <c r="C494" t="str" cm="1">
        <f t="array" aca="1" ref="C494" ca="1">CONCATENATE(INDIRECT(ADDRESS(1,3,1,0,"KeySet"),0),":","""",valueMaker!C494,"""")</f>
        <v>kainMeiKana:"ﾙｵ ﾄﾞｰｧ ｼﾞｰ"</v>
      </c>
      <c r="D494" t="str" cm="1">
        <f t="array" aca="1" ref="D494" ca="1">CONCATENATE(INDIRECT(ADDRESS(1,4,1,0,"KeySet"),0),":","""",valueMaker!D494,"""")</f>
        <v>kainMeiEn:"Luo De Ji"</v>
      </c>
      <c r="E494" t="str" cm="1">
        <f t="array" aca="1" ref="E494" ca="1">CONCATENATE(INDIRECT(ADDRESS(1,5,1,0,"KeySet"),0),":","""",valueMaker!E494,"""")</f>
        <v>kainGender:"男性"</v>
      </c>
      <c r="F494" t="str" cm="1">
        <f t="array" aca="1" ref="F494" ca="1">CONCATENATE(INDIRECT(ADDRESS(1,6,1,0,"KeySet"),0),":","""",TEXT(valueMaker!F494,"yyyy/m/d"),"""")</f>
        <v>tanjyoubi:"1969/2/3"</v>
      </c>
      <c r="G494" t="str" cm="1">
        <f t="array" aca="1" ref="G494" ca="1">CONCATENATE(INDIRECT(ADDRESS(1,6,1,0,"KeySet"),0),":","""",TEXT(valueMaker!G494,"yyyy/m/d"),"""")</f>
        <v>tanjyoubi:"2018/9/21"</v>
      </c>
      <c r="H494" t="str" cm="1">
        <f t="array" aca="1" ref="H494" ca="1">CONCATENATE(INDIRECT(ADDRESS(1,6,1,0,"KeySet"),0),":","""",TEXT(valueMaker!H494,"yyyy/m/d"),"""")</f>
        <v>tanjyoubi:"2019/9/21"</v>
      </c>
      <c r="I494" t="str" cm="1">
        <f t="array" aca="1" ref="I494" ca="1">CONCATENATE(INDIRECT(ADDRESS(1,9,1,0,"KeySet"),0),":","""",valueMaker!I494,"""")</f>
        <v>denwaBangou:"080-0205-4331"</v>
      </c>
      <c r="J494" t="str" cm="1">
        <f t="array" aca="1" ref="J494" ca="1">CONCATENATE(INDIRECT(ADDRESS(1,10,1,0,"KeySet"),0),":","""",valueMaker!J494,"""")</f>
        <v>mailAddress:"Luo_De_Ji_43364@outlook.jp.co"</v>
      </c>
      <c r="K494" t="str" cm="1">
        <f t="array" aca="1" ref="K494" ca="1">CONCATENATE(INDIRECT(ADDRESS(1,11,1,0,"KeySet"),0),":","""",valueMaker!K494,"""")</f>
        <v>kaninSyubetu:"普通"</v>
      </c>
      <c r="L494" t="str" cm="1">
        <f t="array" aca="1" ref="L494" ca="1">CONCATENATE(INDIRECT(ADDRESS(1,12,1,0,"KeySet"),0),":","""",valueMaker!L494,"""")</f>
        <v>kaninKengenWB:"有り"</v>
      </c>
      <c r="M494" t="str" cm="1">
        <f t="array" aca="1" ref="M494" ca="1">CONCATENATE(INDIRECT(ADDRESS(1,13,1,0,"KeySet"),0),":","""",valueMaker!M494,"""")</f>
        <v>wakibiri:"5%"</v>
      </c>
      <c r="N494" t="str" cm="1">
        <f t="array" aca="1" ref="N494" ca="1">CONCATENATE(INDIRECT(ADDRESS(1,14,1,0,"KeySet"),0),":","""",valueMaker!N494,"""")</f>
        <v>kaninKengenPoint:"有り"</v>
      </c>
      <c r="O494" t="str" cm="1">
        <f t="array" aca="1" ref="O494" ca="1">CONCATENATE(INDIRECT(ADDRESS(1,15,1,0,"KeySet"),0),":","""",valueMaker!O494,"""")</f>
        <v>point:"358"</v>
      </c>
      <c r="P494" t="str" cm="1">
        <f t="array" aca="1" ref="P494" ca="1">CONCATENATE(INDIRECT(ADDRESS(1,16,1,0,"KeySet"),0),":","""",valueMaker!P494,"""")</f>
        <v>bikou:""</v>
      </c>
    </row>
    <row r="495" spans="1:16">
      <c r="A495" t="str" cm="1">
        <f t="array" aca="1" ref="A495" ca="1">CONCATENATE(INDIRECT(ADDRESS(1,1,1,0,"KeySet"),0),":","""",valueMaker!A495,"""")</f>
        <v>kainBangou:"TD10494"</v>
      </c>
      <c r="B495" t="str" cm="1">
        <f t="array" aca="1" ref="B495" ca="1">CONCATENATE(INDIRECT(ADDRESS(1,2,1,0,"KeySet"),0),":","""",valueMaker!B495,"""")</f>
        <v>kainMeiKanji:"周曉頻"</v>
      </c>
      <c r="C495" t="str" cm="1">
        <f t="array" aca="1" ref="C495" ca="1">CONCATENATE(INDIRECT(ADDRESS(1,3,1,0,"KeySet"),0),":","""",valueMaker!C495,"""")</f>
        <v>kainMeiKana:"ｼﾞｮｳ ｼﾔｵ ﾋﾟﾝ"</v>
      </c>
      <c r="D495" t="str" cm="1">
        <f t="array" aca="1" ref="D495" ca="1">CONCATENATE(INDIRECT(ADDRESS(1,4,1,0,"KeySet"),0),":","""",valueMaker!D495,"""")</f>
        <v>kainMeiEn:"Zhou Xiao Pin"</v>
      </c>
      <c r="E495" t="str" cm="1">
        <f t="array" aca="1" ref="E495" ca="1">CONCATENATE(INDIRECT(ADDRESS(1,5,1,0,"KeySet"),0),":","""",valueMaker!E495,"""")</f>
        <v>kainGender:"男性"</v>
      </c>
      <c r="F495" t="str" cm="1">
        <f t="array" aca="1" ref="F495" ca="1">CONCATENATE(INDIRECT(ADDRESS(1,6,1,0,"KeySet"),0),":","""",TEXT(valueMaker!F495,"yyyy/m/d"),"""")</f>
        <v>tanjyoubi:"1989/3/14"</v>
      </c>
      <c r="G495" t="str" cm="1">
        <f t="array" aca="1" ref="G495" ca="1">CONCATENATE(INDIRECT(ADDRESS(1,6,1,0,"KeySet"),0),":","""",TEXT(valueMaker!G495,"yyyy/m/d"),"""")</f>
        <v>tanjyoubi:"2016/1/12"</v>
      </c>
      <c r="H495" t="str" cm="1">
        <f t="array" aca="1" ref="H495" ca="1">CONCATENATE(INDIRECT(ADDRESS(1,6,1,0,"KeySet"),0),":","""",TEXT(valueMaker!H495,"yyyy/m/d"),"""")</f>
        <v>tanjyoubi:"2019/1/11"</v>
      </c>
      <c r="I495" t="str" cm="1">
        <f t="array" aca="1" ref="I495" ca="1">CONCATENATE(INDIRECT(ADDRESS(1,9,1,0,"KeySet"),0),":","""",valueMaker!I495,"""")</f>
        <v>denwaBangou:"090-5001-1486"</v>
      </c>
      <c r="J495" t="str" cm="1">
        <f t="array" aca="1" ref="J495" ca="1">CONCATENATE(INDIRECT(ADDRESS(1,10,1,0,"KeySet"),0),":","""",valueMaker!J495,"""")</f>
        <v>mailAddress:"Zhou_Xiao_Pin_42381@outlook.jp.co"</v>
      </c>
      <c r="K495" t="str" cm="1">
        <f t="array" aca="1" ref="K495" ca="1">CONCATENATE(INDIRECT(ADDRESS(1,11,1,0,"KeySet"),0),":","""",valueMaker!K495,"""")</f>
        <v>kaninSyubetu:"普通"</v>
      </c>
      <c r="L495" t="str" cm="1">
        <f t="array" aca="1" ref="L495" ca="1">CONCATENATE(INDIRECT(ADDRESS(1,12,1,0,"KeySet"),0),":","""",valueMaker!L495,"""")</f>
        <v>kaninKengenWB:"有り"</v>
      </c>
      <c r="M495" t="str" cm="1">
        <f t="array" aca="1" ref="M495" ca="1">CONCATENATE(INDIRECT(ADDRESS(1,13,1,0,"KeySet"),0),":","""",valueMaker!M495,"""")</f>
        <v>wakibiri:"5%"</v>
      </c>
      <c r="N495" t="str" cm="1">
        <f t="array" aca="1" ref="N495" ca="1">CONCATENATE(INDIRECT(ADDRESS(1,14,1,0,"KeySet"),0),":","""",valueMaker!N495,"""")</f>
        <v>kaninKengenPoint:"有り"</v>
      </c>
      <c r="O495" t="str" cm="1">
        <f t="array" aca="1" ref="O495" ca="1">CONCATENATE(INDIRECT(ADDRESS(1,15,1,0,"KeySet"),0),":","""",valueMaker!O495,"""")</f>
        <v>point:"93"</v>
      </c>
      <c r="P495" t="str" cm="1">
        <f t="array" aca="1" ref="P495" ca="1">CONCATENATE(INDIRECT(ADDRESS(1,16,1,0,"KeySet"),0),":","""",valueMaker!P495,"""")</f>
        <v>bikou:""</v>
      </c>
    </row>
    <row r="496" spans="1:16">
      <c r="A496" t="str" cm="1">
        <f t="array" aca="1" ref="A496" ca="1">CONCATENATE(INDIRECT(ADDRESS(1,1,1,0,"KeySet"),0),":","""",valueMaker!A496,"""")</f>
        <v>kainBangou:"TD10495"</v>
      </c>
      <c r="B496" t="str" cm="1">
        <f t="array" aca="1" ref="B496" ca="1">CONCATENATE(INDIRECT(ADDRESS(1,2,1,0,"KeySet"),0),":","""",valueMaker!B496,"""")</f>
        <v>kainMeiKanji:"劉複仟"</v>
      </c>
      <c r="C496" t="str" cm="1">
        <f t="array" aca="1" ref="C496" ca="1">CONCATENATE(INDIRECT(ADDRESS(1,3,1,0,"KeySet"),0),":","""",valueMaker!C496,"""")</f>
        <v>kainMeiKana:"ﾘｳ ﾌｩ ﾁｴﾝ"</v>
      </c>
      <c r="D496" t="str" cm="1">
        <f t="array" aca="1" ref="D496" ca="1">CONCATENATE(INDIRECT(ADDRESS(1,4,1,0,"KeySet"),0),":","""",valueMaker!D496,"""")</f>
        <v>kainMeiEn:"Liu Fu Qian"</v>
      </c>
      <c r="E496" t="str" cm="1">
        <f t="array" aca="1" ref="E496" ca="1">CONCATENATE(INDIRECT(ADDRESS(1,5,1,0,"KeySet"),0),":","""",valueMaker!E496,"""")</f>
        <v>kainGender:"女性"</v>
      </c>
      <c r="F496" t="str" cm="1">
        <f t="array" aca="1" ref="F496" ca="1">CONCATENATE(INDIRECT(ADDRESS(1,6,1,0,"KeySet"),0),":","""",TEXT(valueMaker!F496,"yyyy/m/d"),"""")</f>
        <v>tanjyoubi:"1980/7/18"</v>
      </c>
      <c r="G496" t="str" cm="1">
        <f t="array" aca="1" ref="G496" ca="1">CONCATENATE(INDIRECT(ADDRESS(1,6,1,0,"KeySet"),0),":","""",TEXT(valueMaker!G496,"yyyy/m/d"),"""")</f>
        <v>tanjyoubi:"2015/5/1"</v>
      </c>
      <c r="H496" t="str" cm="1">
        <f t="array" aca="1" ref="H496" ca="1">CONCATENATE(INDIRECT(ADDRESS(1,6,1,0,"KeySet"),0),":","""",TEXT(valueMaker!H496,"yyyy/m/d"),"""")</f>
        <v>tanjyoubi:"2017/4/30"</v>
      </c>
      <c r="I496" t="str" cm="1">
        <f t="array" aca="1" ref="I496" ca="1">CONCATENATE(INDIRECT(ADDRESS(1,9,1,0,"KeySet"),0),":","""",valueMaker!I496,"""")</f>
        <v>denwaBangou:"090-9882-5827"</v>
      </c>
      <c r="J496" t="str" cm="1">
        <f t="array" aca="1" ref="J496" ca="1">CONCATENATE(INDIRECT(ADDRESS(1,10,1,0,"KeySet"),0),":","""",valueMaker!J496,"""")</f>
        <v>mailAddress:"Liu_Fu_Qian_42125@outlook.jp.co"</v>
      </c>
      <c r="K496" t="str" cm="1">
        <f t="array" aca="1" ref="K496" ca="1">CONCATENATE(INDIRECT(ADDRESS(1,11,1,0,"KeySet"),0),":","""",valueMaker!K496,"""")</f>
        <v>kaninSyubetu:"高級"</v>
      </c>
      <c r="L496" t="str" cm="1">
        <f t="array" aca="1" ref="L496" ca="1">CONCATENATE(INDIRECT(ADDRESS(1,12,1,0,"KeySet"),0),":","""",valueMaker!L496,"""")</f>
        <v>kaninKengenWB:"有り"</v>
      </c>
      <c r="M496" t="str" cm="1">
        <f t="array" aca="1" ref="M496" ca="1">CONCATENATE(INDIRECT(ADDRESS(1,13,1,0,"KeySet"),0),":","""",valueMaker!M496,"""")</f>
        <v>wakibiri:"10%"</v>
      </c>
      <c r="N496" t="str" cm="1">
        <f t="array" aca="1" ref="N496" ca="1">CONCATENATE(INDIRECT(ADDRESS(1,14,1,0,"KeySet"),0),":","""",valueMaker!N496,"""")</f>
        <v>kaninKengenPoint:"有り"</v>
      </c>
      <c r="O496" t="str" cm="1">
        <f t="array" aca="1" ref="O496" ca="1">CONCATENATE(INDIRECT(ADDRESS(1,15,1,0,"KeySet"),0),":","""",valueMaker!O496,"""")</f>
        <v>point:"2"</v>
      </c>
      <c r="P496" t="str" cm="1">
        <f t="array" aca="1" ref="P496" ca="1">CONCATENATE(INDIRECT(ADDRESS(1,16,1,0,"KeySet"),0),":","""",valueMaker!P496,"""")</f>
        <v>bikou:""</v>
      </c>
    </row>
    <row r="497" spans="1:16">
      <c r="A497" t="str" cm="1">
        <f t="array" aca="1" ref="A497" ca="1">CONCATENATE(INDIRECT(ADDRESS(1,1,1,0,"KeySet"),0),":","""",valueMaker!A497,"""")</f>
        <v>kainBangou:"TD10496"</v>
      </c>
      <c r="B497" t="str" cm="1">
        <f t="array" aca="1" ref="B497" ca="1">CONCATENATE(INDIRECT(ADDRESS(1,2,1,0,"KeySet"),0),":","""",valueMaker!B497,"""")</f>
        <v>kainMeiKanji:"李靜耿"</v>
      </c>
      <c r="C497" t="str" cm="1">
        <f t="array" aca="1" ref="C497" ca="1">CONCATENATE(INDIRECT(ADDRESS(1,3,1,0,"KeySet"),0),":","""",valueMaker!C497,"""")</f>
        <v>kainMeiKana:"ﾘｰ ｼﾞｰﾝ ｸﾞｵﾝ"</v>
      </c>
      <c r="D497" t="str" cm="1">
        <f t="array" aca="1" ref="D497" ca="1">CONCATENATE(INDIRECT(ADDRESS(1,4,1,0,"KeySet"),0),":","""",valueMaker!D497,"""")</f>
        <v>kainMeiEn:"Li Jing Geng"</v>
      </c>
      <c r="E497" t="str" cm="1">
        <f t="array" aca="1" ref="E497" ca="1">CONCATENATE(INDIRECT(ADDRESS(1,5,1,0,"KeySet"),0),":","""",valueMaker!E497,"""")</f>
        <v>kainGender:"男性"</v>
      </c>
      <c r="F497" t="str" cm="1">
        <f t="array" aca="1" ref="F497" ca="1">CONCATENATE(INDIRECT(ADDRESS(1,6,1,0,"KeySet"),0),":","""",TEXT(valueMaker!F497,"yyyy/m/d"),"""")</f>
        <v>tanjyoubi:"1984/3/27"</v>
      </c>
      <c r="G497" t="str" cm="1">
        <f t="array" aca="1" ref="G497" ca="1">CONCATENATE(INDIRECT(ADDRESS(1,6,1,0,"KeySet"),0),":","""",TEXT(valueMaker!G497,"yyyy/m/d"),"""")</f>
        <v>tanjyoubi:"2015/9/20"</v>
      </c>
      <c r="H497" t="str" cm="1">
        <f t="array" aca="1" ref="H497" ca="1">CONCATENATE(INDIRECT(ADDRESS(1,6,1,0,"KeySet"),0),":","""",TEXT(valueMaker!H497,"yyyy/m/d"),"""")</f>
        <v>tanjyoubi:"2017/9/19"</v>
      </c>
      <c r="I497" t="str" cm="1">
        <f t="array" aca="1" ref="I497" ca="1">CONCATENATE(INDIRECT(ADDRESS(1,9,1,0,"KeySet"),0),":","""",valueMaker!I497,"""")</f>
        <v>denwaBangou:"090-1661-3898"</v>
      </c>
      <c r="J497" t="str" cm="1">
        <f t="array" aca="1" ref="J497" ca="1">CONCATENATE(INDIRECT(ADDRESS(1,10,1,0,"KeySet"),0),":","""",valueMaker!J497,"""")</f>
        <v>mailAddress:"Li_Jing_Geng_42267@outlook.jp.co"</v>
      </c>
      <c r="K497" t="str" cm="1">
        <f t="array" aca="1" ref="K497" ca="1">CONCATENATE(INDIRECT(ADDRESS(1,11,1,0,"KeySet"),0),":","""",valueMaker!K497,"""")</f>
        <v>kaninSyubetu:"普通"</v>
      </c>
      <c r="L497" t="str" cm="1">
        <f t="array" aca="1" ref="L497" ca="1">CONCATENATE(INDIRECT(ADDRESS(1,12,1,0,"KeySet"),0),":","""",valueMaker!L497,"""")</f>
        <v>kaninKengenWB:"有り"</v>
      </c>
      <c r="M497" t="str" cm="1">
        <f t="array" aca="1" ref="M497" ca="1">CONCATENATE(INDIRECT(ADDRESS(1,13,1,0,"KeySet"),0),":","""",valueMaker!M497,"""")</f>
        <v>wakibiri:"5%"</v>
      </c>
      <c r="N497" t="str" cm="1">
        <f t="array" aca="1" ref="N497" ca="1">CONCATENATE(INDIRECT(ADDRESS(1,14,1,0,"KeySet"),0),":","""",valueMaker!N497,"""")</f>
        <v>kaninKengenPoint:"有り"</v>
      </c>
      <c r="O497" t="str" cm="1">
        <f t="array" aca="1" ref="O497" ca="1">CONCATENATE(INDIRECT(ADDRESS(1,15,1,0,"KeySet"),0),":","""",valueMaker!O497,"""")</f>
        <v>point:"704"</v>
      </c>
      <c r="P497" t="str" cm="1">
        <f t="array" aca="1" ref="P497" ca="1">CONCATENATE(INDIRECT(ADDRESS(1,16,1,0,"KeySet"),0),":","""",valueMaker!P497,"""")</f>
        <v>bikou:""</v>
      </c>
    </row>
    <row r="498" spans="1:16">
      <c r="A498" t="str" cm="1">
        <f t="array" aca="1" ref="A498" ca="1">CONCATENATE(INDIRECT(ADDRESS(1,1,1,0,"KeySet"),0),":","""",valueMaker!A498,"""")</f>
        <v>kainBangou:"TD10497"</v>
      </c>
      <c r="B498" t="str" cm="1">
        <f t="array" aca="1" ref="B498" ca="1">CONCATENATE(INDIRECT(ADDRESS(1,2,1,0,"KeySet"),0),":","""",valueMaker!B498,"""")</f>
        <v>kainMeiKanji:"趙奧常"</v>
      </c>
      <c r="C498" t="str" cm="1">
        <f t="array" aca="1" ref="C498" ca="1">CONCATENATE(INDIRECT(ADDRESS(1,3,1,0,"KeySet"),0),":","""",valueMaker!C498,"""")</f>
        <v>kainMeiKana:"ｼﾞｬｵ ｱｵ ﾁｬｰﾝ"</v>
      </c>
      <c r="D498" t="str" cm="1">
        <f t="array" aca="1" ref="D498" ca="1">CONCATENATE(INDIRECT(ADDRESS(1,4,1,0,"KeySet"),0),":","""",valueMaker!D498,"""")</f>
        <v>kainMeiEn:"Zhao Ao Chang"</v>
      </c>
      <c r="E498" t="str" cm="1">
        <f t="array" aca="1" ref="E498" ca="1">CONCATENATE(INDIRECT(ADDRESS(1,5,1,0,"KeySet"),0),":","""",valueMaker!E498,"""")</f>
        <v>kainGender:"女性"</v>
      </c>
      <c r="F498" t="str" cm="1">
        <f t="array" aca="1" ref="F498" ca="1">CONCATENATE(INDIRECT(ADDRESS(1,6,1,0,"KeySet"),0),":","""",TEXT(valueMaker!F498,"yyyy/m/d"),"""")</f>
        <v>tanjyoubi:"1974/3/14"</v>
      </c>
      <c r="G498" t="str" cm="1">
        <f t="array" aca="1" ref="G498" ca="1">CONCATENATE(INDIRECT(ADDRESS(1,6,1,0,"KeySet"),0),":","""",TEXT(valueMaker!G498,"yyyy/m/d"),"""")</f>
        <v>tanjyoubi:"2008/2/8"</v>
      </c>
      <c r="H498" t="str" cm="1">
        <f t="array" aca="1" ref="H498" ca="1">CONCATENATE(INDIRECT(ADDRESS(1,6,1,0,"KeySet"),0),":","""",TEXT(valueMaker!H498,"yyyy/m/d"),"""")</f>
        <v>tanjyoubi:"2010/2/7"</v>
      </c>
      <c r="I498" t="str" cm="1">
        <f t="array" aca="1" ref="I498" ca="1">CONCATENATE(INDIRECT(ADDRESS(1,9,1,0,"KeySet"),0),":","""",valueMaker!I498,"""")</f>
        <v>denwaBangou:"090-2308-5523"</v>
      </c>
      <c r="J498" t="str" cm="1">
        <f t="array" aca="1" ref="J498" ca="1">CONCATENATE(INDIRECT(ADDRESS(1,10,1,0,"KeySet"),0),":","""",valueMaker!J498,"""")</f>
        <v>mailAddress:"Zhao_Ao_Chang_39486@outlook.jp.co"</v>
      </c>
      <c r="K498" t="str" cm="1">
        <f t="array" aca="1" ref="K498" ca="1">CONCATENATE(INDIRECT(ADDRESS(1,11,1,0,"KeySet"),0),":","""",valueMaker!K498,"""")</f>
        <v>kaninSyubetu:"普通"</v>
      </c>
      <c r="L498" t="str" cm="1">
        <f t="array" aca="1" ref="L498" ca="1">CONCATENATE(INDIRECT(ADDRESS(1,12,1,0,"KeySet"),0),":","""",valueMaker!L498,"""")</f>
        <v>kaninKengenWB:"有り"</v>
      </c>
      <c r="M498" t="str" cm="1">
        <f t="array" aca="1" ref="M498" ca="1">CONCATENATE(INDIRECT(ADDRESS(1,13,1,0,"KeySet"),0),":","""",valueMaker!M498,"""")</f>
        <v>wakibiri:"5%"</v>
      </c>
      <c r="N498" t="str" cm="1">
        <f t="array" aca="1" ref="N498" ca="1">CONCATENATE(INDIRECT(ADDRESS(1,14,1,0,"KeySet"),0),":","""",valueMaker!N498,"""")</f>
        <v>kaninKengenPoint:"有り"</v>
      </c>
      <c r="O498" t="str" cm="1">
        <f t="array" aca="1" ref="O498" ca="1">CONCATENATE(INDIRECT(ADDRESS(1,15,1,0,"KeySet"),0),":","""",valueMaker!O498,"""")</f>
        <v>point:"541"</v>
      </c>
      <c r="P498" t="str" cm="1">
        <f t="array" aca="1" ref="P498" ca="1">CONCATENATE(INDIRECT(ADDRESS(1,16,1,0,"KeySet"),0),":","""",valueMaker!P498,"""")</f>
        <v>bikou:""</v>
      </c>
    </row>
    <row r="499" spans="1:16">
      <c r="A499" t="str" cm="1">
        <f t="array" aca="1" ref="A499" ca="1">CONCATENATE(INDIRECT(ADDRESS(1,1,1,0,"KeySet"),0),":","""",valueMaker!A499,"""")</f>
        <v>kainBangou:"TD10498"</v>
      </c>
      <c r="B499" t="str" cm="1">
        <f t="array" aca="1" ref="B499" ca="1">CONCATENATE(INDIRECT(ADDRESS(1,2,1,0,"KeySet"),0),":","""",valueMaker!B499,"""")</f>
        <v>kainMeiKanji:"劉孝宏"</v>
      </c>
      <c r="C499" t="str" cm="1">
        <f t="array" aca="1" ref="C499" ca="1">CONCATENATE(INDIRECT(ADDRESS(1,3,1,0,"KeySet"),0),":","""",valueMaker!C499,"""")</f>
        <v>kainMeiKana:"ﾘｳ ｼﾔｵ ﾎｰﾝ"</v>
      </c>
      <c r="D499" t="str" cm="1">
        <f t="array" aca="1" ref="D499" ca="1">CONCATENATE(INDIRECT(ADDRESS(1,4,1,0,"KeySet"),0),":","""",valueMaker!D499,"""")</f>
        <v>kainMeiEn:"Liu Xiao Hong"</v>
      </c>
      <c r="E499" t="str" cm="1">
        <f t="array" aca="1" ref="E499" ca="1">CONCATENATE(INDIRECT(ADDRESS(1,5,1,0,"KeySet"),0),":","""",valueMaker!E499,"""")</f>
        <v>kainGender:"女性"</v>
      </c>
      <c r="F499" t="str" cm="1">
        <f t="array" aca="1" ref="F499" ca="1">CONCATENATE(INDIRECT(ADDRESS(1,6,1,0,"KeySet"),0),":","""",TEXT(valueMaker!F499,"yyyy/m/d"),"""")</f>
        <v>tanjyoubi:"1960/7/5"</v>
      </c>
      <c r="G499" t="str" cm="1">
        <f t="array" aca="1" ref="G499" ca="1">CONCATENATE(INDIRECT(ADDRESS(1,6,1,0,"KeySet"),0),":","""",TEXT(valueMaker!G499,"yyyy/m/d"),"""")</f>
        <v>tanjyoubi:"2006/12/1"</v>
      </c>
      <c r="H499" t="str" cm="1">
        <f t="array" aca="1" ref="H499" ca="1">CONCATENATE(INDIRECT(ADDRESS(1,6,1,0,"KeySet"),0),":","""",TEXT(valueMaker!H499,"yyyy/m/d"),"""")</f>
        <v>tanjyoubi:"2009/11/30"</v>
      </c>
      <c r="I499" t="str" cm="1">
        <f t="array" aca="1" ref="I499" ca="1">CONCATENATE(INDIRECT(ADDRESS(1,9,1,0,"KeySet"),0),":","""",valueMaker!I499,"""")</f>
        <v>denwaBangou:"080-5548-4307"</v>
      </c>
      <c r="J499" t="str" cm="1">
        <f t="array" aca="1" ref="J499" ca="1">CONCATENATE(INDIRECT(ADDRESS(1,10,1,0,"KeySet"),0),":","""",valueMaker!J499,"""")</f>
        <v>mailAddress:"Liu_Xiao_Hong_39052@outlook.jp.co"</v>
      </c>
      <c r="K499" t="str" cm="1">
        <f t="array" aca="1" ref="K499" ca="1">CONCATENATE(INDIRECT(ADDRESS(1,11,1,0,"KeySet"),0),":","""",valueMaker!K499,"""")</f>
        <v>kaninSyubetu:"高級"</v>
      </c>
      <c r="L499" t="str" cm="1">
        <f t="array" aca="1" ref="L499" ca="1">CONCATENATE(INDIRECT(ADDRESS(1,12,1,0,"KeySet"),0),":","""",valueMaker!L499,"""")</f>
        <v>kaninKengenWB:"有り"</v>
      </c>
      <c r="M499" t="str" cm="1">
        <f t="array" aca="1" ref="M499" ca="1">CONCATENATE(INDIRECT(ADDRESS(1,13,1,0,"KeySet"),0),":","""",valueMaker!M499,"""")</f>
        <v>wakibiri:"10%"</v>
      </c>
      <c r="N499" t="str" cm="1">
        <f t="array" aca="1" ref="N499" ca="1">CONCATENATE(INDIRECT(ADDRESS(1,14,1,0,"KeySet"),0),":","""",valueMaker!N499,"""")</f>
        <v>kaninKengenPoint:"有り"</v>
      </c>
      <c r="O499" t="str" cm="1">
        <f t="array" aca="1" ref="O499" ca="1">CONCATENATE(INDIRECT(ADDRESS(1,15,1,0,"KeySet"),0),":","""",valueMaker!O499,"""")</f>
        <v>point:"880"</v>
      </c>
      <c r="P499" t="str" cm="1">
        <f t="array" aca="1" ref="P499" ca="1">CONCATENATE(INDIRECT(ADDRESS(1,16,1,0,"KeySet"),0),":","""",valueMaker!P499,"""")</f>
        <v>bikou:""</v>
      </c>
    </row>
    <row r="500" spans="1:16">
      <c r="A500" t="str" cm="1">
        <f t="array" aca="1" ref="A500" ca="1">CONCATENATE(INDIRECT(ADDRESS(1,1,1,0,"KeySet"),0),":","""",valueMaker!A500,"""")</f>
        <v>kainBangou:"TD10499"</v>
      </c>
      <c r="B500" t="str" cm="1">
        <f t="array" aca="1" ref="B500" ca="1">CONCATENATE(INDIRECT(ADDRESS(1,2,1,0,"KeySet"),0),":","""",valueMaker!B500,"""")</f>
        <v>kainMeiKanji:"張協銘"</v>
      </c>
      <c r="C500" t="str" cm="1">
        <f t="array" aca="1" ref="C500" ca="1">CONCATENATE(INDIRECT(ADDRESS(1,3,1,0,"KeySet"),0),":","""",valueMaker!C500,"""")</f>
        <v>kainMeiKana:"ｼﾞｬｰﾝ ｼｴ ﾐｰﾝ"</v>
      </c>
      <c r="D500" t="str" cm="1">
        <f t="array" aca="1" ref="D500" ca="1">CONCATENATE(INDIRECT(ADDRESS(1,4,1,0,"KeySet"),0),":","""",valueMaker!D500,"""")</f>
        <v>kainMeiEn:"Zhang Xie Ming"</v>
      </c>
      <c r="E500" t="str" cm="1">
        <f t="array" aca="1" ref="E500" ca="1">CONCATENATE(INDIRECT(ADDRESS(1,5,1,0,"KeySet"),0),":","""",valueMaker!E500,"""")</f>
        <v>kainGender:"女性"</v>
      </c>
      <c r="F500" t="str" cm="1">
        <f t="array" aca="1" ref="F500" ca="1">CONCATENATE(INDIRECT(ADDRESS(1,6,1,0,"KeySet"),0),":","""",TEXT(valueMaker!F500,"yyyy/m/d"),"""")</f>
        <v>tanjyoubi:"1971/9/24"</v>
      </c>
      <c r="G500" t="str" cm="1">
        <f t="array" aca="1" ref="G500" ca="1">CONCATENATE(INDIRECT(ADDRESS(1,6,1,0,"KeySet"),0),":","""",TEXT(valueMaker!G500,"yyyy/m/d"),"""")</f>
        <v>tanjyoubi:"2005/8/14"</v>
      </c>
      <c r="H500" t="str" cm="1">
        <f t="array" aca="1" ref="H500" ca="1">CONCATENATE(INDIRECT(ADDRESS(1,6,1,0,"KeySet"),0),":","""",TEXT(valueMaker!H500,"yyyy/m/d"),"""")</f>
        <v>tanjyoubi:"2007/8/14"</v>
      </c>
      <c r="I500" t="str" cm="1">
        <f t="array" aca="1" ref="I500" ca="1">CONCATENATE(INDIRECT(ADDRESS(1,9,1,0,"KeySet"),0),":","""",valueMaker!I500,"""")</f>
        <v>denwaBangou:"080-7430-5743"</v>
      </c>
      <c r="J500" t="str" cm="1">
        <f t="array" aca="1" ref="J500" ca="1">CONCATENATE(INDIRECT(ADDRESS(1,10,1,0,"KeySet"),0),":","""",valueMaker!J500,"""")</f>
        <v>mailAddress:"Zhang_Xie_Ming_38578@outlook.jp.co"</v>
      </c>
      <c r="K500" t="str" cm="1">
        <f t="array" aca="1" ref="K500" ca="1">CONCATENATE(INDIRECT(ADDRESS(1,11,1,0,"KeySet"),0),":","""",valueMaker!K500,"""")</f>
        <v>kaninSyubetu:"普通"</v>
      </c>
      <c r="L500" t="str" cm="1">
        <f t="array" aca="1" ref="L500" ca="1">CONCATENATE(INDIRECT(ADDRESS(1,12,1,0,"KeySet"),0),":","""",valueMaker!L500,"""")</f>
        <v>kaninKengenWB:"有り"</v>
      </c>
      <c r="M500" t="str" cm="1">
        <f t="array" aca="1" ref="M500" ca="1">CONCATENATE(INDIRECT(ADDRESS(1,13,1,0,"KeySet"),0),":","""",valueMaker!M500,"""")</f>
        <v>wakibiri:"5%"</v>
      </c>
      <c r="N500" t="str" cm="1">
        <f t="array" aca="1" ref="N500" ca="1">CONCATENATE(INDIRECT(ADDRESS(1,14,1,0,"KeySet"),0),":","""",valueMaker!N500,"""")</f>
        <v>kaninKengenPoint:"有り"</v>
      </c>
      <c r="O500" t="str" cm="1">
        <f t="array" aca="1" ref="O500" ca="1">CONCATENATE(INDIRECT(ADDRESS(1,15,1,0,"KeySet"),0),":","""",valueMaker!O500,"""")</f>
        <v>point:"297"</v>
      </c>
      <c r="P500" t="str" cm="1">
        <f t="array" aca="1" ref="P500" ca="1">CONCATENATE(INDIRECT(ADDRESS(1,16,1,0,"KeySet"),0),":","""",valueMaker!P500,"""")</f>
        <v>bikou:""</v>
      </c>
    </row>
    <row r="501" spans="1:16">
      <c r="A501" t="str" cm="1">
        <f t="array" aca="1" ref="A501" ca="1">CONCATENATE(INDIRECT(ADDRESS(1,1,1,0,"KeySet"),0),":","""",valueMaker!A501,"""")</f>
        <v>kainBangou:"TD10500"</v>
      </c>
      <c r="B501" t="str" cm="1">
        <f t="array" aca="1" ref="B501" ca="1">CONCATENATE(INDIRECT(ADDRESS(1,2,1,0,"KeySet"),0),":","""",valueMaker!B501,"""")</f>
        <v>kainMeiKanji:"于致複"</v>
      </c>
      <c r="C501" t="str" cm="1">
        <f t="array" aca="1" ref="C501" ca="1">CONCATENATE(INDIRECT(ADDRESS(1,3,1,0,"KeySet"),0),":","""",valueMaker!C501,"""")</f>
        <v>kainMeiKana:"ﾕｲ ｼﾞｰ ﾌｩ"</v>
      </c>
      <c r="D501" t="str" cm="1">
        <f t="array" aca="1" ref="D501" ca="1">CONCATENATE(INDIRECT(ADDRESS(1,4,1,0,"KeySet"),0),":","""",valueMaker!D501,"""")</f>
        <v>kainMeiEn:"Yu Zhi Fu"</v>
      </c>
      <c r="E501" t="str" cm="1">
        <f t="array" aca="1" ref="E501" ca="1">CONCATENATE(INDIRECT(ADDRESS(1,5,1,0,"KeySet"),0),":","""",valueMaker!E501,"""")</f>
        <v>kainGender:"男性"</v>
      </c>
      <c r="F501" t="str" cm="1">
        <f t="array" aca="1" ref="F501" ca="1">CONCATENATE(INDIRECT(ADDRESS(1,6,1,0,"KeySet"),0),":","""",TEXT(valueMaker!F501,"yyyy/m/d"),"""")</f>
        <v>tanjyoubi:"2005/2/19"</v>
      </c>
      <c r="G501" t="str" cm="1">
        <f t="array" aca="1" ref="G501" ca="1">CONCATENATE(INDIRECT(ADDRESS(1,6,1,0,"KeySet"),0),":","""",TEXT(valueMaker!G501,"yyyy/m/d"),"""")</f>
        <v>tanjyoubi:"2023/3/28"</v>
      </c>
      <c r="H501" t="str" cm="1">
        <f t="array" aca="1" ref="H501" ca="1">CONCATENATE(INDIRECT(ADDRESS(1,6,1,0,"KeySet"),0),":","""",TEXT(valueMaker!H501,"yyyy/m/d"),"""")</f>
        <v>tanjyoubi:"2024/3/27"</v>
      </c>
      <c r="I501" t="str" cm="1">
        <f t="array" aca="1" ref="I501" ca="1">CONCATENATE(INDIRECT(ADDRESS(1,9,1,0,"KeySet"),0),":","""",valueMaker!I501,"""")</f>
        <v>denwaBangou:"090-1852-7835"</v>
      </c>
      <c r="J501" t="str" cm="1">
        <f t="array" aca="1" ref="J501" ca="1">CONCATENATE(INDIRECT(ADDRESS(1,10,1,0,"KeySet"),0),":","""",valueMaker!J501,"""")</f>
        <v>mailAddress:"Yu_Zhi_Fu_45013@outlook.jp.co"</v>
      </c>
      <c r="K501" t="str" cm="1">
        <f t="array" aca="1" ref="K501" ca="1">CONCATENATE(INDIRECT(ADDRESS(1,11,1,0,"KeySet"),0),":","""",valueMaker!K501,"""")</f>
        <v>kaninSyubetu:"高級"</v>
      </c>
      <c r="L501" t="str" cm="1">
        <f t="array" aca="1" ref="L501" ca="1">CONCATENATE(INDIRECT(ADDRESS(1,12,1,0,"KeySet"),0),":","""",valueMaker!L501,"""")</f>
        <v>kaninKengenWB:"有り"</v>
      </c>
      <c r="M501" t="str" cm="1">
        <f t="array" aca="1" ref="M501" ca="1">CONCATENATE(INDIRECT(ADDRESS(1,13,1,0,"KeySet"),0),":","""",valueMaker!M501,"""")</f>
        <v>wakibiri:"10%"</v>
      </c>
      <c r="N501" t="str" cm="1">
        <f t="array" aca="1" ref="N501" ca="1">CONCATENATE(INDIRECT(ADDRESS(1,14,1,0,"KeySet"),0),":","""",valueMaker!N501,"""")</f>
        <v>kaninKengenPoint:"有り"</v>
      </c>
      <c r="O501" t="str" cm="1">
        <f t="array" aca="1" ref="O501" ca="1">CONCATENATE(INDIRECT(ADDRESS(1,15,1,0,"KeySet"),0),":","""",valueMaker!O501,"""")</f>
        <v>point:"403"</v>
      </c>
      <c r="P501" t="str" cm="1">
        <f t="array" aca="1" ref="P501" ca="1">CONCATENATE(INDIRECT(ADDRESS(1,16,1,0,"KeySet"),0),":","""",valueMaker!P501,"""")</f>
        <v>bikou:""</v>
      </c>
    </row>
    <row r="502" spans="1:16">
      <c r="A502" t="str" cm="1">
        <f t="array" aca="1" ref="A502" ca="1">CONCATENATE(INDIRECT(ADDRESS(1,1,1,0,"KeySet"),0),":","""",valueMaker!A502,"""")</f>
        <v>kainBangou:"TD10501"</v>
      </c>
      <c r="B502" t="str" cm="1">
        <f t="array" aca="1" ref="B502" ca="1">CONCATENATE(INDIRECT(ADDRESS(1,2,1,0,"KeySet"),0),":","""",valueMaker!B502,"""")</f>
        <v>kainMeiKanji:"馬超鈺"</v>
      </c>
      <c r="C502" t="str" cm="1">
        <f t="array" aca="1" ref="C502" ca="1">CONCATENATE(INDIRECT(ADDRESS(1,3,1,0,"KeySet"),0),":","""",valueMaker!C502,"""")</f>
        <v>kainMeiKana:"ﾏｰ ﾁｬｵ ﾕｲ"</v>
      </c>
      <c r="D502" t="str" cm="1">
        <f t="array" aca="1" ref="D502" ca="1">CONCATENATE(INDIRECT(ADDRESS(1,4,1,0,"KeySet"),0),":","""",valueMaker!D502,"""")</f>
        <v>kainMeiEn:"Ma Chao Yu"</v>
      </c>
      <c r="E502" t="str" cm="1">
        <f t="array" aca="1" ref="E502" ca="1">CONCATENATE(INDIRECT(ADDRESS(1,5,1,0,"KeySet"),0),":","""",valueMaker!E502,"""")</f>
        <v>kainGender:"男性"</v>
      </c>
      <c r="F502" t="str" cm="1">
        <f t="array" aca="1" ref="F502" ca="1">CONCATENATE(INDIRECT(ADDRESS(1,6,1,0,"KeySet"),0),":","""",TEXT(valueMaker!F502,"yyyy/m/d"),"""")</f>
        <v>tanjyoubi:"1977/9/11"</v>
      </c>
      <c r="G502" t="str" cm="1">
        <f t="array" aca="1" ref="G502" ca="1">CONCATENATE(INDIRECT(ADDRESS(1,6,1,0,"KeySet"),0),":","""",TEXT(valueMaker!G502,"yyyy/m/d"),"""")</f>
        <v>tanjyoubi:"2003/7/5"</v>
      </c>
      <c r="H502" t="str" cm="1">
        <f t="array" aca="1" ref="H502" ca="1">CONCATENATE(INDIRECT(ADDRESS(1,6,1,0,"KeySet"),0),":","""",TEXT(valueMaker!H502,"yyyy/m/d"),"""")</f>
        <v>tanjyoubi:"2004/7/4"</v>
      </c>
      <c r="I502" t="str" cm="1">
        <f t="array" aca="1" ref="I502" ca="1">CONCATENATE(INDIRECT(ADDRESS(1,9,1,0,"KeySet"),0),":","""",valueMaker!I502,"""")</f>
        <v>denwaBangou:"080-5892-0528"</v>
      </c>
      <c r="J502" t="str" cm="1">
        <f t="array" aca="1" ref="J502" ca="1">CONCATENATE(INDIRECT(ADDRESS(1,10,1,0,"KeySet"),0),":","""",valueMaker!J502,"""")</f>
        <v>mailAddress:"Ma_Chao_Yu_37807@outlook.jp.co"</v>
      </c>
      <c r="K502" t="str" cm="1">
        <f t="array" aca="1" ref="K502" ca="1">CONCATENATE(INDIRECT(ADDRESS(1,11,1,0,"KeySet"),0),":","""",valueMaker!K502,"""")</f>
        <v>kaninSyubetu:"高級"</v>
      </c>
      <c r="L502" t="str" cm="1">
        <f t="array" aca="1" ref="L502" ca="1">CONCATENATE(INDIRECT(ADDRESS(1,12,1,0,"KeySet"),0),":","""",valueMaker!L502,"""")</f>
        <v>kaninKengenWB:"有り"</v>
      </c>
      <c r="M502" t="str" cm="1">
        <f t="array" aca="1" ref="M502" ca="1">CONCATENATE(INDIRECT(ADDRESS(1,13,1,0,"KeySet"),0),":","""",valueMaker!M502,"""")</f>
        <v>wakibiri:"10%"</v>
      </c>
      <c r="N502" t="str" cm="1">
        <f t="array" aca="1" ref="N502" ca="1">CONCATENATE(INDIRECT(ADDRESS(1,14,1,0,"KeySet"),0),":","""",valueMaker!N502,"""")</f>
        <v>kaninKengenPoint:"有り"</v>
      </c>
      <c r="O502" t="str" cm="1">
        <f t="array" aca="1" ref="O502" ca="1">CONCATENATE(INDIRECT(ADDRESS(1,15,1,0,"KeySet"),0),":","""",valueMaker!O502,"""")</f>
        <v>point:"969"</v>
      </c>
      <c r="P502" t="str" cm="1">
        <f t="array" aca="1" ref="P502" ca="1">CONCATENATE(INDIRECT(ADDRESS(1,16,1,0,"KeySet"),0),":","""",valueMaker!P502,"""")</f>
        <v>bikou:""</v>
      </c>
    </row>
    <row r="503" spans="1:16">
      <c r="A503" t="str" cm="1">
        <f t="array" aca="1" ref="A503" ca="1">CONCATENATE(INDIRECT(ADDRESS(1,1,1,0,"KeySet"),0),":","""",valueMaker!A503,"""")</f>
        <v>kainBangou:"TD10502"</v>
      </c>
      <c r="B503" t="str" cm="1">
        <f t="array" aca="1" ref="B503" ca="1">CONCATENATE(INDIRECT(ADDRESS(1,2,1,0,"KeySet"),0),":","""",valueMaker!B503,"""")</f>
        <v>kainMeiKanji:"黃濱媛"</v>
      </c>
      <c r="C503" t="str" cm="1">
        <f t="array" aca="1" ref="C503" ca="1">CONCATENATE(INDIRECT(ADDRESS(1,3,1,0,"KeySet"),0),":","""",valueMaker!C503,"""")</f>
        <v>kainMeiKana:"ﾎﾜｰﾝ ﾋﾞﾝ ﾕｴﾝ"</v>
      </c>
      <c r="D503" t="str" cm="1">
        <f t="array" aca="1" ref="D503" ca="1">CONCATENATE(INDIRECT(ADDRESS(1,4,1,0,"KeySet"),0),":","""",valueMaker!D503,"""")</f>
        <v>kainMeiEn:"Huang Bin Yuan"</v>
      </c>
      <c r="E503" t="str" cm="1">
        <f t="array" aca="1" ref="E503" ca="1">CONCATENATE(INDIRECT(ADDRESS(1,5,1,0,"KeySet"),0),":","""",valueMaker!E503,"""")</f>
        <v>kainGender:"男性"</v>
      </c>
      <c r="F503" t="str" cm="1">
        <f t="array" aca="1" ref="F503" ca="1">CONCATENATE(INDIRECT(ADDRESS(1,6,1,0,"KeySet"),0),":","""",TEXT(valueMaker!F503,"yyyy/m/d"),"""")</f>
        <v>tanjyoubi:"1986/4/9"</v>
      </c>
      <c r="G503" t="str" cm="1">
        <f t="array" aca="1" ref="G503" ca="1">CONCATENATE(INDIRECT(ADDRESS(1,6,1,0,"KeySet"),0),":","""",TEXT(valueMaker!G503,"yyyy/m/d"),"""")</f>
        <v>tanjyoubi:"2006/7/23"</v>
      </c>
      <c r="H503" t="str" cm="1">
        <f t="array" aca="1" ref="H503" ca="1">CONCATENATE(INDIRECT(ADDRESS(1,6,1,0,"KeySet"),0),":","""",TEXT(valueMaker!H503,"yyyy/m/d"),"""")</f>
        <v>tanjyoubi:"2008/7/22"</v>
      </c>
      <c r="I503" t="str" cm="1">
        <f t="array" aca="1" ref="I503" ca="1">CONCATENATE(INDIRECT(ADDRESS(1,9,1,0,"KeySet"),0),":","""",valueMaker!I503,"""")</f>
        <v>denwaBangou:"080-7664-4452"</v>
      </c>
      <c r="J503" t="str" cm="1">
        <f t="array" aca="1" ref="J503" ca="1">CONCATENATE(INDIRECT(ADDRESS(1,10,1,0,"KeySet"),0),":","""",valueMaker!J503,"""")</f>
        <v>mailAddress:"Huang_Bin_Yuan_38921@outlook.jp.co"</v>
      </c>
      <c r="K503" t="str" cm="1">
        <f t="array" aca="1" ref="K503" ca="1">CONCATENATE(INDIRECT(ADDRESS(1,11,1,0,"KeySet"),0),":","""",valueMaker!K503,"""")</f>
        <v>kaninSyubetu:"普通"</v>
      </c>
      <c r="L503" t="str" cm="1">
        <f t="array" aca="1" ref="L503" ca="1">CONCATENATE(INDIRECT(ADDRESS(1,12,1,0,"KeySet"),0),":","""",valueMaker!L503,"""")</f>
        <v>kaninKengenWB:"-"</v>
      </c>
      <c r="M503" t="str" cm="1">
        <f t="array" aca="1" ref="M503" ca="1">CONCATENATE(INDIRECT(ADDRESS(1,13,1,0,"KeySet"),0),":","""",valueMaker!M503,"""")</f>
        <v>wakibiri:"-"</v>
      </c>
      <c r="N503" t="str" cm="1">
        <f t="array" aca="1" ref="N503" ca="1">CONCATENATE(INDIRECT(ADDRESS(1,14,1,0,"KeySet"),0),":","""",valueMaker!N503,"""")</f>
        <v>kaninKengenPoint:"-"</v>
      </c>
      <c r="O503" t="str" cm="1">
        <f t="array" aca="1" ref="O503" ca="1">CONCATENATE(INDIRECT(ADDRESS(1,15,1,0,"KeySet"),0),":","""",valueMaker!O503,"""")</f>
        <v>point:"-"</v>
      </c>
      <c r="P503" t="str" cm="1">
        <f t="array" aca="1" ref="P503" ca="1">CONCATENATE(INDIRECT(ADDRESS(1,16,1,0,"KeySet"),0),":","""",valueMaker!P503,"""")</f>
        <v>bikou:""</v>
      </c>
    </row>
    <row r="504" spans="1:16">
      <c r="A504" t="str" cm="1">
        <f t="array" aca="1" ref="A504" ca="1">CONCATENATE(INDIRECT(ADDRESS(1,1,1,0,"KeySet"),0),":","""",valueMaker!A504,"""")</f>
        <v>kainBangou:"TD10503"</v>
      </c>
      <c r="B504" t="str" cm="1">
        <f t="array" aca="1" ref="B504" ca="1">CONCATENATE(INDIRECT(ADDRESS(1,2,1,0,"KeySet"),0),":","""",valueMaker!B504,"""")</f>
        <v>kainMeiKanji:"孫冰夢"</v>
      </c>
      <c r="C504" t="str" cm="1">
        <f t="array" aca="1" ref="C504" ca="1">CONCATENATE(INDIRECT(ADDRESS(1,3,1,0,"KeySet"),0),":","""",valueMaker!C504,"""")</f>
        <v>kainMeiKana:"ｽｩﾝ ﾋﾞｰﾝ ﾑｵﾝ"</v>
      </c>
      <c r="D504" t="str" cm="1">
        <f t="array" aca="1" ref="D504" ca="1">CONCATENATE(INDIRECT(ADDRESS(1,4,1,0,"KeySet"),0),":","""",valueMaker!D504,"""")</f>
        <v>kainMeiEn:"Sun Bing Meng"</v>
      </c>
      <c r="E504" t="str" cm="1">
        <f t="array" aca="1" ref="E504" ca="1">CONCATENATE(INDIRECT(ADDRESS(1,5,1,0,"KeySet"),0),":","""",valueMaker!E504,"""")</f>
        <v>kainGender:"女性"</v>
      </c>
      <c r="F504" t="str" cm="1">
        <f t="array" aca="1" ref="F504" ca="1">CONCATENATE(INDIRECT(ADDRESS(1,6,1,0,"KeySet"),0),":","""",TEXT(valueMaker!F504,"yyyy/m/d"),"""")</f>
        <v>tanjyoubi:"1990/9/9"</v>
      </c>
      <c r="G504" t="str" cm="1">
        <f t="array" aca="1" ref="G504" ca="1">CONCATENATE(INDIRECT(ADDRESS(1,6,1,0,"KeySet"),0),":","""",TEXT(valueMaker!G504,"yyyy/m/d"),"""")</f>
        <v>tanjyoubi:"2014/5/28"</v>
      </c>
      <c r="H504" t="str" cm="1">
        <f t="array" aca="1" ref="H504" ca="1">CONCATENATE(INDIRECT(ADDRESS(1,6,1,0,"KeySet"),0),":","""",TEXT(valueMaker!H504,"yyyy/m/d"),"""")</f>
        <v>tanjyoubi:"2016/5/27"</v>
      </c>
      <c r="I504" t="str" cm="1">
        <f t="array" aca="1" ref="I504" ca="1">CONCATENATE(INDIRECT(ADDRESS(1,9,1,0,"KeySet"),0),":","""",valueMaker!I504,"""")</f>
        <v>denwaBangou:"080-3533-0974"</v>
      </c>
      <c r="J504" t="str" cm="1">
        <f t="array" aca="1" ref="J504" ca="1">CONCATENATE(INDIRECT(ADDRESS(1,10,1,0,"KeySet"),0),":","""",valueMaker!J504,"""")</f>
        <v>mailAddress:"Sun_Bing_Meng_41787@outlook.jp.co"</v>
      </c>
      <c r="K504" t="str" cm="1">
        <f t="array" aca="1" ref="K504" ca="1">CONCATENATE(INDIRECT(ADDRESS(1,11,1,0,"KeySet"),0),":","""",valueMaker!K504,"""")</f>
        <v>kaninSyubetu:"普通"</v>
      </c>
      <c r="L504" t="str" cm="1">
        <f t="array" aca="1" ref="L504" ca="1">CONCATENATE(INDIRECT(ADDRESS(1,12,1,0,"KeySet"),0),":","""",valueMaker!L504,"""")</f>
        <v>kaninKengenWB:"-"</v>
      </c>
      <c r="M504" t="str" cm="1">
        <f t="array" aca="1" ref="M504" ca="1">CONCATENATE(INDIRECT(ADDRESS(1,13,1,0,"KeySet"),0),":","""",valueMaker!M504,"""")</f>
        <v>wakibiri:"-"</v>
      </c>
      <c r="N504" t="str" cm="1">
        <f t="array" aca="1" ref="N504" ca="1">CONCATENATE(INDIRECT(ADDRESS(1,14,1,0,"KeySet"),0),":","""",valueMaker!N504,"""")</f>
        <v>kaninKengenPoint:"有り"</v>
      </c>
      <c r="O504" t="str" cm="1">
        <f t="array" aca="1" ref="O504" ca="1">CONCATENATE(INDIRECT(ADDRESS(1,15,1,0,"KeySet"),0),":","""",valueMaker!O504,"""")</f>
        <v>point:"388"</v>
      </c>
      <c r="P504" t="str" cm="1">
        <f t="array" aca="1" ref="P504" ca="1">CONCATENATE(INDIRECT(ADDRESS(1,16,1,0,"KeySet"),0),":","""",valueMaker!P504,"""")</f>
        <v>bikou:""</v>
      </c>
    </row>
    <row r="505" spans="1:16">
      <c r="A505" t="str" cm="1">
        <f t="array" aca="1" ref="A505" ca="1">CONCATENATE(INDIRECT(ADDRESS(1,1,1,0,"KeySet"),0),":","""",valueMaker!A505,"""")</f>
        <v>kainBangou:"TD10504"</v>
      </c>
      <c r="B505" t="str" cm="1">
        <f t="array" aca="1" ref="B505" ca="1">CONCATENATE(INDIRECT(ADDRESS(1,2,1,0,"KeySet"),0),":","""",valueMaker!B505,"""")</f>
        <v>kainMeiKanji:"唐碧漢"</v>
      </c>
      <c r="C505" t="str" cm="1">
        <f t="array" aca="1" ref="C505" ca="1">CONCATENATE(INDIRECT(ADDRESS(1,3,1,0,"KeySet"),0),":","""",valueMaker!C505,"""")</f>
        <v>kainMeiKana:"ﾀｰﾝ ﾋﾞｰ ﾊﾝ"</v>
      </c>
      <c r="D505" t="str" cm="1">
        <f t="array" aca="1" ref="D505" ca="1">CONCATENATE(INDIRECT(ADDRESS(1,4,1,0,"KeySet"),0),":","""",valueMaker!D505,"""")</f>
        <v>kainMeiEn:"Tang Bi Han"</v>
      </c>
      <c r="E505" t="str" cm="1">
        <f t="array" aca="1" ref="E505" ca="1">CONCATENATE(INDIRECT(ADDRESS(1,5,1,0,"KeySet"),0),":","""",valueMaker!E505,"""")</f>
        <v>kainGender:"男性"</v>
      </c>
      <c r="F505" t="str" cm="1">
        <f t="array" aca="1" ref="F505" ca="1">CONCATENATE(INDIRECT(ADDRESS(1,6,1,0,"KeySet"),0),":","""",TEXT(valueMaker!F505,"yyyy/m/d"),"""")</f>
        <v>tanjyoubi:"2005/9/27"</v>
      </c>
      <c r="G505" t="str" cm="1">
        <f t="array" aca="1" ref="G505" ca="1">CONCATENATE(INDIRECT(ADDRESS(1,6,1,0,"KeySet"),0),":","""",TEXT(valueMaker!G505,"yyyy/m/d"),"""")</f>
        <v>tanjyoubi:"2023/11/5"</v>
      </c>
      <c r="H505" t="str" cm="1">
        <f t="array" aca="1" ref="H505" ca="1">CONCATENATE(INDIRECT(ADDRESS(1,6,1,0,"KeySet"),0),":","""",TEXT(valueMaker!H505,"yyyy/m/d"),"""")</f>
        <v>tanjyoubi:"2025/11/4"</v>
      </c>
      <c r="I505" t="str" cm="1">
        <f t="array" aca="1" ref="I505" ca="1">CONCATENATE(INDIRECT(ADDRESS(1,9,1,0,"KeySet"),0),":","""",valueMaker!I505,"""")</f>
        <v>denwaBangou:"080-8248-9021"</v>
      </c>
      <c r="J505" t="str" cm="1">
        <f t="array" aca="1" ref="J505" ca="1">CONCATENATE(INDIRECT(ADDRESS(1,10,1,0,"KeySet"),0),":","""",valueMaker!J505,"""")</f>
        <v>mailAddress:"Tang_Bi_Han_45235@outlook.jp.co"</v>
      </c>
      <c r="K505" t="str" cm="1">
        <f t="array" aca="1" ref="K505" ca="1">CONCATENATE(INDIRECT(ADDRESS(1,11,1,0,"KeySet"),0),":","""",valueMaker!K505,"""")</f>
        <v>kaninSyubetu:"高級"</v>
      </c>
      <c r="L505" t="str" cm="1">
        <f t="array" aca="1" ref="L505" ca="1">CONCATENATE(INDIRECT(ADDRESS(1,12,1,0,"KeySet"),0),":","""",valueMaker!L505,"""")</f>
        <v>kaninKengenWB:"有り"</v>
      </c>
      <c r="M505" t="str" cm="1">
        <f t="array" aca="1" ref="M505" ca="1">CONCATENATE(INDIRECT(ADDRESS(1,13,1,0,"KeySet"),0),":","""",valueMaker!M505,"""")</f>
        <v>wakibiri:"10%"</v>
      </c>
      <c r="N505" t="str" cm="1">
        <f t="array" aca="1" ref="N505" ca="1">CONCATENATE(INDIRECT(ADDRESS(1,14,1,0,"KeySet"),0),":","""",valueMaker!N505,"""")</f>
        <v>kaninKengenPoint:"有り"</v>
      </c>
      <c r="O505" t="str" cm="1">
        <f t="array" aca="1" ref="O505" ca="1">CONCATENATE(INDIRECT(ADDRESS(1,15,1,0,"KeySet"),0),":","""",valueMaker!O505,"""")</f>
        <v>point:"217"</v>
      </c>
      <c r="P505" t="str" cm="1">
        <f t="array" aca="1" ref="P505" ca="1">CONCATENATE(INDIRECT(ADDRESS(1,16,1,0,"KeySet"),0),":","""",valueMaker!P505,"""")</f>
        <v>bikou:""</v>
      </c>
    </row>
    <row r="506" spans="1:16">
      <c r="A506" t="str" cm="1">
        <f t="array" aca="1" ref="A506" ca="1">CONCATENATE(INDIRECT(ADDRESS(1,1,1,0,"KeySet"),0),":","""",valueMaker!A506,"""")</f>
        <v>kainBangou:"TD10505"</v>
      </c>
      <c r="B506" t="str" cm="1">
        <f t="array" aca="1" ref="B506" ca="1">CONCATENATE(INDIRECT(ADDRESS(1,2,1,0,"KeySet"),0),":","""",valueMaker!B506,"""")</f>
        <v>kainMeiKanji:"吳林會"</v>
      </c>
      <c r="C506" t="str" cm="1">
        <f t="array" aca="1" ref="C506" ca="1">CONCATENATE(INDIRECT(ADDRESS(1,3,1,0,"KeySet"),0),":","""",valueMaker!C506,"""")</f>
        <v>kainMeiKana:"ｳｰ ﾘﾝ ﾎｩｲ"</v>
      </c>
      <c r="D506" t="str" cm="1">
        <f t="array" aca="1" ref="D506" ca="1">CONCATENATE(INDIRECT(ADDRESS(1,4,1,0,"KeySet"),0),":","""",valueMaker!D506,"""")</f>
        <v>kainMeiEn:"Wu Lin Hui"</v>
      </c>
      <c r="E506" t="str" cm="1">
        <f t="array" aca="1" ref="E506" ca="1">CONCATENATE(INDIRECT(ADDRESS(1,5,1,0,"KeySet"),0),":","""",valueMaker!E506,"""")</f>
        <v>kainGender:"-"</v>
      </c>
      <c r="F506" t="str" cm="1">
        <f t="array" aca="1" ref="F506" ca="1">CONCATENATE(INDIRECT(ADDRESS(1,6,1,0,"KeySet"),0),":","""",TEXT(valueMaker!F506,"yyyy/m/d"),"""")</f>
        <v>tanjyoubi:"1989/6/2"</v>
      </c>
      <c r="G506" t="str" cm="1">
        <f t="array" aca="1" ref="G506" ca="1">CONCATENATE(INDIRECT(ADDRESS(1,6,1,0,"KeySet"),0),":","""",TEXT(valueMaker!G506,"yyyy/m/d"),"""")</f>
        <v>tanjyoubi:"2007/9/19"</v>
      </c>
      <c r="H506" t="str" cm="1">
        <f t="array" aca="1" ref="H506" ca="1">CONCATENATE(INDIRECT(ADDRESS(1,6,1,0,"KeySet"),0),":","""",TEXT(valueMaker!H506,"yyyy/m/d"),"""")</f>
        <v>tanjyoubi:"2010/9/18"</v>
      </c>
      <c r="I506" t="str" cm="1">
        <f t="array" aca="1" ref="I506" ca="1">CONCATENATE(INDIRECT(ADDRESS(1,9,1,0,"KeySet"),0),":","""",valueMaker!I506,"""")</f>
        <v>denwaBangou:"080-6301-5532"</v>
      </c>
      <c r="J506" t="str" cm="1">
        <f t="array" aca="1" ref="J506" ca="1">CONCATENATE(INDIRECT(ADDRESS(1,10,1,0,"KeySet"),0),":","""",valueMaker!J506,"""")</f>
        <v>mailAddress:"Wu_Lin Hui_39344@outlook.jp.co"</v>
      </c>
      <c r="K506" t="str" cm="1">
        <f t="array" aca="1" ref="K506" ca="1">CONCATENATE(INDIRECT(ADDRESS(1,11,1,0,"KeySet"),0),":","""",valueMaker!K506,"""")</f>
        <v>kaninSyubetu:"高級"</v>
      </c>
      <c r="L506" t="str" cm="1">
        <f t="array" aca="1" ref="L506" ca="1">CONCATENATE(INDIRECT(ADDRESS(1,12,1,0,"KeySet"),0),":","""",valueMaker!L506,"""")</f>
        <v>kaninKengenWB:"有り"</v>
      </c>
      <c r="M506" t="str" cm="1">
        <f t="array" aca="1" ref="M506" ca="1">CONCATENATE(INDIRECT(ADDRESS(1,13,1,0,"KeySet"),0),":","""",valueMaker!M506,"""")</f>
        <v>wakibiri:"10%"</v>
      </c>
      <c r="N506" t="str" cm="1">
        <f t="array" aca="1" ref="N506" ca="1">CONCATENATE(INDIRECT(ADDRESS(1,14,1,0,"KeySet"),0),":","""",valueMaker!N506,"""")</f>
        <v>kaninKengenPoint:"有り"</v>
      </c>
      <c r="O506" t="str" cm="1">
        <f t="array" aca="1" ref="O506" ca="1">CONCATENATE(INDIRECT(ADDRESS(1,15,1,0,"KeySet"),0),":","""",valueMaker!O506,"""")</f>
        <v>point:"956"</v>
      </c>
      <c r="P506" t="str" cm="1">
        <f t="array" aca="1" ref="P506" ca="1">CONCATENATE(INDIRECT(ADDRESS(1,16,1,0,"KeySet"),0),":","""",valueMaker!P506,"""")</f>
        <v>bikou:""</v>
      </c>
    </row>
    <row r="507" spans="1:16">
      <c r="A507" t="str" cm="1">
        <f t="array" aca="1" ref="A507" ca="1">CONCATENATE(INDIRECT(ADDRESS(1,1,1,0,"KeySet"),0),":","""",valueMaker!A507,"""")</f>
        <v>kainBangou:"TD10506"</v>
      </c>
      <c r="B507" t="str" cm="1">
        <f t="array" aca="1" ref="B507" ca="1">CONCATENATE(INDIRECT(ADDRESS(1,2,1,0,"KeySet"),0),":","""",valueMaker!B507,"""")</f>
        <v>kainMeiKanji:"趙忠本"</v>
      </c>
      <c r="C507" t="str" cm="1">
        <f t="array" aca="1" ref="C507" ca="1">CONCATENATE(INDIRECT(ADDRESS(1,3,1,0,"KeySet"),0),":","""",valueMaker!C507,"""")</f>
        <v>kainMeiKana:"ｼﾞｬｵ ｼﾞｮｰﾝ ﾍﾞﾝ"</v>
      </c>
      <c r="D507" t="str" cm="1">
        <f t="array" aca="1" ref="D507" ca="1">CONCATENATE(INDIRECT(ADDRESS(1,4,1,0,"KeySet"),0),":","""",valueMaker!D507,"""")</f>
        <v>kainMeiEn:"Zhao Zhong Ben"</v>
      </c>
      <c r="E507" t="str" cm="1">
        <f t="array" aca="1" ref="E507" ca="1">CONCATENATE(INDIRECT(ADDRESS(1,5,1,0,"KeySet"),0),":","""",valueMaker!E507,"""")</f>
        <v>kainGender:"男性"</v>
      </c>
      <c r="F507" t="str" cm="1">
        <f t="array" aca="1" ref="F507" ca="1">CONCATENATE(INDIRECT(ADDRESS(1,6,1,0,"KeySet"),0),":","""",TEXT(valueMaker!F507,"yyyy/m/d"),"""")</f>
        <v>tanjyoubi:"1967/2/25"</v>
      </c>
      <c r="G507" t="str" cm="1">
        <f t="array" aca="1" ref="G507" ca="1">CONCATENATE(INDIRECT(ADDRESS(1,6,1,0,"KeySet"),0),":","""",TEXT(valueMaker!G507,"yyyy/m/d"),"""")</f>
        <v>tanjyoubi:"2006/4/25"</v>
      </c>
      <c r="H507" t="str" cm="1">
        <f t="array" aca="1" ref="H507" ca="1">CONCATENATE(INDIRECT(ADDRESS(1,6,1,0,"KeySet"),0),":","""",TEXT(valueMaker!H507,"yyyy/m/d"),"""")</f>
        <v>tanjyoubi:"2009/4/24"</v>
      </c>
      <c r="I507" t="str" cm="1">
        <f t="array" aca="1" ref="I507" ca="1">CONCATENATE(INDIRECT(ADDRESS(1,9,1,0,"KeySet"),0),":","""",valueMaker!I507,"""")</f>
        <v>denwaBangou:"090-4263-3529"</v>
      </c>
      <c r="J507" t="str" cm="1">
        <f t="array" aca="1" ref="J507" ca="1">CONCATENATE(INDIRECT(ADDRESS(1,10,1,0,"KeySet"),0),":","""",valueMaker!J507,"""")</f>
        <v>mailAddress:"Zhao_Zhong_Ben_38832@outlook.jp.co"</v>
      </c>
      <c r="K507" t="str" cm="1">
        <f t="array" aca="1" ref="K507" ca="1">CONCATENATE(INDIRECT(ADDRESS(1,11,1,0,"KeySet"),0),":","""",valueMaker!K507,"""")</f>
        <v>kaninSyubetu:"普通"</v>
      </c>
      <c r="L507" t="str" cm="1">
        <f t="array" aca="1" ref="L507" ca="1">CONCATENATE(INDIRECT(ADDRESS(1,12,1,0,"KeySet"),0),":","""",valueMaker!L507,"""")</f>
        <v>kaninKengenWB:"有り"</v>
      </c>
      <c r="M507" t="str" cm="1">
        <f t="array" aca="1" ref="M507" ca="1">CONCATENATE(INDIRECT(ADDRESS(1,13,1,0,"KeySet"),0),":","""",valueMaker!M507,"""")</f>
        <v>wakibiri:"5%"</v>
      </c>
      <c r="N507" t="str" cm="1">
        <f t="array" aca="1" ref="N507" ca="1">CONCATENATE(INDIRECT(ADDRESS(1,14,1,0,"KeySet"),0),":","""",valueMaker!N507,"""")</f>
        <v>kaninKengenPoint:"有り"</v>
      </c>
      <c r="O507" t="str" cm="1">
        <f t="array" aca="1" ref="O507" ca="1">CONCATENATE(INDIRECT(ADDRESS(1,15,1,0,"KeySet"),0),":","""",valueMaker!O507,"""")</f>
        <v>point:"494"</v>
      </c>
      <c r="P507" t="str" cm="1">
        <f t="array" aca="1" ref="P507" ca="1">CONCATENATE(INDIRECT(ADDRESS(1,16,1,0,"KeySet"),0),":","""",valueMaker!P507,"""")</f>
        <v>bikou:""</v>
      </c>
    </row>
    <row r="508" spans="1:16">
      <c r="A508" t="str" cm="1">
        <f t="array" aca="1" ref="A508" ca="1">CONCATENATE(INDIRECT(ADDRESS(1,1,1,0,"KeySet"),0),":","""",valueMaker!A508,"""")</f>
        <v>kainBangou:"TD10507"</v>
      </c>
      <c r="B508" t="str" cm="1">
        <f t="array" aca="1" ref="B508" ca="1">CONCATENATE(INDIRECT(ADDRESS(1,2,1,0,"KeySet"),0),":","""",valueMaker!B508,"""")</f>
        <v>kainMeiKanji:"梁晟輝"</v>
      </c>
      <c r="C508" t="str" cm="1">
        <f t="array" aca="1" ref="C508" ca="1">CONCATENATE(INDIRECT(ADDRESS(1,3,1,0,"KeySet"),0),":","""",valueMaker!C508,"""")</f>
        <v>kainMeiKana:"ﾘﾔｰﾝ ｼｭﾖﾝ ﾎｩｲ"</v>
      </c>
      <c r="D508" t="str" cm="1">
        <f t="array" aca="1" ref="D508" ca="1">CONCATENATE(INDIRECT(ADDRESS(1,4,1,0,"KeySet"),0),":","""",valueMaker!D508,"""")</f>
        <v>kainMeiEn:"Liang Sheng Hui"</v>
      </c>
      <c r="E508" t="str" cm="1">
        <f t="array" aca="1" ref="E508" ca="1">CONCATENATE(INDIRECT(ADDRESS(1,5,1,0,"KeySet"),0),":","""",valueMaker!E508,"""")</f>
        <v>kainGender:"女性"</v>
      </c>
      <c r="F508" t="str" cm="1">
        <f t="array" aca="1" ref="F508" ca="1">CONCATENATE(INDIRECT(ADDRESS(1,6,1,0,"KeySet"),0),":","""",TEXT(valueMaker!F508,"yyyy/m/d"),"""")</f>
        <v>tanjyoubi:"1987/5/31"</v>
      </c>
      <c r="G508" t="str" cm="1">
        <f t="array" aca="1" ref="G508" ca="1">CONCATENATE(INDIRECT(ADDRESS(1,6,1,0,"KeySet"),0),":","""",TEXT(valueMaker!G508,"yyyy/m/d"),"""")</f>
        <v>tanjyoubi:"2009/5/27"</v>
      </c>
      <c r="H508" t="str" cm="1">
        <f t="array" aca="1" ref="H508" ca="1">CONCATENATE(INDIRECT(ADDRESS(1,6,1,0,"KeySet"),0),":","""",TEXT(valueMaker!H508,"yyyy/m/d"),"""")</f>
        <v>tanjyoubi:"2010/5/27"</v>
      </c>
      <c r="I508" t="str" cm="1">
        <f t="array" aca="1" ref="I508" ca="1">CONCATENATE(INDIRECT(ADDRESS(1,9,1,0,"KeySet"),0),":","""",valueMaker!I508,"""")</f>
        <v>denwaBangou:"090-1129-7644"</v>
      </c>
      <c r="J508" t="str" cm="1">
        <f t="array" aca="1" ref="J508" ca="1">CONCATENATE(INDIRECT(ADDRESS(1,10,1,0,"KeySet"),0),":","""",valueMaker!J508,"""")</f>
        <v>mailAddress:"Liang_Sheng_Hui_39960@outlook.jp.co"</v>
      </c>
      <c r="K508" t="str" cm="1">
        <f t="array" aca="1" ref="K508" ca="1">CONCATENATE(INDIRECT(ADDRESS(1,11,1,0,"KeySet"),0),":","""",valueMaker!K508,"""")</f>
        <v>kaninSyubetu:"普通"</v>
      </c>
      <c r="L508" t="str" cm="1">
        <f t="array" aca="1" ref="L508" ca="1">CONCATENATE(INDIRECT(ADDRESS(1,12,1,0,"KeySet"),0),":","""",valueMaker!L508,"""")</f>
        <v>kaninKengenWB:"-"</v>
      </c>
      <c r="M508" t="str" cm="1">
        <f t="array" aca="1" ref="M508" ca="1">CONCATENATE(INDIRECT(ADDRESS(1,13,1,0,"KeySet"),0),":","""",valueMaker!M508,"""")</f>
        <v>wakibiri:"-"</v>
      </c>
      <c r="N508" t="str" cm="1">
        <f t="array" aca="1" ref="N508" ca="1">CONCATENATE(INDIRECT(ADDRESS(1,14,1,0,"KeySet"),0),":","""",valueMaker!N508,"""")</f>
        <v>kaninKengenPoint:"有り"</v>
      </c>
      <c r="O508" t="str" cm="1">
        <f t="array" aca="1" ref="O508" ca="1">CONCATENATE(INDIRECT(ADDRESS(1,15,1,0,"KeySet"),0),":","""",valueMaker!O508,"""")</f>
        <v>point:"207"</v>
      </c>
      <c r="P508" t="str" cm="1">
        <f t="array" aca="1" ref="P508" ca="1">CONCATENATE(INDIRECT(ADDRESS(1,16,1,0,"KeySet"),0),":","""",valueMaker!P508,"""")</f>
        <v>bikou:""</v>
      </c>
    </row>
    <row r="509" spans="1:16">
      <c r="A509" t="str" cm="1">
        <f t="array" aca="1" ref="A509" ca="1">CONCATENATE(INDIRECT(ADDRESS(1,1,1,0,"KeySet"),0),":","""",valueMaker!A509,"""")</f>
        <v>kainBangou:"TD10508"</v>
      </c>
      <c r="B509" t="str" cm="1">
        <f t="array" aca="1" ref="B509" ca="1">CONCATENATE(INDIRECT(ADDRESS(1,2,1,0,"KeySet"),0),":","""",valueMaker!B509,"""")</f>
        <v>kainMeiKanji:"何銀池"</v>
      </c>
      <c r="C509" t="str" cm="1">
        <f t="array" aca="1" ref="C509" ca="1">CONCATENATE(INDIRECT(ADDRESS(1,3,1,0,"KeySet"),0),":","""",valueMaker!C509,"""")</f>
        <v>kainMeiKana:"ﾎｰｧ ｲﾝ ﾁｰ"</v>
      </c>
      <c r="D509" t="str" cm="1">
        <f t="array" aca="1" ref="D509" ca="1">CONCATENATE(INDIRECT(ADDRESS(1,4,1,0,"KeySet"),0),":","""",valueMaker!D509,"""")</f>
        <v>kainMeiEn:"He Yin Chi"</v>
      </c>
      <c r="E509" t="str" cm="1">
        <f t="array" aca="1" ref="E509" ca="1">CONCATENATE(INDIRECT(ADDRESS(1,5,1,0,"KeySet"),0),":","""",valueMaker!E509,"""")</f>
        <v>kainGender:"-"</v>
      </c>
      <c r="F509" t="str" cm="1">
        <f t="array" aca="1" ref="F509" ca="1">CONCATENATE(INDIRECT(ADDRESS(1,6,1,0,"KeySet"),0),":","""",TEXT(valueMaker!F509,"yyyy/m/d"),"""")</f>
        <v>tanjyoubi:"1992/7/29"</v>
      </c>
      <c r="G509" t="str" cm="1">
        <f t="array" aca="1" ref="G509" ca="1">CONCATENATE(INDIRECT(ADDRESS(1,6,1,0,"KeySet"),0),":","""",TEXT(valueMaker!G509,"yyyy/m/d"),"""")</f>
        <v>tanjyoubi:"2011/8/31"</v>
      </c>
      <c r="H509" t="str" cm="1">
        <f t="array" aca="1" ref="H509" ca="1">CONCATENATE(INDIRECT(ADDRESS(1,6,1,0,"KeySet"),0),":","""",TEXT(valueMaker!H509,"yyyy/m/d"),"""")</f>
        <v>tanjyoubi:"2014/8/30"</v>
      </c>
      <c r="I509" t="str" cm="1">
        <f t="array" aca="1" ref="I509" ca="1">CONCATENATE(INDIRECT(ADDRESS(1,9,1,0,"KeySet"),0),":","""",valueMaker!I509,"""")</f>
        <v>denwaBangou:"090-6157-7508"</v>
      </c>
      <c r="J509" t="str" cm="1">
        <f t="array" aca="1" ref="J509" ca="1">CONCATENATE(INDIRECT(ADDRESS(1,10,1,0,"KeySet"),0),":","""",valueMaker!J509,"""")</f>
        <v>mailAddress:"He_Yin_Chi_40786@outlook.jp.co"</v>
      </c>
      <c r="K509" t="str" cm="1">
        <f t="array" aca="1" ref="K509" ca="1">CONCATENATE(INDIRECT(ADDRESS(1,11,1,0,"KeySet"),0),":","""",valueMaker!K509,"""")</f>
        <v>kaninSyubetu:"普通"</v>
      </c>
      <c r="L509" t="str" cm="1">
        <f t="array" aca="1" ref="L509" ca="1">CONCATENATE(INDIRECT(ADDRESS(1,12,1,0,"KeySet"),0),":","""",valueMaker!L509,"""")</f>
        <v>kaninKengenWB:"有り"</v>
      </c>
      <c r="M509" t="str" cm="1">
        <f t="array" aca="1" ref="M509" ca="1">CONCATENATE(INDIRECT(ADDRESS(1,13,1,0,"KeySet"),0),":","""",valueMaker!M509,"""")</f>
        <v>wakibiri:"5%"</v>
      </c>
      <c r="N509" t="str" cm="1">
        <f t="array" aca="1" ref="N509" ca="1">CONCATENATE(INDIRECT(ADDRESS(1,14,1,0,"KeySet"),0),":","""",valueMaker!N509,"""")</f>
        <v>kaninKengenPoint:"-"</v>
      </c>
      <c r="O509" t="str" cm="1">
        <f t="array" aca="1" ref="O509" ca="1">CONCATENATE(INDIRECT(ADDRESS(1,15,1,0,"KeySet"),0),":","""",valueMaker!O509,"""")</f>
        <v>point:"-"</v>
      </c>
      <c r="P509" t="str" cm="1">
        <f t="array" aca="1" ref="P509" ca="1">CONCATENATE(INDIRECT(ADDRESS(1,16,1,0,"KeySet"),0),":","""",valueMaker!P509,"""")</f>
        <v>bikou:""</v>
      </c>
    </row>
    <row r="510" spans="1:16">
      <c r="A510" t="str" cm="1">
        <f t="array" aca="1" ref="A510" ca="1">CONCATENATE(INDIRECT(ADDRESS(1,1,1,0,"KeySet"),0),":","""",valueMaker!A510,"""")</f>
        <v>kainBangou:"TD10509"</v>
      </c>
      <c r="B510" t="str" cm="1">
        <f t="array" aca="1" ref="B510" ca="1">CONCATENATE(INDIRECT(ADDRESS(1,2,1,0,"KeySet"),0),":","""",valueMaker!B510,"""")</f>
        <v>kainMeiKanji:"陳茂韋"</v>
      </c>
      <c r="C510" t="str" cm="1">
        <f t="array" aca="1" ref="C510" ca="1">CONCATENATE(INDIRECT(ADDRESS(1,3,1,0,"KeySet"),0),":","""",valueMaker!C510,"""")</f>
        <v>kainMeiKana:"ﾁｪﾝ ﾏｵ ｳｴｲ"</v>
      </c>
      <c r="D510" t="str" cm="1">
        <f t="array" aca="1" ref="D510" ca="1">CONCATENATE(INDIRECT(ADDRESS(1,4,1,0,"KeySet"),0),":","""",valueMaker!D510,"""")</f>
        <v>kainMeiEn:"Chen Mao Wei"</v>
      </c>
      <c r="E510" t="str" cm="1">
        <f t="array" aca="1" ref="E510" ca="1">CONCATENATE(INDIRECT(ADDRESS(1,5,1,0,"KeySet"),0),":","""",valueMaker!E510,"""")</f>
        <v>kainGender:"女性"</v>
      </c>
      <c r="F510" t="str" cm="1">
        <f t="array" aca="1" ref="F510" ca="1">CONCATENATE(INDIRECT(ADDRESS(1,6,1,0,"KeySet"),0),":","""",TEXT(valueMaker!F510,"yyyy/m/d"),"""")</f>
        <v>tanjyoubi:"1969/9/19"</v>
      </c>
      <c r="G510" t="str" cm="1">
        <f t="array" aca="1" ref="G510" ca="1">CONCATENATE(INDIRECT(ADDRESS(1,6,1,0,"KeySet"),0),":","""",TEXT(valueMaker!G510,"yyyy/m/d"),"""")</f>
        <v>tanjyoubi:"2021/5/14"</v>
      </c>
      <c r="H510" t="str" cm="1">
        <f t="array" aca="1" ref="H510" ca="1">CONCATENATE(INDIRECT(ADDRESS(1,6,1,0,"KeySet"),0),":","""",TEXT(valueMaker!H510,"yyyy/m/d"),"""")</f>
        <v>tanjyoubi:"2023/5/14"</v>
      </c>
      <c r="I510" t="str" cm="1">
        <f t="array" aca="1" ref="I510" ca="1">CONCATENATE(INDIRECT(ADDRESS(1,9,1,0,"KeySet"),0),":","""",valueMaker!I510,"""")</f>
        <v>denwaBangou:"080-0784-8242"</v>
      </c>
      <c r="J510" t="str" cm="1">
        <f t="array" aca="1" ref="J510" ca="1">CONCATENATE(INDIRECT(ADDRESS(1,10,1,0,"KeySet"),0),":","""",valueMaker!J510,"""")</f>
        <v>mailAddress:"Chen_Mao_Wei_44330@outlook.jp.co"</v>
      </c>
      <c r="K510" t="str" cm="1">
        <f t="array" aca="1" ref="K510" ca="1">CONCATENATE(INDIRECT(ADDRESS(1,11,1,0,"KeySet"),0),":","""",valueMaker!K510,"""")</f>
        <v>kaninSyubetu:"高級"</v>
      </c>
      <c r="L510" t="str" cm="1">
        <f t="array" aca="1" ref="L510" ca="1">CONCATENATE(INDIRECT(ADDRESS(1,12,1,0,"KeySet"),0),":","""",valueMaker!L510,"""")</f>
        <v>kaninKengenWB:"有り"</v>
      </c>
      <c r="M510" t="str" cm="1">
        <f t="array" aca="1" ref="M510" ca="1">CONCATENATE(INDIRECT(ADDRESS(1,13,1,0,"KeySet"),0),":","""",valueMaker!M510,"""")</f>
        <v>wakibiri:"10%"</v>
      </c>
      <c r="N510" t="str" cm="1">
        <f t="array" aca="1" ref="N510" ca="1">CONCATENATE(INDIRECT(ADDRESS(1,14,1,0,"KeySet"),0),":","""",valueMaker!N510,"""")</f>
        <v>kaninKengenPoint:"有り"</v>
      </c>
      <c r="O510" t="str" cm="1">
        <f t="array" aca="1" ref="O510" ca="1">CONCATENATE(INDIRECT(ADDRESS(1,15,1,0,"KeySet"),0),":","""",valueMaker!O510,"""")</f>
        <v>point:"388"</v>
      </c>
      <c r="P510" t="str" cm="1">
        <f t="array" aca="1" ref="P510" ca="1">CONCATENATE(INDIRECT(ADDRESS(1,16,1,0,"KeySet"),0),":","""",valueMaker!P510,"""")</f>
        <v>bikou:""</v>
      </c>
    </row>
    <row r="511" spans="1:16">
      <c r="A511" t="str" cm="1">
        <f t="array" aca="1" ref="A511" ca="1">CONCATENATE(INDIRECT(ADDRESS(1,1,1,0,"KeySet"),0),":","""",valueMaker!A511,"""")</f>
        <v>kainBangou:"TD10510"</v>
      </c>
      <c r="B511" t="str" cm="1">
        <f t="array" aca="1" ref="B511" ca="1">CONCATENATE(INDIRECT(ADDRESS(1,2,1,0,"KeySet"),0),":","""",valueMaker!B511,"""")</f>
        <v>kainMeiKanji:"徐索頻"</v>
      </c>
      <c r="C511" t="str" cm="1">
        <f t="array" aca="1" ref="C511" ca="1">CONCATENATE(INDIRECT(ADDRESS(1,3,1,0,"KeySet"),0),":","""",valueMaker!C511,"""")</f>
        <v>kainMeiKana:"ｼｭｲ ｽｩｵ ﾋﾟﾝ"</v>
      </c>
      <c r="D511" t="str" cm="1">
        <f t="array" aca="1" ref="D511" ca="1">CONCATENATE(INDIRECT(ADDRESS(1,4,1,0,"KeySet"),0),":","""",valueMaker!D511,"""")</f>
        <v>kainMeiEn:"Xu Suo Pin"</v>
      </c>
      <c r="E511" t="str" cm="1">
        <f t="array" aca="1" ref="E511" ca="1">CONCATENATE(INDIRECT(ADDRESS(1,5,1,0,"KeySet"),0),":","""",valueMaker!E511,"""")</f>
        <v>kainGender:"男性"</v>
      </c>
      <c r="F511" t="str" cm="1">
        <f t="array" aca="1" ref="F511" ca="1">CONCATENATE(INDIRECT(ADDRESS(1,6,1,0,"KeySet"),0),":","""",TEXT(valueMaker!F511,"yyyy/m/d"),"""")</f>
        <v>tanjyoubi:"1965/9/3"</v>
      </c>
      <c r="G511" t="str" cm="1">
        <f t="array" aca="1" ref="G511" ca="1">CONCATENATE(INDIRECT(ADDRESS(1,6,1,0,"KeySet"),0),":","""",TEXT(valueMaker!G511,"yyyy/m/d"),"""")</f>
        <v>tanjyoubi:"1985/2/14"</v>
      </c>
      <c r="H511" t="str" cm="1">
        <f t="array" aca="1" ref="H511" ca="1">CONCATENATE(INDIRECT(ADDRESS(1,6,1,0,"KeySet"),0),":","""",TEXT(valueMaker!H511,"yyyy/m/d"),"""")</f>
        <v>tanjyoubi:"1988/2/14"</v>
      </c>
      <c r="I511" t="str" cm="1">
        <f t="array" aca="1" ref="I511" ca="1">CONCATENATE(INDIRECT(ADDRESS(1,9,1,0,"KeySet"),0),":","""",valueMaker!I511,"""")</f>
        <v>denwaBangou:"090-8960-2347"</v>
      </c>
      <c r="J511" t="str" cm="1">
        <f t="array" aca="1" ref="J511" ca="1">CONCATENATE(INDIRECT(ADDRESS(1,10,1,0,"KeySet"),0),":","""",valueMaker!J511,"""")</f>
        <v>mailAddress:"Xu_Suo_Pin_31092@outlook.jp.co"</v>
      </c>
      <c r="K511" t="str" cm="1">
        <f t="array" aca="1" ref="K511" ca="1">CONCATENATE(INDIRECT(ADDRESS(1,11,1,0,"KeySet"),0),":","""",valueMaker!K511,"""")</f>
        <v>kaninSyubetu:"普通"</v>
      </c>
      <c r="L511" t="str" cm="1">
        <f t="array" aca="1" ref="L511" ca="1">CONCATENATE(INDIRECT(ADDRESS(1,12,1,0,"KeySet"),0),":","""",valueMaker!L511,"""")</f>
        <v>kaninKengenWB:"有り"</v>
      </c>
      <c r="M511" t="str" cm="1">
        <f t="array" aca="1" ref="M511" ca="1">CONCATENATE(INDIRECT(ADDRESS(1,13,1,0,"KeySet"),0),":","""",valueMaker!M511,"""")</f>
        <v>wakibiri:"5%"</v>
      </c>
      <c r="N511" t="str" cm="1">
        <f t="array" aca="1" ref="N511" ca="1">CONCATENATE(INDIRECT(ADDRESS(1,14,1,0,"KeySet"),0),":","""",valueMaker!N511,"""")</f>
        <v>kaninKengenPoint:"有り"</v>
      </c>
      <c r="O511" t="str" cm="1">
        <f t="array" aca="1" ref="O511" ca="1">CONCATENATE(INDIRECT(ADDRESS(1,15,1,0,"KeySet"),0),":","""",valueMaker!O511,"""")</f>
        <v>point:"340"</v>
      </c>
      <c r="P511" t="str" cm="1">
        <f t="array" aca="1" ref="P511" ca="1">CONCATENATE(INDIRECT(ADDRESS(1,16,1,0,"KeySet"),0),":","""",valueMaker!P511,"""")</f>
        <v>bikou:""</v>
      </c>
    </row>
    <row r="512" spans="1:16">
      <c r="A512" t="str" cm="1">
        <f t="array" aca="1" ref="A512" ca="1">CONCATENATE(INDIRECT(ADDRESS(1,1,1,0,"KeySet"),0),":","""",valueMaker!A512,"""")</f>
        <v>kainBangou:"TD10511"</v>
      </c>
      <c r="B512" t="str" cm="1">
        <f t="array" aca="1" ref="B512" ca="1">CONCATENATE(INDIRECT(ADDRESS(1,2,1,0,"KeySet"),0),":","""",valueMaker!B512,"""")</f>
        <v>kainMeiKanji:"梁協曉"</v>
      </c>
      <c r="C512" t="str" cm="1">
        <f t="array" aca="1" ref="C512" ca="1">CONCATENATE(INDIRECT(ADDRESS(1,3,1,0,"KeySet"),0),":","""",valueMaker!C512,"""")</f>
        <v>kainMeiKana:"ﾘﾔｰﾝ ｼｴ ｼﾔｵ"</v>
      </c>
      <c r="D512" t="str" cm="1">
        <f t="array" aca="1" ref="D512" ca="1">CONCATENATE(INDIRECT(ADDRESS(1,4,1,0,"KeySet"),0),":","""",valueMaker!D512,"""")</f>
        <v>kainMeiEn:"Liang Xie Xiao"</v>
      </c>
      <c r="E512" t="str" cm="1">
        <f t="array" aca="1" ref="E512" ca="1">CONCATENATE(INDIRECT(ADDRESS(1,5,1,0,"KeySet"),0),":","""",valueMaker!E512,"""")</f>
        <v>kainGender:"男性"</v>
      </c>
      <c r="F512" t="str" cm="1">
        <f t="array" aca="1" ref="F512" ca="1">CONCATENATE(INDIRECT(ADDRESS(1,6,1,0,"KeySet"),0),":","""",TEXT(valueMaker!F512,"yyyy/m/d"),"""")</f>
        <v>tanjyoubi:"1998/4/17"</v>
      </c>
      <c r="G512" t="str" cm="1">
        <f t="array" aca="1" ref="G512" ca="1">CONCATENATE(INDIRECT(ADDRESS(1,6,1,0,"KeySet"),0),":","""",TEXT(valueMaker!G512,"yyyy/m/d"),"""")</f>
        <v>tanjyoubi:"2017/8/9"</v>
      </c>
      <c r="H512" t="str" cm="1">
        <f t="array" aca="1" ref="H512" ca="1">CONCATENATE(INDIRECT(ADDRESS(1,6,1,0,"KeySet"),0),":","""",TEXT(valueMaker!H512,"yyyy/m/d"),"""")</f>
        <v>tanjyoubi:"2019/8/9"</v>
      </c>
      <c r="I512" t="str" cm="1">
        <f t="array" aca="1" ref="I512" ca="1">CONCATENATE(INDIRECT(ADDRESS(1,9,1,0,"KeySet"),0),":","""",valueMaker!I512,"""")</f>
        <v>denwaBangou:"080-7318-1612"</v>
      </c>
      <c r="J512" t="str" cm="1">
        <f t="array" aca="1" ref="J512" ca="1">CONCATENATE(INDIRECT(ADDRESS(1,10,1,0,"KeySet"),0),":","""",valueMaker!J512,"""")</f>
        <v>mailAddress:"Liang_Xie_Xiao_42956@outlook.jp.co"</v>
      </c>
      <c r="K512" t="str" cm="1">
        <f t="array" aca="1" ref="K512" ca="1">CONCATENATE(INDIRECT(ADDRESS(1,11,1,0,"KeySet"),0),":","""",valueMaker!K512,"""")</f>
        <v>kaninSyubetu:"普通"</v>
      </c>
      <c r="L512" t="str" cm="1">
        <f t="array" aca="1" ref="L512" ca="1">CONCATENATE(INDIRECT(ADDRESS(1,12,1,0,"KeySet"),0),":","""",valueMaker!L512,"""")</f>
        <v>kaninKengenWB:"有り"</v>
      </c>
      <c r="M512" t="str" cm="1">
        <f t="array" aca="1" ref="M512" ca="1">CONCATENATE(INDIRECT(ADDRESS(1,13,1,0,"KeySet"),0),":","""",valueMaker!M512,"""")</f>
        <v>wakibiri:"5%"</v>
      </c>
      <c r="N512" t="str" cm="1">
        <f t="array" aca="1" ref="N512" ca="1">CONCATENATE(INDIRECT(ADDRESS(1,14,1,0,"KeySet"),0),":","""",valueMaker!N512,"""")</f>
        <v>kaninKengenPoint:"有り"</v>
      </c>
      <c r="O512" t="str" cm="1">
        <f t="array" aca="1" ref="O512" ca="1">CONCATENATE(INDIRECT(ADDRESS(1,15,1,0,"KeySet"),0),":","""",valueMaker!O512,"""")</f>
        <v>point:"586"</v>
      </c>
      <c r="P512" t="str" cm="1">
        <f t="array" aca="1" ref="P512" ca="1">CONCATENATE(INDIRECT(ADDRESS(1,16,1,0,"KeySet"),0),":","""",valueMaker!P512,"""")</f>
        <v>bikou:""</v>
      </c>
    </row>
    <row r="513" spans="1:16">
      <c r="A513" t="str" cm="1">
        <f t="array" aca="1" ref="A513" ca="1">CONCATENATE(INDIRECT(ADDRESS(1,1,1,0,"KeySet"),0),":","""",valueMaker!A513,"""")</f>
        <v>kainBangou:"TD10512"</v>
      </c>
      <c r="B513" t="str" cm="1">
        <f t="array" aca="1" ref="B513" ca="1">CONCATENATE(INDIRECT(ADDRESS(1,2,1,0,"KeySet"),0),":","""",valueMaker!B513,"""")</f>
        <v>kainMeiKanji:"謝協曉"</v>
      </c>
      <c r="C513" t="str" cm="1">
        <f t="array" aca="1" ref="C513" ca="1">CONCATENATE(INDIRECT(ADDRESS(1,3,1,0,"KeySet"),0),":","""",valueMaker!C513,"""")</f>
        <v>kainMeiKana:"ｼｴ ｼｴ ｼﾔｵ"</v>
      </c>
      <c r="D513" t="str" cm="1">
        <f t="array" aca="1" ref="D513" ca="1">CONCATENATE(INDIRECT(ADDRESS(1,4,1,0,"KeySet"),0),":","""",valueMaker!D513,"""")</f>
        <v>kainMeiEn:"Xie Xie Xiao"</v>
      </c>
      <c r="E513" t="str" cm="1">
        <f t="array" aca="1" ref="E513" ca="1">CONCATENATE(INDIRECT(ADDRESS(1,5,1,0,"KeySet"),0),":","""",valueMaker!E513,"""")</f>
        <v>kainGender:"女性"</v>
      </c>
      <c r="F513" t="str" cm="1">
        <f t="array" aca="1" ref="F513" ca="1">CONCATENATE(INDIRECT(ADDRESS(1,6,1,0,"KeySet"),0),":","""",TEXT(valueMaker!F513,"yyyy/m/d"),"""")</f>
        <v>tanjyoubi:"1971/8/30"</v>
      </c>
      <c r="G513" t="str" cm="1">
        <f t="array" aca="1" ref="G513" ca="1">CONCATENATE(INDIRECT(ADDRESS(1,6,1,0,"KeySet"),0),":","""",TEXT(valueMaker!G513,"yyyy/m/d"),"""")</f>
        <v>tanjyoubi:"1990/3/16"</v>
      </c>
      <c r="H513" t="str" cm="1">
        <f t="array" aca="1" ref="H513" ca="1">CONCATENATE(INDIRECT(ADDRESS(1,6,1,0,"KeySet"),0),":","""",TEXT(valueMaker!H513,"yyyy/m/d"),"""")</f>
        <v>tanjyoubi:"1992/3/15"</v>
      </c>
      <c r="I513" t="str" cm="1">
        <f t="array" aca="1" ref="I513" ca="1">CONCATENATE(INDIRECT(ADDRESS(1,9,1,0,"KeySet"),0),":","""",valueMaker!I513,"""")</f>
        <v>denwaBangou:"080-3653-1172"</v>
      </c>
      <c r="J513" t="str" cm="1">
        <f t="array" aca="1" ref="J513" ca="1">CONCATENATE(INDIRECT(ADDRESS(1,10,1,0,"KeySet"),0),":","""",valueMaker!J513,"""")</f>
        <v>mailAddress:"Xie_Xie_Xiao_32948@outlook.jp.co"</v>
      </c>
      <c r="K513" t="str" cm="1">
        <f t="array" aca="1" ref="K513" ca="1">CONCATENATE(INDIRECT(ADDRESS(1,11,1,0,"KeySet"),0),":","""",valueMaker!K513,"""")</f>
        <v>kaninSyubetu:"普通"</v>
      </c>
      <c r="L513" t="str" cm="1">
        <f t="array" aca="1" ref="L513" ca="1">CONCATENATE(INDIRECT(ADDRESS(1,12,1,0,"KeySet"),0),":","""",valueMaker!L513,"""")</f>
        <v>kaninKengenWB:"-"</v>
      </c>
      <c r="M513" t="str" cm="1">
        <f t="array" aca="1" ref="M513" ca="1">CONCATENATE(INDIRECT(ADDRESS(1,13,1,0,"KeySet"),0),":","""",valueMaker!M513,"""")</f>
        <v>wakibiri:"-"</v>
      </c>
      <c r="N513" t="str" cm="1">
        <f t="array" aca="1" ref="N513" ca="1">CONCATENATE(INDIRECT(ADDRESS(1,14,1,0,"KeySet"),0),":","""",valueMaker!N513,"""")</f>
        <v>kaninKengenPoint:"有り"</v>
      </c>
      <c r="O513" t="str" cm="1">
        <f t="array" aca="1" ref="O513" ca="1">CONCATENATE(INDIRECT(ADDRESS(1,15,1,0,"KeySet"),0),":","""",valueMaker!O513,"""")</f>
        <v>point:"862"</v>
      </c>
      <c r="P513" t="str" cm="1">
        <f t="array" aca="1" ref="P513" ca="1">CONCATENATE(INDIRECT(ADDRESS(1,16,1,0,"KeySet"),0),":","""",valueMaker!P513,"""")</f>
        <v>bikou:""</v>
      </c>
    </row>
    <row r="514" spans="1:16">
      <c r="A514" t="str" cm="1">
        <f t="array" aca="1" ref="A514" ca="1">CONCATENATE(INDIRECT(ADDRESS(1,1,1,0,"KeySet"),0),":","""",valueMaker!A514,"""")</f>
        <v>kainBangou:"TD10513"</v>
      </c>
      <c r="B514" t="str" cm="1">
        <f t="array" aca="1" ref="B514" ca="1">CONCATENATE(INDIRECT(ADDRESS(1,2,1,0,"KeySet"),0),":","""",valueMaker!B514,"""")</f>
        <v>kainMeiKanji:"宋銀營"</v>
      </c>
      <c r="C514" t="str" cm="1">
        <f t="array" aca="1" ref="C514" ca="1">CONCATENATE(INDIRECT(ADDRESS(1,3,1,0,"KeySet"),0),":","""",valueMaker!C514,"""")</f>
        <v>kainMeiKana:"ｿｰﾝ ｲﾝ ｲｰﾝ"</v>
      </c>
      <c r="D514" t="str" cm="1">
        <f t="array" aca="1" ref="D514" ca="1">CONCATENATE(INDIRECT(ADDRESS(1,4,1,0,"KeySet"),0),":","""",valueMaker!D514,"""")</f>
        <v>kainMeiEn:"Song Yin Ying"</v>
      </c>
      <c r="E514" t="str" cm="1">
        <f t="array" aca="1" ref="E514" ca="1">CONCATENATE(INDIRECT(ADDRESS(1,5,1,0,"KeySet"),0),":","""",valueMaker!E514,"""")</f>
        <v>kainGender:"女性"</v>
      </c>
      <c r="F514" t="str" cm="1">
        <f t="array" aca="1" ref="F514" ca="1">CONCATENATE(INDIRECT(ADDRESS(1,6,1,0,"KeySet"),0),":","""",TEXT(valueMaker!F514,"yyyy/m/d"),"""")</f>
        <v>tanjyoubi:"1981/6/10"</v>
      </c>
      <c r="G514" t="str" cm="1">
        <f t="array" aca="1" ref="G514" ca="1">CONCATENATE(INDIRECT(ADDRESS(1,6,1,0,"KeySet"),0),":","""",TEXT(valueMaker!G514,"yyyy/m/d"),"""")</f>
        <v>tanjyoubi:"2024/4/11"</v>
      </c>
      <c r="H514" t="str" cm="1">
        <f t="array" aca="1" ref="H514" ca="1">CONCATENATE(INDIRECT(ADDRESS(1,6,1,0,"KeySet"),0),":","""",TEXT(valueMaker!H514,"yyyy/m/d"),"""")</f>
        <v>tanjyoubi:"2027/4/11"</v>
      </c>
      <c r="I514" t="str" cm="1">
        <f t="array" aca="1" ref="I514" ca="1">CONCATENATE(INDIRECT(ADDRESS(1,9,1,0,"KeySet"),0),":","""",valueMaker!I514,"""")</f>
        <v>denwaBangou:"080-2722-3521"</v>
      </c>
      <c r="J514" t="str" cm="1">
        <f t="array" aca="1" ref="J514" ca="1">CONCATENATE(INDIRECT(ADDRESS(1,10,1,0,"KeySet"),0),":","""",valueMaker!J514,"""")</f>
        <v>mailAddress:"Song_Yin_Ying_45393@outlook.jp.co"</v>
      </c>
      <c r="K514" t="str" cm="1">
        <f t="array" aca="1" ref="K514" ca="1">CONCATENATE(INDIRECT(ADDRESS(1,11,1,0,"KeySet"),0),":","""",valueMaker!K514,"""")</f>
        <v>kaninSyubetu:"高級"</v>
      </c>
      <c r="L514" t="str" cm="1">
        <f t="array" aca="1" ref="L514" ca="1">CONCATENATE(INDIRECT(ADDRESS(1,12,1,0,"KeySet"),0),":","""",valueMaker!L514,"""")</f>
        <v>kaninKengenWB:"有り"</v>
      </c>
      <c r="M514" t="str" cm="1">
        <f t="array" aca="1" ref="M514" ca="1">CONCATENATE(INDIRECT(ADDRESS(1,13,1,0,"KeySet"),0),":","""",valueMaker!M514,"""")</f>
        <v>wakibiri:"10%"</v>
      </c>
      <c r="N514" t="str" cm="1">
        <f t="array" aca="1" ref="N514" ca="1">CONCATENATE(INDIRECT(ADDRESS(1,14,1,0,"KeySet"),0),":","""",valueMaker!N514,"""")</f>
        <v>kaninKengenPoint:"有り"</v>
      </c>
      <c r="O514" t="str" cm="1">
        <f t="array" aca="1" ref="O514" ca="1">CONCATENATE(INDIRECT(ADDRESS(1,15,1,0,"KeySet"),0),":","""",valueMaker!O514,"""")</f>
        <v>point:"489"</v>
      </c>
      <c r="P514" t="str" cm="1">
        <f t="array" aca="1" ref="P514" ca="1">CONCATENATE(INDIRECT(ADDRESS(1,16,1,0,"KeySet"),0),":","""",valueMaker!P514,"""")</f>
        <v>bikou:""</v>
      </c>
    </row>
    <row r="515" spans="1:16">
      <c r="A515" t="str" cm="1">
        <f t="array" aca="1" ref="A515" ca="1">CONCATENATE(INDIRECT(ADDRESS(1,1,1,0,"KeySet"),0),":","""",valueMaker!A515,"""")</f>
        <v>kainBangou:"TD10514"</v>
      </c>
      <c r="B515" t="str" cm="1">
        <f t="array" aca="1" ref="B515" ca="1">CONCATENATE(INDIRECT(ADDRESS(1,2,1,0,"KeySet"),0),":","""",valueMaker!B515,"""")</f>
        <v>kainMeiKanji:"羅影雙"</v>
      </c>
      <c r="C515" t="str" cm="1">
        <f t="array" aca="1" ref="C515" ca="1">CONCATENATE(INDIRECT(ADDRESS(1,3,1,0,"KeySet"),0),":","""",valueMaker!C515,"""")</f>
        <v>kainMeiKana:"ﾙｵ ｲｰﾝ ｼｭﾜｰﾝ"</v>
      </c>
      <c r="D515" t="str" cm="1">
        <f t="array" aca="1" ref="D515" ca="1">CONCATENATE(INDIRECT(ADDRESS(1,4,1,0,"KeySet"),0),":","""",valueMaker!D515,"""")</f>
        <v>kainMeiEn:"Luo Ying Shuang"</v>
      </c>
      <c r="E515" t="str" cm="1">
        <f t="array" aca="1" ref="E515" ca="1">CONCATENATE(INDIRECT(ADDRESS(1,5,1,0,"KeySet"),0),":","""",valueMaker!E515,"""")</f>
        <v>kainGender:"女性"</v>
      </c>
      <c r="F515" t="str" cm="1">
        <f t="array" aca="1" ref="F515" ca="1">CONCATENATE(INDIRECT(ADDRESS(1,6,1,0,"KeySet"),0),":","""",TEXT(valueMaker!F515,"yyyy/m/d"),"""")</f>
        <v>tanjyoubi:"1985/3/29"</v>
      </c>
      <c r="G515" t="str" cm="1">
        <f t="array" aca="1" ref="G515" ca="1">CONCATENATE(INDIRECT(ADDRESS(1,6,1,0,"KeySet"),0),":","""",TEXT(valueMaker!G515,"yyyy/m/d"),"""")</f>
        <v>tanjyoubi:"2019/3/15"</v>
      </c>
      <c r="H515" t="str" cm="1">
        <f t="array" aca="1" ref="H515" ca="1">CONCATENATE(INDIRECT(ADDRESS(1,6,1,0,"KeySet"),0),":","""",TEXT(valueMaker!H515,"yyyy/m/d"),"""")</f>
        <v>tanjyoubi:"2020/3/14"</v>
      </c>
      <c r="I515" t="str" cm="1">
        <f t="array" aca="1" ref="I515" ca="1">CONCATENATE(INDIRECT(ADDRESS(1,9,1,0,"KeySet"),0),":","""",valueMaker!I515,"""")</f>
        <v>denwaBangou:"080-4374-8714"</v>
      </c>
      <c r="J515" t="str" cm="1">
        <f t="array" aca="1" ref="J515" ca="1">CONCATENATE(INDIRECT(ADDRESS(1,10,1,0,"KeySet"),0),":","""",valueMaker!J515,"""")</f>
        <v>mailAddress:"Luo_Ying_Shuang_43539@outlook.jp.co"</v>
      </c>
      <c r="K515" t="str" cm="1">
        <f t="array" aca="1" ref="K515" ca="1">CONCATENATE(INDIRECT(ADDRESS(1,11,1,0,"KeySet"),0),":","""",valueMaker!K515,"""")</f>
        <v>kaninSyubetu:"高級"</v>
      </c>
      <c r="L515" t="str" cm="1">
        <f t="array" aca="1" ref="L515" ca="1">CONCATENATE(INDIRECT(ADDRESS(1,12,1,0,"KeySet"),0),":","""",valueMaker!L515,"""")</f>
        <v>kaninKengenWB:"有り"</v>
      </c>
      <c r="M515" t="str" cm="1">
        <f t="array" aca="1" ref="M515" ca="1">CONCATENATE(INDIRECT(ADDRESS(1,13,1,0,"KeySet"),0),":","""",valueMaker!M515,"""")</f>
        <v>wakibiri:"10%"</v>
      </c>
      <c r="N515" t="str" cm="1">
        <f t="array" aca="1" ref="N515" ca="1">CONCATENATE(INDIRECT(ADDRESS(1,14,1,0,"KeySet"),0),":","""",valueMaker!N515,"""")</f>
        <v>kaninKengenPoint:"-"</v>
      </c>
      <c r="O515" t="str" cm="1">
        <f t="array" aca="1" ref="O515" ca="1">CONCATENATE(INDIRECT(ADDRESS(1,15,1,0,"KeySet"),0),":","""",valueMaker!O515,"""")</f>
        <v>point:"-"</v>
      </c>
      <c r="P515" t="str" cm="1">
        <f t="array" aca="1" ref="P515" ca="1">CONCATENATE(INDIRECT(ADDRESS(1,16,1,0,"KeySet"),0),":","""",valueMaker!P515,"""")</f>
        <v>bikou:""</v>
      </c>
    </row>
    <row r="516" spans="1:16">
      <c r="A516" t="str" cm="1">
        <f t="array" aca="1" ref="A516" ca="1">CONCATENATE(INDIRECT(ADDRESS(1,1,1,0,"KeySet"),0),":","""",valueMaker!A516,"""")</f>
        <v>kainBangou:"TD10515"</v>
      </c>
      <c r="B516" t="str" cm="1">
        <f t="array" aca="1" ref="B516" ca="1">CONCATENATE(INDIRECT(ADDRESS(1,2,1,0,"KeySet"),0),":","""",valueMaker!B516,"""")</f>
        <v>kainMeiKanji:"黃才雅"</v>
      </c>
      <c r="C516" t="str" cm="1">
        <f t="array" aca="1" ref="C516" ca="1">CONCATENATE(INDIRECT(ADDRESS(1,3,1,0,"KeySet"),0),":","""",valueMaker!C516,"""")</f>
        <v>kainMeiKana:"ﾎﾜｰﾝ ﾂｧｲ ﾔｰ"</v>
      </c>
      <c r="D516" t="str" cm="1">
        <f t="array" aca="1" ref="D516" ca="1">CONCATENATE(INDIRECT(ADDRESS(1,4,1,0,"KeySet"),0),":","""",valueMaker!D516,"""")</f>
        <v>kainMeiEn:"Huang Cai Ya"</v>
      </c>
      <c r="E516" t="str" cm="1">
        <f t="array" aca="1" ref="E516" ca="1">CONCATENATE(INDIRECT(ADDRESS(1,5,1,0,"KeySet"),0),":","""",valueMaker!E516,"""")</f>
        <v>kainGender:"女性"</v>
      </c>
      <c r="F516" t="str" cm="1">
        <f t="array" aca="1" ref="F516" ca="1">CONCATENATE(INDIRECT(ADDRESS(1,6,1,0,"KeySet"),0),":","""",TEXT(valueMaker!F516,"yyyy/m/d"),"""")</f>
        <v>tanjyoubi:"1999/8/30"</v>
      </c>
      <c r="G516" t="str" cm="1">
        <f t="array" aca="1" ref="G516" ca="1">CONCATENATE(INDIRECT(ADDRESS(1,6,1,0,"KeySet"),0),":","""",TEXT(valueMaker!G516,"yyyy/m/d"),"""")</f>
        <v>tanjyoubi:"2023/7/14"</v>
      </c>
      <c r="H516" t="str" cm="1">
        <f t="array" aca="1" ref="H516" ca="1">CONCATENATE(INDIRECT(ADDRESS(1,6,1,0,"KeySet"),0),":","""",TEXT(valueMaker!H516,"yyyy/m/d"),"""")</f>
        <v>tanjyoubi:"2026/7/13"</v>
      </c>
      <c r="I516" t="str" cm="1">
        <f t="array" aca="1" ref="I516" ca="1">CONCATENATE(INDIRECT(ADDRESS(1,9,1,0,"KeySet"),0),":","""",valueMaker!I516,"""")</f>
        <v>denwaBangou:"090-3769-4302"</v>
      </c>
      <c r="J516" t="str" cm="1">
        <f t="array" aca="1" ref="J516" ca="1">CONCATENATE(INDIRECT(ADDRESS(1,10,1,0,"KeySet"),0),":","""",valueMaker!J516,"""")</f>
        <v>mailAddress:"Huang_Cai_Ya_45121@outlook.jp.co"</v>
      </c>
      <c r="K516" t="str" cm="1">
        <f t="array" aca="1" ref="K516" ca="1">CONCATENATE(INDIRECT(ADDRESS(1,11,1,0,"KeySet"),0),":","""",valueMaker!K516,"""")</f>
        <v>kaninSyubetu:"高級"</v>
      </c>
      <c r="L516" t="str" cm="1">
        <f t="array" aca="1" ref="L516" ca="1">CONCATENATE(INDIRECT(ADDRESS(1,12,1,0,"KeySet"),0),":","""",valueMaker!L516,"""")</f>
        <v>kaninKengenWB:"有り"</v>
      </c>
      <c r="M516" t="str" cm="1">
        <f t="array" aca="1" ref="M516" ca="1">CONCATENATE(INDIRECT(ADDRESS(1,13,1,0,"KeySet"),0),":","""",valueMaker!M516,"""")</f>
        <v>wakibiri:"10%"</v>
      </c>
      <c r="N516" t="str" cm="1">
        <f t="array" aca="1" ref="N516" ca="1">CONCATENATE(INDIRECT(ADDRESS(1,14,1,0,"KeySet"),0),":","""",valueMaker!N516,"""")</f>
        <v>kaninKengenPoint:"有り"</v>
      </c>
      <c r="O516" t="str" cm="1">
        <f t="array" aca="1" ref="O516" ca="1">CONCATENATE(INDIRECT(ADDRESS(1,15,1,0,"KeySet"),0),":","""",valueMaker!O516,"""")</f>
        <v>point:"282"</v>
      </c>
      <c r="P516" t="str" cm="1">
        <f t="array" aca="1" ref="P516" ca="1">CONCATENATE(INDIRECT(ADDRESS(1,16,1,0,"KeySet"),0),":","""",valueMaker!P516,"""")</f>
        <v>bikou:""</v>
      </c>
    </row>
    <row r="517" spans="1:16">
      <c r="A517" t="str" cm="1">
        <f t="array" aca="1" ref="A517" ca="1">CONCATENATE(INDIRECT(ADDRESS(1,1,1,0,"KeySet"),0),":","""",valueMaker!A517,"""")</f>
        <v>kainBangou:"TD10516"</v>
      </c>
      <c r="B517" t="str" cm="1">
        <f t="array" aca="1" ref="B517" ca="1">CONCATENATE(INDIRECT(ADDRESS(1,2,1,0,"KeySet"),0),":","""",valueMaker!B517,"""")</f>
        <v>kainMeiKanji:"陳斌湖"</v>
      </c>
      <c r="C517" t="str" cm="1">
        <f t="array" aca="1" ref="C517" ca="1">CONCATENATE(INDIRECT(ADDRESS(1,3,1,0,"KeySet"),0),":","""",valueMaker!C517,"""")</f>
        <v>kainMeiKana:"ﾁｪﾝ ﾋﾞﾝ ﾎｩ"</v>
      </c>
      <c r="D517" t="str" cm="1">
        <f t="array" aca="1" ref="D517" ca="1">CONCATENATE(INDIRECT(ADDRESS(1,4,1,0,"KeySet"),0),":","""",valueMaker!D517,"""")</f>
        <v>kainMeiEn:"Chen Bin Hu"</v>
      </c>
      <c r="E517" t="str" cm="1">
        <f t="array" aca="1" ref="E517" ca="1">CONCATENATE(INDIRECT(ADDRESS(1,5,1,0,"KeySet"),0),":","""",valueMaker!E517,"""")</f>
        <v>kainGender:"男性"</v>
      </c>
      <c r="F517" t="str" cm="1">
        <f t="array" aca="1" ref="F517" ca="1">CONCATENATE(INDIRECT(ADDRESS(1,6,1,0,"KeySet"),0),":","""",TEXT(valueMaker!F517,"yyyy/m/d"),"""")</f>
        <v>tanjyoubi:"1971/4/9"</v>
      </c>
      <c r="G517" t="str" cm="1">
        <f t="array" aca="1" ref="G517" ca="1">CONCATENATE(INDIRECT(ADDRESS(1,6,1,0,"KeySet"),0),":","""",TEXT(valueMaker!G517,"yyyy/m/d"),"""")</f>
        <v>tanjyoubi:"2016/9/2"</v>
      </c>
      <c r="H517" t="str" cm="1">
        <f t="array" aca="1" ref="H517" ca="1">CONCATENATE(INDIRECT(ADDRESS(1,6,1,0,"KeySet"),0),":","""",TEXT(valueMaker!H517,"yyyy/m/d"),"""")</f>
        <v>tanjyoubi:"2017/9/2"</v>
      </c>
      <c r="I517" t="str" cm="1">
        <f t="array" aca="1" ref="I517" ca="1">CONCATENATE(INDIRECT(ADDRESS(1,9,1,0,"KeySet"),0),":","""",valueMaker!I517,"""")</f>
        <v>denwaBangou:"090-2570-6225"</v>
      </c>
      <c r="J517" t="str" cm="1">
        <f t="array" aca="1" ref="J517" ca="1">CONCATENATE(INDIRECT(ADDRESS(1,10,1,0,"KeySet"),0),":","""",valueMaker!J517,"""")</f>
        <v>mailAddress:"Chen_Bin_Hu_42615@outlook.jp.co"</v>
      </c>
      <c r="K517" t="str" cm="1">
        <f t="array" aca="1" ref="K517" ca="1">CONCATENATE(INDIRECT(ADDRESS(1,11,1,0,"KeySet"),0),":","""",valueMaker!K517,"""")</f>
        <v>kaninSyubetu:"高級"</v>
      </c>
      <c r="L517" t="str" cm="1">
        <f t="array" aca="1" ref="L517" ca="1">CONCATENATE(INDIRECT(ADDRESS(1,12,1,0,"KeySet"),0),":","""",valueMaker!L517,"""")</f>
        <v>kaninKengenWB:"有り"</v>
      </c>
      <c r="M517" t="str" cm="1">
        <f t="array" aca="1" ref="M517" ca="1">CONCATENATE(INDIRECT(ADDRESS(1,13,1,0,"KeySet"),0),":","""",valueMaker!M517,"""")</f>
        <v>wakibiri:"10%"</v>
      </c>
      <c r="N517" t="str" cm="1">
        <f t="array" aca="1" ref="N517" ca="1">CONCATENATE(INDIRECT(ADDRESS(1,14,1,0,"KeySet"),0),":","""",valueMaker!N517,"""")</f>
        <v>kaninKengenPoint:"有り"</v>
      </c>
      <c r="O517" t="str" cm="1">
        <f t="array" aca="1" ref="O517" ca="1">CONCATENATE(INDIRECT(ADDRESS(1,15,1,0,"KeySet"),0),":","""",valueMaker!O517,"""")</f>
        <v>point:"953"</v>
      </c>
      <c r="P517" t="str" cm="1">
        <f t="array" aca="1" ref="P517" ca="1">CONCATENATE(INDIRECT(ADDRESS(1,16,1,0,"KeySet"),0),":","""",valueMaker!P517,"""")</f>
        <v>bikou:""</v>
      </c>
    </row>
    <row r="518" spans="1:16">
      <c r="A518" t="str" cm="1">
        <f t="array" aca="1" ref="A518" ca="1">CONCATENATE(INDIRECT(ADDRESS(1,1,1,0,"KeySet"),0),":","""",valueMaker!A518,"""")</f>
        <v>kainBangou:"TD10517"</v>
      </c>
      <c r="B518" t="str" cm="1">
        <f t="array" aca="1" ref="B518" ca="1">CONCATENATE(INDIRECT(ADDRESS(1,2,1,0,"KeySet"),0),":","""",valueMaker!B518,"""")</f>
        <v>kainMeiKanji:"鄭碧漢"</v>
      </c>
      <c r="C518" t="str" cm="1">
        <f t="array" aca="1" ref="C518" ca="1">CONCATENATE(INDIRECT(ADDRESS(1,3,1,0,"KeySet"),0),":","""",valueMaker!C518,"""")</f>
        <v>kainMeiKana:"ｼﾞｭﾖﾝ ﾋﾞｰ ﾊﾝ"</v>
      </c>
      <c r="D518" t="str" cm="1">
        <f t="array" aca="1" ref="D518" ca="1">CONCATENATE(INDIRECT(ADDRESS(1,4,1,0,"KeySet"),0),":","""",valueMaker!D518,"""")</f>
        <v>kainMeiEn:"Zheng Bi Han"</v>
      </c>
      <c r="E518" t="str" cm="1">
        <f t="array" aca="1" ref="E518" ca="1">CONCATENATE(INDIRECT(ADDRESS(1,5,1,0,"KeySet"),0),":","""",valueMaker!E518,"""")</f>
        <v>kainGender:"女性"</v>
      </c>
      <c r="F518" t="str" cm="1">
        <f t="array" aca="1" ref="F518" ca="1">CONCATENATE(INDIRECT(ADDRESS(1,6,1,0,"KeySet"),0),":","""",TEXT(valueMaker!F518,"yyyy/m/d"),"""")</f>
        <v>tanjyoubi:"1984/3/23"</v>
      </c>
      <c r="G518" t="str" cm="1">
        <f t="array" aca="1" ref="G518" ca="1">CONCATENATE(INDIRECT(ADDRESS(1,6,1,0,"KeySet"),0),":","""",TEXT(valueMaker!G518,"yyyy/m/d"),"""")</f>
        <v>tanjyoubi:"2015/9/30"</v>
      </c>
      <c r="H518" t="str" cm="1">
        <f t="array" aca="1" ref="H518" ca="1">CONCATENATE(INDIRECT(ADDRESS(1,6,1,0,"KeySet"),0),":","""",TEXT(valueMaker!H518,"yyyy/m/d"),"""")</f>
        <v>tanjyoubi:"2018/9/29"</v>
      </c>
      <c r="I518" t="str" cm="1">
        <f t="array" aca="1" ref="I518" ca="1">CONCATENATE(INDIRECT(ADDRESS(1,9,1,0,"KeySet"),0),":","""",valueMaker!I518,"""")</f>
        <v>denwaBangou:"090-3718-7498"</v>
      </c>
      <c r="J518" t="str" cm="1">
        <f t="array" aca="1" ref="J518" ca="1">CONCATENATE(INDIRECT(ADDRESS(1,10,1,0,"KeySet"),0),":","""",valueMaker!J518,"""")</f>
        <v>mailAddress:"Zheng_Bi_Han_42277@outlook.jp.co"</v>
      </c>
      <c r="K518" t="str" cm="1">
        <f t="array" aca="1" ref="K518" ca="1">CONCATENATE(INDIRECT(ADDRESS(1,11,1,0,"KeySet"),0),":","""",valueMaker!K518,"""")</f>
        <v>kaninSyubetu:"普通"</v>
      </c>
      <c r="L518" t="str" cm="1">
        <f t="array" aca="1" ref="L518" ca="1">CONCATENATE(INDIRECT(ADDRESS(1,12,1,0,"KeySet"),0),":","""",valueMaker!L518,"""")</f>
        <v>kaninKengenWB:"有り"</v>
      </c>
      <c r="M518" t="str" cm="1">
        <f t="array" aca="1" ref="M518" ca="1">CONCATENATE(INDIRECT(ADDRESS(1,13,1,0,"KeySet"),0),":","""",valueMaker!M518,"""")</f>
        <v>wakibiri:"5%"</v>
      </c>
      <c r="N518" t="str" cm="1">
        <f t="array" aca="1" ref="N518" ca="1">CONCATENATE(INDIRECT(ADDRESS(1,14,1,0,"KeySet"),0),":","""",valueMaker!N518,"""")</f>
        <v>kaninKengenPoint:"有り"</v>
      </c>
      <c r="O518" t="str" cm="1">
        <f t="array" aca="1" ref="O518" ca="1">CONCATENATE(INDIRECT(ADDRESS(1,15,1,0,"KeySet"),0),":","""",valueMaker!O518,"""")</f>
        <v>point:"394"</v>
      </c>
      <c r="P518" t="str" cm="1">
        <f t="array" aca="1" ref="P518" ca="1">CONCATENATE(INDIRECT(ADDRESS(1,16,1,0,"KeySet"),0),":","""",valueMaker!P518,"""")</f>
        <v>bikou:""</v>
      </c>
    </row>
    <row r="519" spans="1:16">
      <c r="A519" t="str" cm="1">
        <f t="array" aca="1" ref="A519" ca="1">CONCATENATE(INDIRECT(ADDRESS(1,1,1,0,"KeySet"),0),":","""",valueMaker!A519,"""")</f>
        <v>kainBangou:"TD10518"</v>
      </c>
      <c r="B519" t="str" cm="1">
        <f t="array" aca="1" ref="B519" ca="1">CONCATENATE(INDIRECT(ADDRESS(1,2,1,0,"KeySet"),0),":","""",valueMaker!B519,"""")</f>
        <v>kainMeiKanji:"謝金鈞"</v>
      </c>
      <c r="C519" t="str" cm="1">
        <f t="array" aca="1" ref="C519" ca="1">CONCATENATE(INDIRECT(ADDRESS(1,3,1,0,"KeySet"),0),":","""",valueMaker!C519,"""")</f>
        <v>kainMeiKana:"ｼｴ ｼﾞﾝ ｼﾞｭｲﾝ"</v>
      </c>
      <c r="D519" t="str" cm="1">
        <f t="array" aca="1" ref="D519" ca="1">CONCATENATE(INDIRECT(ADDRESS(1,4,1,0,"KeySet"),0),":","""",valueMaker!D519,"""")</f>
        <v>kainMeiEn:"Xie Jin Jun"</v>
      </c>
      <c r="E519" t="str" cm="1">
        <f t="array" aca="1" ref="E519" ca="1">CONCATENATE(INDIRECT(ADDRESS(1,5,1,0,"KeySet"),0),":","""",valueMaker!E519,"""")</f>
        <v>kainGender:"男性"</v>
      </c>
      <c r="F519" t="str" cm="1">
        <f t="array" aca="1" ref="F519" ca="1">CONCATENATE(INDIRECT(ADDRESS(1,6,1,0,"KeySet"),0),":","""",TEXT(valueMaker!F519,"yyyy/m/d"),"""")</f>
        <v>tanjyoubi:"1991/4/5"</v>
      </c>
      <c r="G519" t="str" cm="1">
        <f t="array" aca="1" ref="G519" ca="1">CONCATENATE(INDIRECT(ADDRESS(1,6,1,0,"KeySet"),0),":","""",TEXT(valueMaker!G519,"yyyy/m/d"),"""")</f>
        <v>tanjyoubi:"2013/9/13"</v>
      </c>
      <c r="H519" t="str" cm="1">
        <f t="array" aca="1" ref="H519" ca="1">CONCATENATE(INDIRECT(ADDRESS(1,6,1,0,"KeySet"),0),":","""",TEXT(valueMaker!H519,"yyyy/m/d"),"""")</f>
        <v>tanjyoubi:"2016/9/12"</v>
      </c>
      <c r="I519" t="str" cm="1">
        <f t="array" aca="1" ref="I519" ca="1">CONCATENATE(INDIRECT(ADDRESS(1,9,1,0,"KeySet"),0),":","""",valueMaker!I519,"""")</f>
        <v>denwaBangou:"090-9402-9905"</v>
      </c>
      <c r="J519" t="str" cm="1">
        <f t="array" aca="1" ref="J519" ca="1">CONCATENATE(INDIRECT(ADDRESS(1,10,1,0,"KeySet"),0),":","""",valueMaker!J519,"""")</f>
        <v>mailAddress:"Xie_Jin_Jun_41530@outlook.jp.co"</v>
      </c>
      <c r="K519" t="str" cm="1">
        <f t="array" aca="1" ref="K519" ca="1">CONCATENATE(INDIRECT(ADDRESS(1,11,1,0,"KeySet"),0),":","""",valueMaker!K519,"""")</f>
        <v>kaninSyubetu:"普通"</v>
      </c>
      <c r="L519" t="str" cm="1">
        <f t="array" aca="1" ref="L519" ca="1">CONCATENATE(INDIRECT(ADDRESS(1,12,1,0,"KeySet"),0),":","""",valueMaker!L519,"""")</f>
        <v>kaninKengenWB:"-"</v>
      </c>
      <c r="M519" t="str" cm="1">
        <f t="array" aca="1" ref="M519" ca="1">CONCATENATE(INDIRECT(ADDRESS(1,13,1,0,"KeySet"),0),":","""",valueMaker!M519,"""")</f>
        <v>wakibiri:"-"</v>
      </c>
      <c r="N519" t="str" cm="1">
        <f t="array" aca="1" ref="N519" ca="1">CONCATENATE(INDIRECT(ADDRESS(1,14,1,0,"KeySet"),0),":","""",valueMaker!N519,"""")</f>
        <v>kaninKengenPoint:"-"</v>
      </c>
      <c r="O519" t="str" cm="1">
        <f t="array" aca="1" ref="O519" ca="1">CONCATENATE(INDIRECT(ADDRESS(1,15,1,0,"KeySet"),0),":","""",valueMaker!O519,"""")</f>
        <v>point:"-"</v>
      </c>
      <c r="P519" t="str" cm="1">
        <f t="array" aca="1" ref="P519" ca="1">CONCATENATE(INDIRECT(ADDRESS(1,16,1,0,"KeySet"),0),":","""",valueMaker!P519,"""")</f>
        <v>bikou:""</v>
      </c>
    </row>
    <row r="520" spans="1:16">
      <c r="A520" t="str" cm="1">
        <f t="array" aca="1" ref="A520" ca="1">CONCATENATE(INDIRECT(ADDRESS(1,1,1,0,"KeySet"),0),":","""",valueMaker!A520,"""")</f>
        <v>kainBangou:"TD10519"</v>
      </c>
      <c r="B520" t="str" cm="1">
        <f t="array" aca="1" ref="B520" ca="1">CONCATENATE(INDIRECT(ADDRESS(1,2,1,0,"KeySet"),0),":","""",valueMaker!B520,"""")</f>
        <v>kainMeiKanji:"劉虹欣"</v>
      </c>
      <c r="C520" t="str" cm="1">
        <f t="array" aca="1" ref="C520" ca="1">CONCATENATE(INDIRECT(ADDRESS(1,3,1,0,"KeySet"),0),":","""",valueMaker!C520,"""")</f>
        <v>kainMeiKana:"ﾘｳ ﾎｰﾝ ｼﾝ"</v>
      </c>
      <c r="D520" t="str" cm="1">
        <f t="array" aca="1" ref="D520" ca="1">CONCATENATE(INDIRECT(ADDRESS(1,4,1,0,"KeySet"),0),":","""",valueMaker!D520,"""")</f>
        <v>kainMeiEn:"Liu Hong Xin"</v>
      </c>
      <c r="E520" t="str" cm="1">
        <f t="array" aca="1" ref="E520" ca="1">CONCATENATE(INDIRECT(ADDRESS(1,5,1,0,"KeySet"),0),":","""",valueMaker!E520,"""")</f>
        <v>kainGender:"女性"</v>
      </c>
      <c r="F520" t="str" cm="1">
        <f t="array" aca="1" ref="F520" ca="1">CONCATENATE(INDIRECT(ADDRESS(1,6,1,0,"KeySet"),0),":","""",TEXT(valueMaker!F520,"yyyy/m/d"),"""")</f>
        <v>tanjyoubi:"1984/12/9"</v>
      </c>
      <c r="G520" t="str" cm="1">
        <f t="array" aca="1" ref="G520" ca="1">CONCATENATE(INDIRECT(ADDRESS(1,6,1,0,"KeySet"),0),":","""",TEXT(valueMaker!G520,"yyyy/m/d"),"""")</f>
        <v>tanjyoubi:"2021/9/5"</v>
      </c>
      <c r="H520" t="str" cm="1">
        <f t="array" aca="1" ref="H520" ca="1">CONCATENATE(INDIRECT(ADDRESS(1,6,1,0,"KeySet"),0),":","""",TEXT(valueMaker!H520,"yyyy/m/d"),"""")</f>
        <v>tanjyoubi:"2022/9/5"</v>
      </c>
      <c r="I520" t="str" cm="1">
        <f t="array" aca="1" ref="I520" ca="1">CONCATENATE(INDIRECT(ADDRESS(1,9,1,0,"KeySet"),0),":","""",valueMaker!I520,"""")</f>
        <v>denwaBangou:"090-6577-2677"</v>
      </c>
      <c r="J520" t="str" cm="1">
        <f t="array" aca="1" ref="J520" ca="1">CONCATENATE(INDIRECT(ADDRESS(1,10,1,0,"KeySet"),0),":","""",valueMaker!J520,"""")</f>
        <v>mailAddress:"Liu_Hong Xin_44444@outlook.jp.co"</v>
      </c>
      <c r="K520" t="str" cm="1">
        <f t="array" aca="1" ref="K520" ca="1">CONCATENATE(INDIRECT(ADDRESS(1,11,1,0,"KeySet"),0),":","""",valueMaker!K520,"""")</f>
        <v>kaninSyubetu:"普通"</v>
      </c>
      <c r="L520" t="str" cm="1">
        <f t="array" aca="1" ref="L520" ca="1">CONCATENATE(INDIRECT(ADDRESS(1,12,1,0,"KeySet"),0),":","""",valueMaker!L520,"""")</f>
        <v>kaninKengenWB:"有り"</v>
      </c>
      <c r="M520" t="str" cm="1">
        <f t="array" aca="1" ref="M520" ca="1">CONCATENATE(INDIRECT(ADDRESS(1,13,1,0,"KeySet"),0),":","""",valueMaker!M520,"""")</f>
        <v>wakibiri:"5%"</v>
      </c>
      <c r="N520" t="str" cm="1">
        <f t="array" aca="1" ref="N520" ca="1">CONCATENATE(INDIRECT(ADDRESS(1,14,1,0,"KeySet"),0),":","""",valueMaker!N520,"""")</f>
        <v>kaninKengenPoint:"有り"</v>
      </c>
      <c r="O520" t="str" cm="1">
        <f t="array" aca="1" ref="O520" ca="1">CONCATENATE(INDIRECT(ADDRESS(1,15,1,0,"KeySet"),0),":","""",valueMaker!O520,"""")</f>
        <v>point:"449"</v>
      </c>
      <c r="P520" t="str" cm="1">
        <f t="array" aca="1" ref="P520" ca="1">CONCATENATE(INDIRECT(ADDRESS(1,16,1,0,"KeySet"),0),":","""",valueMaker!P520,"""")</f>
        <v>bikou:""</v>
      </c>
    </row>
    <row r="521" spans="1:16">
      <c r="A521" t="str" cm="1">
        <f t="array" aca="1" ref="A521" ca="1">CONCATENATE(INDIRECT(ADDRESS(1,1,1,0,"KeySet"),0),":","""",valueMaker!A521,"""")</f>
        <v>kainBangou:"TD10520"</v>
      </c>
      <c r="B521" t="str" cm="1">
        <f t="array" aca="1" ref="B521" ca="1">CONCATENATE(INDIRECT(ADDRESS(1,2,1,0,"KeySet"),0),":","""",valueMaker!B521,"""")</f>
        <v>kainMeiKanji:"黃軒荒"</v>
      </c>
      <c r="C521" t="str" cm="1">
        <f t="array" aca="1" ref="C521" ca="1">CONCATENATE(INDIRECT(ADDRESS(1,3,1,0,"KeySet"),0),":","""",valueMaker!C521,"""")</f>
        <v>kainMeiKana:"ﾎﾜｰﾝ ｼｭｴﾝ ﾎﾜｰﾝ"</v>
      </c>
      <c r="D521" t="str" cm="1">
        <f t="array" aca="1" ref="D521" ca="1">CONCATENATE(INDIRECT(ADDRESS(1,4,1,0,"KeySet"),0),":","""",valueMaker!D521,"""")</f>
        <v>kainMeiEn:"Huang Xuan Huang"</v>
      </c>
      <c r="E521" t="str" cm="1">
        <f t="array" aca="1" ref="E521" ca="1">CONCATENATE(INDIRECT(ADDRESS(1,5,1,0,"KeySet"),0),":","""",valueMaker!E521,"""")</f>
        <v>kainGender:"男性"</v>
      </c>
      <c r="F521" t="str" cm="1">
        <f t="array" aca="1" ref="F521" ca="1">CONCATENATE(INDIRECT(ADDRESS(1,6,1,0,"KeySet"),0),":","""",TEXT(valueMaker!F521,"yyyy/m/d"),"""")</f>
        <v>tanjyoubi:"1997/11/30"</v>
      </c>
      <c r="G521" t="str" cm="1">
        <f t="array" aca="1" ref="G521" ca="1">CONCATENATE(INDIRECT(ADDRESS(1,6,1,0,"KeySet"),0),":","""",TEXT(valueMaker!G521,"yyyy/m/d"),"""")</f>
        <v>tanjyoubi:"2024/5/28"</v>
      </c>
      <c r="H521" t="str" cm="1">
        <f t="array" aca="1" ref="H521" ca="1">CONCATENATE(INDIRECT(ADDRESS(1,6,1,0,"KeySet"),0),":","""",TEXT(valueMaker!H521,"yyyy/m/d"),"""")</f>
        <v>tanjyoubi:"2026/5/28"</v>
      </c>
      <c r="I521" t="str" cm="1">
        <f t="array" aca="1" ref="I521" ca="1">CONCATENATE(INDIRECT(ADDRESS(1,9,1,0,"KeySet"),0),":","""",valueMaker!I521,"""")</f>
        <v>denwaBangou:"080-3144-6401"</v>
      </c>
      <c r="J521" t="str" cm="1">
        <f t="array" aca="1" ref="J521" ca="1">CONCATENATE(INDIRECT(ADDRESS(1,10,1,0,"KeySet"),0),":","""",valueMaker!J521,"""")</f>
        <v>mailAddress:"Huang_Xuan_Huang_45440@outlook.jp.co"</v>
      </c>
      <c r="K521" t="str" cm="1">
        <f t="array" aca="1" ref="K521" ca="1">CONCATENATE(INDIRECT(ADDRESS(1,11,1,0,"KeySet"),0),":","""",valueMaker!K521,"""")</f>
        <v>kaninSyubetu:"普通"</v>
      </c>
      <c r="L521" t="str" cm="1">
        <f t="array" aca="1" ref="L521" ca="1">CONCATENATE(INDIRECT(ADDRESS(1,12,1,0,"KeySet"),0),":","""",valueMaker!L521,"""")</f>
        <v>kaninKengenWB:"有り"</v>
      </c>
      <c r="M521" t="str" cm="1">
        <f t="array" aca="1" ref="M521" ca="1">CONCATENATE(INDIRECT(ADDRESS(1,13,1,0,"KeySet"),0),":","""",valueMaker!M521,"""")</f>
        <v>wakibiri:"5%"</v>
      </c>
      <c r="N521" t="str" cm="1">
        <f t="array" aca="1" ref="N521" ca="1">CONCATENATE(INDIRECT(ADDRESS(1,14,1,0,"KeySet"),0),":","""",valueMaker!N521,"""")</f>
        <v>kaninKengenPoint:"有り"</v>
      </c>
      <c r="O521" t="str" cm="1">
        <f t="array" aca="1" ref="O521" ca="1">CONCATENATE(INDIRECT(ADDRESS(1,15,1,0,"KeySet"),0),":","""",valueMaker!O521,"""")</f>
        <v>point:"306"</v>
      </c>
      <c r="P521" t="str" cm="1">
        <f t="array" aca="1" ref="P521" ca="1">CONCATENATE(INDIRECT(ADDRESS(1,16,1,0,"KeySet"),0),":","""",valueMaker!P521,"""")</f>
        <v>bikou:""</v>
      </c>
    </row>
    <row r="522" spans="1:16">
      <c r="A522" t="str" cm="1">
        <f t="array" aca="1" ref="A522" ca="1">CONCATENATE(INDIRECT(ADDRESS(1,1,1,0,"KeySet"),0),":","""",valueMaker!A522,"""")</f>
        <v>kainBangou:"TD10521"</v>
      </c>
      <c r="B522" t="str" cm="1">
        <f t="array" aca="1" ref="B522" ca="1">CONCATENATE(INDIRECT(ADDRESS(1,2,1,0,"KeySet"),0),":","""",valueMaker!B522,"""")</f>
        <v>kainMeiKanji:"林承良"</v>
      </c>
      <c r="C522" t="str" cm="1">
        <f t="array" aca="1" ref="C522" ca="1">CONCATENATE(INDIRECT(ADDRESS(1,3,1,0,"KeySet"),0),":","""",valueMaker!C522,"""")</f>
        <v>kainMeiKana:"ﾘﾝ ﾁｭﾖﾝ ﾘﾔｰﾝ"</v>
      </c>
      <c r="D522" t="str" cm="1">
        <f t="array" aca="1" ref="D522" ca="1">CONCATENATE(INDIRECT(ADDRESS(1,4,1,0,"KeySet"),0),":","""",valueMaker!D522,"""")</f>
        <v>kainMeiEn:"Lin Cheng Liang"</v>
      </c>
      <c r="E522" t="str" cm="1">
        <f t="array" aca="1" ref="E522" ca="1">CONCATENATE(INDIRECT(ADDRESS(1,5,1,0,"KeySet"),0),":","""",valueMaker!E522,"""")</f>
        <v>kainGender:"女性"</v>
      </c>
      <c r="F522" t="str" cm="1">
        <f t="array" aca="1" ref="F522" ca="1">CONCATENATE(INDIRECT(ADDRESS(1,6,1,0,"KeySet"),0),":","""",TEXT(valueMaker!F522,"yyyy/m/d"),"""")</f>
        <v>tanjyoubi:"1996/4/6"</v>
      </c>
      <c r="G522" t="str" cm="1">
        <f t="array" aca="1" ref="G522" ca="1">CONCATENATE(INDIRECT(ADDRESS(1,6,1,0,"KeySet"),0),":","""",TEXT(valueMaker!G522,"yyyy/m/d"),"""")</f>
        <v>tanjyoubi:"2021/2/5"</v>
      </c>
      <c r="H522" t="str" cm="1">
        <f t="array" aca="1" ref="H522" ca="1">CONCATENATE(INDIRECT(ADDRESS(1,6,1,0,"KeySet"),0),":","""",TEXT(valueMaker!H522,"yyyy/m/d"),"""")</f>
        <v>tanjyoubi:"2024/2/5"</v>
      </c>
      <c r="I522" t="str" cm="1">
        <f t="array" aca="1" ref="I522" ca="1">CONCATENATE(INDIRECT(ADDRESS(1,9,1,0,"KeySet"),0),":","""",valueMaker!I522,"""")</f>
        <v>denwaBangou:"080-2958-3565"</v>
      </c>
      <c r="J522" t="str" cm="1">
        <f t="array" aca="1" ref="J522" ca="1">CONCATENATE(INDIRECT(ADDRESS(1,10,1,0,"KeySet"),0),":","""",valueMaker!J522,"""")</f>
        <v>mailAddress:"Lin_Cheng_Liang_44232@outlook.jp.co"</v>
      </c>
      <c r="K522" t="str" cm="1">
        <f t="array" aca="1" ref="K522" ca="1">CONCATENATE(INDIRECT(ADDRESS(1,11,1,0,"KeySet"),0),":","""",valueMaker!K522,"""")</f>
        <v>kaninSyubetu:"高級"</v>
      </c>
      <c r="L522" t="str" cm="1">
        <f t="array" aca="1" ref="L522" ca="1">CONCATENATE(INDIRECT(ADDRESS(1,12,1,0,"KeySet"),0),":","""",valueMaker!L522,"""")</f>
        <v>kaninKengenWB:"有り"</v>
      </c>
      <c r="M522" t="str" cm="1">
        <f t="array" aca="1" ref="M522" ca="1">CONCATENATE(INDIRECT(ADDRESS(1,13,1,0,"KeySet"),0),":","""",valueMaker!M522,"""")</f>
        <v>wakibiri:"10%"</v>
      </c>
      <c r="N522" t="str" cm="1">
        <f t="array" aca="1" ref="N522" ca="1">CONCATENATE(INDIRECT(ADDRESS(1,14,1,0,"KeySet"),0),":","""",valueMaker!N522,"""")</f>
        <v>kaninKengenPoint:"有り"</v>
      </c>
      <c r="O522" t="str" cm="1">
        <f t="array" aca="1" ref="O522" ca="1">CONCATENATE(INDIRECT(ADDRESS(1,15,1,0,"KeySet"),0),":","""",valueMaker!O522,"""")</f>
        <v>point:"65"</v>
      </c>
      <c r="P522" t="str" cm="1">
        <f t="array" aca="1" ref="P522" ca="1">CONCATENATE(INDIRECT(ADDRESS(1,16,1,0,"KeySet"),0),":","""",valueMaker!P522,"""")</f>
        <v>bikou:""</v>
      </c>
    </row>
    <row r="523" spans="1:16">
      <c r="A523" t="str" cm="1">
        <f t="array" aca="1" ref="A523" ca="1">CONCATENATE(INDIRECT(ADDRESS(1,1,1,0,"KeySet"),0),":","""",valueMaker!A523,"""")</f>
        <v>kainBangou:"TD10522"</v>
      </c>
      <c r="B523" t="str" cm="1">
        <f t="array" aca="1" ref="B523" ca="1">CONCATENATE(INDIRECT(ADDRESS(1,2,1,0,"KeySet"),0),":","""",valueMaker!B523,"""")</f>
        <v>kainMeiKanji:"李翠琳"</v>
      </c>
      <c r="C523" t="str" cm="1">
        <f t="array" aca="1" ref="C523" ca="1">CONCATENATE(INDIRECT(ADDRESS(1,3,1,0,"KeySet"),0),":","""",valueMaker!C523,"""")</f>
        <v>kainMeiKana:"ﾘｰ ﾂｩｲ ﾘﾝ"</v>
      </c>
      <c r="D523" t="str" cm="1">
        <f t="array" aca="1" ref="D523" ca="1">CONCATENATE(INDIRECT(ADDRESS(1,4,1,0,"KeySet"),0),":","""",valueMaker!D523,"""")</f>
        <v>kainMeiEn:"Li Cui Lin"</v>
      </c>
      <c r="E523" t="str" cm="1">
        <f t="array" aca="1" ref="E523" ca="1">CONCATENATE(INDIRECT(ADDRESS(1,5,1,0,"KeySet"),0),":","""",valueMaker!E523,"""")</f>
        <v>kainGender:"女性"</v>
      </c>
      <c r="F523" t="str" cm="1">
        <f t="array" aca="1" ref="F523" ca="1">CONCATENATE(INDIRECT(ADDRESS(1,6,1,0,"KeySet"),0),":","""",TEXT(valueMaker!F523,"yyyy/m/d"),"""")</f>
        <v>tanjyoubi:"1991/1/17"</v>
      </c>
      <c r="G523" t="str" cm="1">
        <f t="array" aca="1" ref="G523" ca="1">CONCATENATE(INDIRECT(ADDRESS(1,6,1,0,"KeySet"),0),":","""",TEXT(valueMaker!G523,"yyyy/m/d"),"""")</f>
        <v>tanjyoubi:"2019/9/26"</v>
      </c>
      <c r="H523" t="str" cm="1">
        <f t="array" aca="1" ref="H523" ca="1">CONCATENATE(INDIRECT(ADDRESS(1,6,1,0,"KeySet"),0),":","""",TEXT(valueMaker!H523,"yyyy/m/d"),"""")</f>
        <v>tanjyoubi:"2020/9/25"</v>
      </c>
      <c r="I523" t="str" cm="1">
        <f t="array" aca="1" ref="I523" ca="1">CONCATENATE(INDIRECT(ADDRESS(1,9,1,0,"KeySet"),0),":","""",valueMaker!I523,"""")</f>
        <v>denwaBangou:"080-8304-6814"</v>
      </c>
      <c r="J523" t="str" cm="1">
        <f t="array" aca="1" ref="J523" ca="1">CONCATENATE(INDIRECT(ADDRESS(1,10,1,0,"KeySet"),0),":","""",valueMaker!J523,"""")</f>
        <v>mailAddress:"Li_Cui_Lin_43734@outlook.jp.co"</v>
      </c>
      <c r="K523" t="str" cm="1">
        <f t="array" aca="1" ref="K523" ca="1">CONCATENATE(INDIRECT(ADDRESS(1,11,1,0,"KeySet"),0),":","""",valueMaker!K523,"""")</f>
        <v>kaninSyubetu:"普通"</v>
      </c>
      <c r="L523" t="str" cm="1">
        <f t="array" aca="1" ref="L523" ca="1">CONCATENATE(INDIRECT(ADDRESS(1,12,1,0,"KeySet"),0),":","""",valueMaker!L523,"""")</f>
        <v>kaninKengenWB:"有り"</v>
      </c>
      <c r="M523" t="str" cm="1">
        <f t="array" aca="1" ref="M523" ca="1">CONCATENATE(INDIRECT(ADDRESS(1,13,1,0,"KeySet"),0),":","""",valueMaker!M523,"""")</f>
        <v>wakibiri:"5%"</v>
      </c>
      <c r="N523" t="str" cm="1">
        <f t="array" aca="1" ref="N523" ca="1">CONCATENATE(INDIRECT(ADDRESS(1,14,1,0,"KeySet"),0),":","""",valueMaker!N523,"""")</f>
        <v>kaninKengenPoint:"有り"</v>
      </c>
      <c r="O523" t="str" cm="1">
        <f t="array" aca="1" ref="O523" ca="1">CONCATENATE(INDIRECT(ADDRESS(1,15,1,0,"KeySet"),0),":","""",valueMaker!O523,"""")</f>
        <v>point:"578"</v>
      </c>
      <c r="P523" t="str" cm="1">
        <f t="array" aca="1" ref="P523" ca="1">CONCATENATE(INDIRECT(ADDRESS(1,16,1,0,"KeySet"),0),":","""",valueMaker!P523,"""")</f>
        <v>bikou:""</v>
      </c>
    </row>
    <row r="524" spans="1:16">
      <c r="A524" t="str" cm="1">
        <f t="array" aca="1" ref="A524" ca="1">CONCATENATE(INDIRECT(ADDRESS(1,1,1,0,"KeySet"),0),":","""",valueMaker!A524,"""")</f>
        <v>kainBangou:"TD10523"</v>
      </c>
      <c r="B524" t="str" cm="1">
        <f t="array" aca="1" ref="B524" ca="1">CONCATENATE(INDIRECT(ADDRESS(1,2,1,0,"KeySet"),0),":","""",valueMaker!B524,"""")</f>
        <v>kainMeiKanji:"梁彩金"</v>
      </c>
      <c r="C524" t="str" cm="1">
        <f t="array" aca="1" ref="C524" ca="1">CONCATENATE(INDIRECT(ADDRESS(1,3,1,0,"KeySet"),0),":","""",valueMaker!C524,"""")</f>
        <v>kainMeiKana:"ﾘﾔｰﾝ ﾂｧｲ ｼﾞﾝ"</v>
      </c>
      <c r="D524" t="str" cm="1">
        <f t="array" aca="1" ref="D524" ca="1">CONCATENATE(INDIRECT(ADDRESS(1,4,1,0,"KeySet"),0),":","""",valueMaker!D524,"""")</f>
        <v>kainMeiEn:"Liang Cai Jin"</v>
      </c>
      <c r="E524" t="str" cm="1">
        <f t="array" aca="1" ref="E524" ca="1">CONCATENATE(INDIRECT(ADDRESS(1,5,1,0,"KeySet"),0),":","""",valueMaker!E524,"""")</f>
        <v>kainGender:"女性"</v>
      </c>
      <c r="F524" t="str" cm="1">
        <f t="array" aca="1" ref="F524" ca="1">CONCATENATE(INDIRECT(ADDRESS(1,6,1,0,"KeySet"),0),":","""",TEXT(valueMaker!F524,"yyyy/m/d"),"""")</f>
        <v>tanjyoubi:"2004/7/24"</v>
      </c>
      <c r="G524" t="str" cm="1">
        <f t="array" aca="1" ref="G524" ca="1">CONCATENATE(INDIRECT(ADDRESS(1,6,1,0,"KeySet"),0),":","""",TEXT(valueMaker!G524,"yyyy/m/d"),"""")</f>
        <v>tanjyoubi:"2023/6/1"</v>
      </c>
      <c r="H524" t="str" cm="1">
        <f t="array" aca="1" ref="H524" ca="1">CONCATENATE(INDIRECT(ADDRESS(1,6,1,0,"KeySet"),0),":","""",TEXT(valueMaker!H524,"yyyy/m/d"),"""")</f>
        <v>tanjyoubi:"2025/5/31"</v>
      </c>
      <c r="I524" t="str" cm="1">
        <f t="array" aca="1" ref="I524" ca="1">CONCATENATE(INDIRECT(ADDRESS(1,9,1,0,"KeySet"),0),":","""",valueMaker!I524,"""")</f>
        <v>denwaBangou:"080-5107-3021"</v>
      </c>
      <c r="J524" t="str" cm="1">
        <f t="array" aca="1" ref="J524" ca="1">CONCATENATE(INDIRECT(ADDRESS(1,10,1,0,"KeySet"),0),":","""",valueMaker!J524,"""")</f>
        <v>mailAddress:"Liang_Cai_Jin_45078@outlook.jp.co"</v>
      </c>
      <c r="K524" t="str" cm="1">
        <f t="array" aca="1" ref="K524" ca="1">CONCATENATE(INDIRECT(ADDRESS(1,11,1,0,"KeySet"),0),":","""",valueMaker!K524,"""")</f>
        <v>kaninSyubetu:"高級"</v>
      </c>
      <c r="L524" t="str" cm="1">
        <f t="array" aca="1" ref="L524" ca="1">CONCATENATE(INDIRECT(ADDRESS(1,12,1,0,"KeySet"),0),":","""",valueMaker!L524,"""")</f>
        <v>kaninKengenWB:"-"</v>
      </c>
      <c r="M524" t="str" cm="1">
        <f t="array" aca="1" ref="M524" ca="1">CONCATENATE(INDIRECT(ADDRESS(1,13,1,0,"KeySet"),0),":","""",valueMaker!M524,"""")</f>
        <v>wakibiri:"-"</v>
      </c>
      <c r="N524" t="str" cm="1">
        <f t="array" aca="1" ref="N524" ca="1">CONCATENATE(INDIRECT(ADDRESS(1,14,1,0,"KeySet"),0),":","""",valueMaker!N524,"""")</f>
        <v>kaninKengenPoint:"-"</v>
      </c>
      <c r="O524" t="str" cm="1">
        <f t="array" aca="1" ref="O524" ca="1">CONCATENATE(INDIRECT(ADDRESS(1,15,1,0,"KeySet"),0),":","""",valueMaker!O524,"""")</f>
        <v>point:"-"</v>
      </c>
      <c r="P524" t="str" cm="1">
        <f t="array" aca="1" ref="P524" ca="1">CONCATENATE(INDIRECT(ADDRESS(1,16,1,0,"KeySet"),0),":","""",valueMaker!P524,"""")</f>
        <v>bikou:""</v>
      </c>
    </row>
    <row r="525" spans="1:16">
      <c r="A525" t="str" cm="1">
        <f t="array" aca="1" ref="A525" ca="1">CONCATENATE(INDIRECT(ADDRESS(1,1,1,0,"KeySet"),0),":","""",valueMaker!A525,"""")</f>
        <v>kainBangou:"TD10524"</v>
      </c>
      <c r="B525" t="str" cm="1">
        <f t="array" aca="1" ref="B525" ca="1">CONCATENATE(INDIRECT(ADDRESS(1,2,1,0,"KeySet"),0),":","""",valueMaker!B525,"""")</f>
        <v>kainMeiKanji:"馮銀池"</v>
      </c>
      <c r="C525" t="str" cm="1">
        <f t="array" aca="1" ref="C525" ca="1">CONCATENATE(INDIRECT(ADDRESS(1,3,1,0,"KeySet"),0),":","""",valueMaker!C525,"""")</f>
        <v>kainMeiKana:"ﾌｵﾝ ｲﾝ ﾁｰ"</v>
      </c>
      <c r="D525" t="str" cm="1">
        <f t="array" aca="1" ref="D525" ca="1">CONCATENATE(INDIRECT(ADDRESS(1,4,1,0,"KeySet"),0),":","""",valueMaker!D525,"""")</f>
        <v>kainMeiEn:"Feng Yin Chi"</v>
      </c>
      <c r="E525" t="str" cm="1">
        <f t="array" aca="1" ref="E525" ca="1">CONCATENATE(INDIRECT(ADDRESS(1,5,1,0,"KeySet"),0),":","""",valueMaker!E525,"""")</f>
        <v>kainGender:"男性"</v>
      </c>
      <c r="F525" t="str" cm="1">
        <f t="array" aca="1" ref="F525" ca="1">CONCATENATE(INDIRECT(ADDRESS(1,6,1,0,"KeySet"),0),":","""",TEXT(valueMaker!F525,"yyyy/m/d"),"""")</f>
        <v>tanjyoubi:"2004/4/21"</v>
      </c>
      <c r="G525" t="str" cm="1">
        <f t="array" aca="1" ref="G525" ca="1">CONCATENATE(INDIRECT(ADDRESS(1,6,1,0,"KeySet"),0),":","""",TEXT(valueMaker!G525,"yyyy/m/d"),"""")</f>
        <v>tanjyoubi:"2024/5/3"</v>
      </c>
      <c r="H525" t="str" cm="1">
        <f t="array" aca="1" ref="H525" ca="1">CONCATENATE(INDIRECT(ADDRESS(1,6,1,0,"KeySet"),0),":","""",TEXT(valueMaker!H525,"yyyy/m/d"),"""")</f>
        <v>tanjyoubi:"2025/5/3"</v>
      </c>
      <c r="I525" t="str" cm="1">
        <f t="array" aca="1" ref="I525" ca="1">CONCATENATE(INDIRECT(ADDRESS(1,9,1,0,"KeySet"),0),":","""",valueMaker!I525,"""")</f>
        <v>denwaBangou:"080-0519-2018"</v>
      </c>
      <c r="J525" t="str" cm="1">
        <f t="array" aca="1" ref="J525" ca="1">CONCATENATE(INDIRECT(ADDRESS(1,10,1,0,"KeySet"),0),":","""",valueMaker!J525,"""")</f>
        <v>mailAddress:"Feng_Yin_Chi_45415@outlook.jp.co"</v>
      </c>
      <c r="K525" t="str" cm="1">
        <f t="array" aca="1" ref="K525" ca="1">CONCATENATE(INDIRECT(ADDRESS(1,11,1,0,"KeySet"),0),":","""",valueMaker!K525,"""")</f>
        <v>kaninSyubetu:"高級"</v>
      </c>
      <c r="L525" t="str" cm="1">
        <f t="array" aca="1" ref="L525" ca="1">CONCATENATE(INDIRECT(ADDRESS(1,12,1,0,"KeySet"),0),":","""",valueMaker!L525,"""")</f>
        <v>kaninKengenWB:"-"</v>
      </c>
      <c r="M525" t="str" cm="1">
        <f t="array" aca="1" ref="M525" ca="1">CONCATENATE(INDIRECT(ADDRESS(1,13,1,0,"KeySet"),0),":","""",valueMaker!M525,"""")</f>
        <v>wakibiri:"-"</v>
      </c>
      <c r="N525" t="str" cm="1">
        <f t="array" aca="1" ref="N525" ca="1">CONCATENATE(INDIRECT(ADDRESS(1,14,1,0,"KeySet"),0),":","""",valueMaker!N525,"""")</f>
        <v>kaninKengenPoint:"-"</v>
      </c>
      <c r="O525" t="str" cm="1">
        <f t="array" aca="1" ref="O525" ca="1">CONCATENATE(INDIRECT(ADDRESS(1,15,1,0,"KeySet"),0),":","""",valueMaker!O525,"""")</f>
        <v>point:"-"</v>
      </c>
      <c r="P525" t="str" cm="1">
        <f t="array" aca="1" ref="P525" ca="1">CONCATENATE(INDIRECT(ADDRESS(1,16,1,0,"KeySet"),0),":","""",valueMaker!P525,"""")</f>
        <v>bikou:""</v>
      </c>
    </row>
    <row r="526" spans="1:16">
      <c r="A526" t="str" cm="1">
        <f t="array" aca="1" ref="A526" ca="1">CONCATENATE(INDIRECT(ADDRESS(1,1,1,0,"KeySet"),0),":","""",valueMaker!A526,"""")</f>
        <v>kainBangou:"TD10525"</v>
      </c>
      <c r="B526" t="str" cm="1">
        <f t="array" aca="1" ref="B526" ca="1">CONCATENATE(INDIRECT(ADDRESS(1,2,1,0,"KeySet"),0),":","""",valueMaker!B526,"""")</f>
        <v>kainMeiKanji:"韓折東"</v>
      </c>
      <c r="C526" t="str" cm="1">
        <f t="array" aca="1" ref="C526" ca="1">CONCATENATE(INDIRECT(ADDRESS(1,3,1,0,"KeySet"),0),":","""",valueMaker!C526,"""")</f>
        <v>kainMeiKana:"ﾊﾝ ｼﾞｮｰｧ ﾄﾞｰﾝ"</v>
      </c>
      <c r="D526" t="str" cm="1">
        <f t="array" aca="1" ref="D526" ca="1">CONCATENATE(INDIRECT(ADDRESS(1,4,1,0,"KeySet"),0),":","""",valueMaker!D526,"""")</f>
        <v>kainMeiEn:"Han Zhe Dong"</v>
      </c>
      <c r="E526" t="str" cm="1">
        <f t="array" aca="1" ref="E526" ca="1">CONCATENATE(INDIRECT(ADDRESS(1,5,1,0,"KeySet"),0),":","""",valueMaker!E526,"""")</f>
        <v>kainGender:"女性"</v>
      </c>
      <c r="F526" t="str" cm="1">
        <f t="array" aca="1" ref="F526" ca="1">CONCATENATE(INDIRECT(ADDRESS(1,6,1,0,"KeySet"),0),":","""",TEXT(valueMaker!F526,"yyyy/m/d"),"""")</f>
        <v>tanjyoubi:"1982/12/18"</v>
      </c>
      <c r="G526" t="str" cm="1">
        <f t="array" aca="1" ref="G526" ca="1">CONCATENATE(INDIRECT(ADDRESS(1,6,1,0,"KeySet"),0),":","""",TEXT(valueMaker!G526,"yyyy/m/d"),"""")</f>
        <v>tanjyoubi:"2012/1/11"</v>
      </c>
      <c r="H526" t="str" cm="1">
        <f t="array" aca="1" ref="H526" ca="1">CONCATENATE(INDIRECT(ADDRESS(1,6,1,0,"KeySet"),0),":","""",TEXT(valueMaker!H526,"yyyy/m/d"),"""")</f>
        <v>tanjyoubi:"2014/1/10"</v>
      </c>
      <c r="I526" t="str" cm="1">
        <f t="array" aca="1" ref="I526" ca="1">CONCATENATE(INDIRECT(ADDRESS(1,9,1,0,"KeySet"),0),":","""",valueMaker!I526,"""")</f>
        <v>denwaBangou:"090-6789-4068"</v>
      </c>
      <c r="J526" t="str" cm="1">
        <f t="array" aca="1" ref="J526" ca="1">CONCATENATE(INDIRECT(ADDRESS(1,10,1,0,"KeySet"),0),":","""",valueMaker!J526,"""")</f>
        <v>mailAddress:"Han_Zhe Dong_40919@outlook.jp.co"</v>
      </c>
      <c r="K526" t="str" cm="1">
        <f t="array" aca="1" ref="K526" ca="1">CONCATENATE(INDIRECT(ADDRESS(1,11,1,0,"KeySet"),0),":","""",valueMaker!K526,"""")</f>
        <v>kaninSyubetu:"高級"</v>
      </c>
      <c r="L526" t="str" cm="1">
        <f t="array" aca="1" ref="L526" ca="1">CONCATENATE(INDIRECT(ADDRESS(1,12,1,0,"KeySet"),0),":","""",valueMaker!L526,"""")</f>
        <v>kaninKengenWB:"有り"</v>
      </c>
      <c r="M526" t="str" cm="1">
        <f t="array" aca="1" ref="M526" ca="1">CONCATENATE(INDIRECT(ADDRESS(1,13,1,0,"KeySet"),0),":","""",valueMaker!M526,"""")</f>
        <v>wakibiri:"10%"</v>
      </c>
      <c r="N526" t="str" cm="1">
        <f t="array" aca="1" ref="N526" ca="1">CONCATENATE(INDIRECT(ADDRESS(1,14,1,0,"KeySet"),0),":","""",valueMaker!N526,"""")</f>
        <v>kaninKengenPoint:"有り"</v>
      </c>
      <c r="O526" t="str" cm="1">
        <f t="array" aca="1" ref="O526" ca="1">CONCATENATE(INDIRECT(ADDRESS(1,15,1,0,"KeySet"),0),":","""",valueMaker!O526,"""")</f>
        <v>point:"65"</v>
      </c>
      <c r="P526" t="str" cm="1">
        <f t="array" aca="1" ref="P526" ca="1">CONCATENATE(INDIRECT(ADDRESS(1,16,1,0,"KeySet"),0),":","""",valueMaker!P526,"""")</f>
        <v>bikou:""</v>
      </c>
    </row>
    <row r="527" spans="1:16">
      <c r="A527" t="str" cm="1">
        <f t="array" aca="1" ref="A527" ca="1">CONCATENATE(INDIRECT(ADDRESS(1,1,1,0,"KeySet"),0),":","""",valueMaker!A527,"""")</f>
        <v>kainBangou:"TD10526"</v>
      </c>
      <c r="B527" t="str" cm="1">
        <f t="array" aca="1" ref="B527" ca="1">CONCATENATE(INDIRECT(ADDRESS(1,2,1,0,"KeySet"),0),":","""",valueMaker!B527,"""")</f>
        <v>kainMeiKanji:"宋閑康"</v>
      </c>
      <c r="C527" t="str" cm="1">
        <f t="array" aca="1" ref="C527" ca="1">CONCATENATE(INDIRECT(ADDRESS(1,3,1,0,"KeySet"),0),":","""",valueMaker!C527,"""")</f>
        <v>kainMeiKana:"ｿｰﾝ ｼｴﾝ ｶｰﾝ"</v>
      </c>
      <c r="D527" t="str" cm="1">
        <f t="array" aca="1" ref="D527" ca="1">CONCATENATE(INDIRECT(ADDRESS(1,4,1,0,"KeySet"),0),":","""",valueMaker!D527,"""")</f>
        <v>kainMeiEn:"Song Xian Kang"</v>
      </c>
      <c r="E527" t="str" cm="1">
        <f t="array" aca="1" ref="E527" ca="1">CONCATENATE(INDIRECT(ADDRESS(1,5,1,0,"KeySet"),0),":","""",valueMaker!E527,"""")</f>
        <v>kainGender:"-"</v>
      </c>
      <c r="F527" t="str" cm="1">
        <f t="array" aca="1" ref="F527" ca="1">CONCATENATE(INDIRECT(ADDRESS(1,6,1,0,"KeySet"),0),":","""",TEXT(valueMaker!F527,"yyyy/m/d"),"""")</f>
        <v>tanjyoubi:"1997/6/26"</v>
      </c>
      <c r="G527" t="str" cm="1">
        <f t="array" aca="1" ref="G527" ca="1">CONCATENATE(INDIRECT(ADDRESS(1,6,1,0,"KeySet"),0),":","""",TEXT(valueMaker!G527,"yyyy/m/d"),"""")</f>
        <v>tanjyoubi:"2020/3/28"</v>
      </c>
      <c r="H527" t="str" cm="1">
        <f t="array" aca="1" ref="H527" ca="1">CONCATENATE(INDIRECT(ADDRESS(1,6,1,0,"KeySet"),0),":","""",TEXT(valueMaker!H527,"yyyy/m/d"),"""")</f>
        <v>tanjyoubi:"2022/3/28"</v>
      </c>
      <c r="I527" t="str" cm="1">
        <f t="array" aca="1" ref="I527" ca="1">CONCATENATE(INDIRECT(ADDRESS(1,9,1,0,"KeySet"),0),":","""",valueMaker!I527,"""")</f>
        <v>denwaBangou:"090-4686-2727"</v>
      </c>
      <c r="J527" t="str" cm="1">
        <f t="array" aca="1" ref="J527" ca="1">CONCATENATE(INDIRECT(ADDRESS(1,10,1,0,"KeySet"),0),":","""",valueMaker!J527,"""")</f>
        <v>mailAddress:"Song_Xian_Kang_43918@outlook.jp.co"</v>
      </c>
      <c r="K527" t="str" cm="1">
        <f t="array" aca="1" ref="K527" ca="1">CONCATENATE(INDIRECT(ADDRESS(1,11,1,0,"KeySet"),0),":","""",valueMaker!K527,"""")</f>
        <v>kaninSyubetu:"普通"</v>
      </c>
      <c r="L527" t="str" cm="1">
        <f t="array" aca="1" ref="L527" ca="1">CONCATENATE(INDIRECT(ADDRESS(1,12,1,0,"KeySet"),0),":","""",valueMaker!L527,"""")</f>
        <v>kaninKengenWB:"有り"</v>
      </c>
      <c r="M527" t="str" cm="1">
        <f t="array" aca="1" ref="M527" ca="1">CONCATENATE(INDIRECT(ADDRESS(1,13,1,0,"KeySet"),0),":","""",valueMaker!M527,"""")</f>
        <v>wakibiri:"5%"</v>
      </c>
      <c r="N527" t="str" cm="1">
        <f t="array" aca="1" ref="N527" ca="1">CONCATENATE(INDIRECT(ADDRESS(1,14,1,0,"KeySet"),0),":","""",valueMaker!N527,"""")</f>
        <v>kaninKengenPoint:"有り"</v>
      </c>
      <c r="O527" t="str" cm="1">
        <f t="array" aca="1" ref="O527" ca="1">CONCATENATE(INDIRECT(ADDRESS(1,15,1,0,"KeySet"),0),":","""",valueMaker!O527,"""")</f>
        <v>point:"722"</v>
      </c>
      <c r="P527" t="str" cm="1">
        <f t="array" aca="1" ref="P527" ca="1">CONCATENATE(INDIRECT(ADDRESS(1,16,1,0,"KeySet"),0),":","""",valueMaker!P527,"""")</f>
        <v>bikou:""</v>
      </c>
    </row>
    <row r="528" spans="1:16">
      <c r="A528" t="str" cm="1">
        <f t="array" aca="1" ref="A528" ca="1">CONCATENATE(INDIRECT(ADDRESS(1,1,1,0,"KeySet"),0),":","""",valueMaker!A528,"""")</f>
        <v>kainBangou:"TD10527"</v>
      </c>
      <c r="B528" t="str" cm="1">
        <f t="array" aca="1" ref="B528" ca="1">CONCATENATE(INDIRECT(ADDRESS(1,2,1,0,"KeySet"),0),":","""",valueMaker!B528,"""")</f>
        <v>kainMeiKanji:"唐唯慶"</v>
      </c>
      <c r="C528" t="str" cm="1">
        <f t="array" aca="1" ref="C528" ca="1">CONCATENATE(INDIRECT(ADDRESS(1,3,1,0,"KeySet"),0),":","""",valueMaker!C528,"""")</f>
        <v>kainMeiKana:"ﾀｰﾝ ｳｴｲ ﾁｰﾝ"</v>
      </c>
      <c r="D528" t="str" cm="1">
        <f t="array" aca="1" ref="D528" ca="1">CONCATENATE(INDIRECT(ADDRESS(1,4,1,0,"KeySet"),0),":","""",valueMaker!D528,"""")</f>
        <v>kainMeiEn:"Tang Wei Qing"</v>
      </c>
      <c r="E528" t="str" cm="1">
        <f t="array" aca="1" ref="E528" ca="1">CONCATENATE(INDIRECT(ADDRESS(1,5,1,0,"KeySet"),0),":","""",valueMaker!E528,"""")</f>
        <v>kainGender:"男性"</v>
      </c>
      <c r="F528" t="str" cm="1">
        <f t="array" aca="1" ref="F528" ca="1">CONCATENATE(INDIRECT(ADDRESS(1,6,1,0,"KeySet"),0),":","""",TEXT(valueMaker!F528,"yyyy/m/d"),"""")</f>
        <v>tanjyoubi:"1966/12/5"</v>
      </c>
      <c r="G528" t="str" cm="1">
        <f t="array" aca="1" ref="G528" ca="1">CONCATENATE(INDIRECT(ADDRESS(1,6,1,0,"KeySet"),0),":","""",TEXT(valueMaker!G528,"yyyy/m/d"),"""")</f>
        <v>tanjyoubi:"2005/3/22"</v>
      </c>
      <c r="H528" t="str" cm="1">
        <f t="array" aca="1" ref="H528" ca="1">CONCATENATE(INDIRECT(ADDRESS(1,6,1,0,"KeySet"),0),":","""",TEXT(valueMaker!H528,"yyyy/m/d"),"""")</f>
        <v>tanjyoubi:"2006/3/22"</v>
      </c>
      <c r="I528" t="str" cm="1">
        <f t="array" aca="1" ref="I528" ca="1">CONCATENATE(INDIRECT(ADDRESS(1,9,1,0,"KeySet"),0),":","""",valueMaker!I528,"""")</f>
        <v>denwaBangou:"090-0725-3792"</v>
      </c>
      <c r="J528" t="str" cm="1">
        <f t="array" aca="1" ref="J528" ca="1">CONCATENATE(INDIRECT(ADDRESS(1,10,1,0,"KeySet"),0),":","""",valueMaker!J528,"""")</f>
        <v>mailAddress:"Tang_Wei_Qing_38433@outlook.jp.co"</v>
      </c>
      <c r="K528" t="str" cm="1">
        <f t="array" aca="1" ref="K528" ca="1">CONCATENATE(INDIRECT(ADDRESS(1,11,1,0,"KeySet"),0),":","""",valueMaker!K528,"""")</f>
        <v>kaninSyubetu:"普通"</v>
      </c>
      <c r="L528" t="str" cm="1">
        <f t="array" aca="1" ref="L528" ca="1">CONCATENATE(INDIRECT(ADDRESS(1,12,1,0,"KeySet"),0),":","""",valueMaker!L528,"""")</f>
        <v>kaninKengenWB:"有り"</v>
      </c>
      <c r="M528" t="str" cm="1">
        <f t="array" aca="1" ref="M528" ca="1">CONCATENATE(INDIRECT(ADDRESS(1,13,1,0,"KeySet"),0),":","""",valueMaker!M528,"""")</f>
        <v>wakibiri:"5%"</v>
      </c>
      <c r="N528" t="str" cm="1">
        <f t="array" aca="1" ref="N528" ca="1">CONCATENATE(INDIRECT(ADDRESS(1,14,1,0,"KeySet"),0),":","""",valueMaker!N528,"""")</f>
        <v>kaninKengenPoint:"有り"</v>
      </c>
      <c r="O528" t="str" cm="1">
        <f t="array" aca="1" ref="O528" ca="1">CONCATENATE(INDIRECT(ADDRESS(1,15,1,0,"KeySet"),0),":","""",valueMaker!O528,"""")</f>
        <v>point:"921"</v>
      </c>
      <c r="P528" t="str" cm="1">
        <f t="array" aca="1" ref="P528" ca="1">CONCATENATE(INDIRECT(ADDRESS(1,16,1,0,"KeySet"),0),":","""",valueMaker!P528,"""")</f>
        <v>bikou:""</v>
      </c>
    </row>
    <row r="529" spans="1:16">
      <c r="A529" t="str" cm="1">
        <f t="array" aca="1" ref="A529" ca="1">CONCATENATE(INDIRECT(ADDRESS(1,1,1,0,"KeySet"),0),":","""",valueMaker!A529,"""")</f>
        <v>kainBangou:"TD10528"</v>
      </c>
      <c r="B529" t="str" cm="1">
        <f t="array" aca="1" ref="B529" ca="1">CONCATENATE(INDIRECT(ADDRESS(1,2,1,0,"KeySet"),0),":","""",valueMaker!B529,"""")</f>
        <v>kainMeiKanji:"周泰奇"</v>
      </c>
      <c r="C529" t="str" cm="1">
        <f t="array" aca="1" ref="C529" ca="1">CONCATENATE(INDIRECT(ADDRESS(1,3,1,0,"KeySet"),0),":","""",valueMaker!C529,"""")</f>
        <v>kainMeiKana:"ｼﾞｮｳ ﾀｲ ﾁｲ"</v>
      </c>
      <c r="D529" t="str" cm="1">
        <f t="array" aca="1" ref="D529" ca="1">CONCATENATE(INDIRECT(ADDRESS(1,4,1,0,"KeySet"),0),":","""",valueMaker!D529,"""")</f>
        <v>kainMeiEn:"Zhou Tai Qi"</v>
      </c>
      <c r="E529" t="str" cm="1">
        <f t="array" aca="1" ref="E529" ca="1">CONCATENATE(INDIRECT(ADDRESS(1,5,1,0,"KeySet"),0),":","""",valueMaker!E529,"""")</f>
        <v>kainGender:"男性"</v>
      </c>
      <c r="F529" t="str" cm="1">
        <f t="array" aca="1" ref="F529" ca="1">CONCATENATE(INDIRECT(ADDRESS(1,6,1,0,"KeySet"),0),":","""",TEXT(valueMaker!F529,"yyyy/m/d"),"""")</f>
        <v>tanjyoubi:"1995/2/2"</v>
      </c>
      <c r="G529" t="str" cm="1">
        <f t="array" aca="1" ref="G529" ca="1">CONCATENATE(INDIRECT(ADDRESS(1,6,1,0,"KeySet"),0),":","""",TEXT(valueMaker!G529,"yyyy/m/d"),"""")</f>
        <v>tanjyoubi:"2017/3/30"</v>
      </c>
      <c r="H529" t="str" cm="1">
        <f t="array" aca="1" ref="H529" ca="1">CONCATENATE(INDIRECT(ADDRESS(1,6,1,0,"KeySet"),0),":","""",TEXT(valueMaker!H529,"yyyy/m/d"),"""")</f>
        <v>tanjyoubi:"2018/3/30"</v>
      </c>
      <c r="I529" t="str" cm="1">
        <f t="array" aca="1" ref="I529" ca="1">CONCATENATE(INDIRECT(ADDRESS(1,9,1,0,"KeySet"),0),":","""",valueMaker!I529,"""")</f>
        <v>denwaBangou:"080-4225-2247"</v>
      </c>
      <c r="J529" t="str" cm="1">
        <f t="array" aca="1" ref="J529" ca="1">CONCATENATE(INDIRECT(ADDRESS(1,10,1,0,"KeySet"),0),":","""",valueMaker!J529,"""")</f>
        <v>mailAddress:"Zhou_Tai Qi_42824@outlook.jp.co"</v>
      </c>
      <c r="K529" t="str" cm="1">
        <f t="array" aca="1" ref="K529" ca="1">CONCATENATE(INDIRECT(ADDRESS(1,11,1,0,"KeySet"),0),":","""",valueMaker!K529,"""")</f>
        <v>kaninSyubetu:"普通"</v>
      </c>
      <c r="L529" t="str" cm="1">
        <f t="array" aca="1" ref="L529" ca="1">CONCATENATE(INDIRECT(ADDRESS(1,12,1,0,"KeySet"),0),":","""",valueMaker!L529,"""")</f>
        <v>kaninKengenWB:"有り"</v>
      </c>
      <c r="M529" t="str" cm="1">
        <f t="array" aca="1" ref="M529" ca="1">CONCATENATE(INDIRECT(ADDRESS(1,13,1,0,"KeySet"),0),":","""",valueMaker!M529,"""")</f>
        <v>wakibiri:"5%"</v>
      </c>
      <c r="N529" t="str" cm="1">
        <f t="array" aca="1" ref="N529" ca="1">CONCATENATE(INDIRECT(ADDRESS(1,14,1,0,"KeySet"),0),":","""",valueMaker!N529,"""")</f>
        <v>kaninKengenPoint:"有り"</v>
      </c>
      <c r="O529" t="str" cm="1">
        <f t="array" aca="1" ref="O529" ca="1">CONCATENATE(INDIRECT(ADDRESS(1,15,1,0,"KeySet"),0),":","""",valueMaker!O529,"""")</f>
        <v>point:"834"</v>
      </c>
      <c r="P529" t="str" cm="1">
        <f t="array" aca="1" ref="P529" ca="1">CONCATENATE(INDIRECT(ADDRESS(1,16,1,0,"KeySet"),0),":","""",valueMaker!P529,"""")</f>
        <v>bikou:""</v>
      </c>
    </row>
    <row r="530" spans="1:16">
      <c r="A530" t="str" cm="1">
        <f t="array" aca="1" ref="A530" ca="1">CONCATENATE(INDIRECT(ADDRESS(1,1,1,0,"KeySet"),0),":","""",valueMaker!A530,"""")</f>
        <v>kainBangou:"TD10529"</v>
      </c>
      <c r="B530" t="str" cm="1">
        <f t="array" aca="1" ref="B530" ca="1">CONCATENATE(INDIRECT(ADDRESS(1,2,1,0,"KeySet"),0),":","""",valueMaker!B530,"""")</f>
        <v>kainMeiKanji:"馬電爾"</v>
      </c>
      <c r="C530" t="str" cm="1">
        <f t="array" aca="1" ref="C530" ca="1">CONCATENATE(INDIRECT(ADDRESS(1,3,1,0,"KeySet"),0),":","""",valueMaker!C530,"""")</f>
        <v>kainMeiKana:"ﾏｰ ﾃﾞｨｴﾝ ｱﾙ"</v>
      </c>
      <c r="D530" t="str" cm="1">
        <f t="array" aca="1" ref="D530" ca="1">CONCATENATE(INDIRECT(ADDRESS(1,4,1,0,"KeySet"),0),":","""",valueMaker!D530,"""")</f>
        <v>kainMeiEn:"Ma Dian Er"</v>
      </c>
      <c r="E530" t="str" cm="1">
        <f t="array" aca="1" ref="E530" ca="1">CONCATENATE(INDIRECT(ADDRESS(1,5,1,0,"KeySet"),0),":","""",valueMaker!E530,"""")</f>
        <v>kainGender:"男性"</v>
      </c>
      <c r="F530" t="str" cm="1">
        <f t="array" aca="1" ref="F530" ca="1">CONCATENATE(INDIRECT(ADDRESS(1,6,1,0,"KeySet"),0),":","""",TEXT(valueMaker!F530,"yyyy/m/d"),"""")</f>
        <v>tanjyoubi:"1986/9/24"</v>
      </c>
      <c r="G530" t="str" cm="1">
        <f t="array" aca="1" ref="G530" ca="1">CONCATENATE(INDIRECT(ADDRESS(1,6,1,0,"KeySet"),0),":","""",TEXT(valueMaker!G530,"yyyy/m/d"),"""")</f>
        <v>tanjyoubi:"2022/12/20"</v>
      </c>
      <c r="H530" t="str" cm="1">
        <f t="array" aca="1" ref="H530" ca="1">CONCATENATE(INDIRECT(ADDRESS(1,6,1,0,"KeySet"),0),":","""",TEXT(valueMaker!H530,"yyyy/m/d"),"""")</f>
        <v>tanjyoubi:"2024/12/19"</v>
      </c>
      <c r="I530" t="str" cm="1">
        <f t="array" aca="1" ref="I530" ca="1">CONCATENATE(INDIRECT(ADDRESS(1,9,1,0,"KeySet"),0),":","""",valueMaker!I530,"""")</f>
        <v>denwaBangou:"080-7578-9870"</v>
      </c>
      <c r="J530" t="str" cm="1">
        <f t="array" aca="1" ref="J530" ca="1">CONCATENATE(INDIRECT(ADDRESS(1,10,1,0,"KeySet"),0),":","""",valueMaker!J530,"""")</f>
        <v>mailAddress:"Ma_Dian_Er_44915@outlook.jp.co"</v>
      </c>
      <c r="K530" t="str" cm="1">
        <f t="array" aca="1" ref="K530" ca="1">CONCATENATE(INDIRECT(ADDRESS(1,11,1,0,"KeySet"),0),":","""",valueMaker!K530,"""")</f>
        <v>kaninSyubetu:"普通"</v>
      </c>
      <c r="L530" t="str" cm="1">
        <f t="array" aca="1" ref="L530" ca="1">CONCATENATE(INDIRECT(ADDRESS(1,12,1,0,"KeySet"),0),":","""",valueMaker!L530,"""")</f>
        <v>kaninKengenWB:"有り"</v>
      </c>
      <c r="M530" t="str" cm="1">
        <f t="array" aca="1" ref="M530" ca="1">CONCATENATE(INDIRECT(ADDRESS(1,13,1,0,"KeySet"),0),":","""",valueMaker!M530,"""")</f>
        <v>wakibiri:"5%"</v>
      </c>
      <c r="N530" t="str" cm="1">
        <f t="array" aca="1" ref="N530" ca="1">CONCATENATE(INDIRECT(ADDRESS(1,14,1,0,"KeySet"),0),":","""",valueMaker!N530,"""")</f>
        <v>kaninKengenPoint:"-"</v>
      </c>
      <c r="O530" t="str" cm="1">
        <f t="array" aca="1" ref="O530" ca="1">CONCATENATE(INDIRECT(ADDRESS(1,15,1,0,"KeySet"),0),":","""",valueMaker!O530,"""")</f>
        <v>point:"-"</v>
      </c>
      <c r="P530" t="str" cm="1">
        <f t="array" aca="1" ref="P530" ca="1">CONCATENATE(INDIRECT(ADDRESS(1,16,1,0,"KeySet"),0),":","""",valueMaker!P530,"""")</f>
        <v>bikou:""</v>
      </c>
    </row>
    <row r="531" spans="1:16">
      <c r="A531" t="str" cm="1">
        <f t="array" aca="1" ref="A531" ca="1">CONCATENATE(INDIRECT(ADDRESS(1,1,1,0,"KeySet"),0),":","""",valueMaker!A531,"""")</f>
        <v>kainBangou:"TD10530"</v>
      </c>
      <c r="B531" t="str" cm="1">
        <f t="array" aca="1" ref="B531" ca="1">CONCATENATE(INDIRECT(ADDRESS(1,2,1,0,"KeySet"),0),":","""",valueMaker!B531,"""")</f>
        <v>kainMeiKanji:"唐忠博"</v>
      </c>
      <c r="C531" t="str" cm="1">
        <f t="array" aca="1" ref="C531" ca="1">CONCATENATE(INDIRECT(ADDRESS(1,3,1,0,"KeySet"),0),":","""",valueMaker!C531,"""")</f>
        <v>kainMeiKana:"ﾀｰﾝ ｼﾞｮｰﾝ ﾎﾞｰ"</v>
      </c>
      <c r="D531" t="str" cm="1">
        <f t="array" aca="1" ref="D531" ca="1">CONCATENATE(INDIRECT(ADDRESS(1,4,1,0,"KeySet"),0),":","""",valueMaker!D531,"""")</f>
        <v>kainMeiEn:"Tang Zhong Bo"</v>
      </c>
      <c r="E531" t="str" cm="1">
        <f t="array" aca="1" ref="E531" ca="1">CONCATENATE(INDIRECT(ADDRESS(1,5,1,0,"KeySet"),0),":","""",valueMaker!E531,"""")</f>
        <v>kainGender:"男性"</v>
      </c>
      <c r="F531" t="str" cm="1">
        <f t="array" aca="1" ref="F531" ca="1">CONCATENATE(INDIRECT(ADDRESS(1,6,1,0,"KeySet"),0),":","""",TEXT(valueMaker!F531,"yyyy/m/d"),"""")</f>
        <v>tanjyoubi:"1980/12/21"</v>
      </c>
      <c r="G531" t="str" cm="1">
        <f t="array" aca="1" ref="G531" ca="1">CONCATENATE(INDIRECT(ADDRESS(1,6,1,0,"KeySet"),0),":","""",TEXT(valueMaker!G531,"yyyy/m/d"),"""")</f>
        <v>tanjyoubi:"2008/8/5"</v>
      </c>
      <c r="H531" t="str" cm="1">
        <f t="array" aca="1" ref="H531" ca="1">CONCATENATE(INDIRECT(ADDRESS(1,6,1,0,"KeySet"),0),":","""",TEXT(valueMaker!H531,"yyyy/m/d"),"""")</f>
        <v>tanjyoubi:"2009/8/5"</v>
      </c>
      <c r="I531" t="str" cm="1">
        <f t="array" aca="1" ref="I531" ca="1">CONCATENATE(INDIRECT(ADDRESS(1,9,1,0,"KeySet"),0),":","""",valueMaker!I531,"""")</f>
        <v>denwaBangou:"080-3812-6884"</v>
      </c>
      <c r="J531" t="str" cm="1">
        <f t="array" aca="1" ref="J531" ca="1">CONCATENATE(INDIRECT(ADDRESS(1,10,1,0,"KeySet"),0),":","""",valueMaker!J531,"""")</f>
        <v>mailAddress:"Tang_Zhong_Bo_39665@outlook.jp.co"</v>
      </c>
      <c r="K531" t="str" cm="1">
        <f t="array" aca="1" ref="K531" ca="1">CONCATENATE(INDIRECT(ADDRESS(1,11,1,0,"KeySet"),0),":","""",valueMaker!K531,"""")</f>
        <v>kaninSyubetu:"普通"</v>
      </c>
      <c r="L531" t="str" cm="1">
        <f t="array" aca="1" ref="L531" ca="1">CONCATENATE(INDIRECT(ADDRESS(1,12,1,0,"KeySet"),0),":","""",valueMaker!L531,"""")</f>
        <v>kaninKengenWB:"有り"</v>
      </c>
      <c r="M531" t="str" cm="1">
        <f t="array" aca="1" ref="M531" ca="1">CONCATENATE(INDIRECT(ADDRESS(1,13,1,0,"KeySet"),0),":","""",valueMaker!M531,"""")</f>
        <v>wakibiri:"5%"</v>
      </c>
      <c r="N531" t="str" cm="1">
        <f t="array" aca="1" ref="N531" ca="1">CONCATENATE(INDIRECT(ADDRESS(1,14,1,0,"KeySet"),0),":","""",valueMaker!N531,"""")</f>
        <v>kaninKengenPoint:"有り"</v>
      </c>
      <c r="O531" t="str" cm="1">
        <f t="array" aca="1" ref="O531" ca="1">CONCATENATE(INDIRECT(ADDRESS(1,15,1,0,"KeySet"),0),":","""",valueMaker!O531,"""")</f>
        <v>point:"583"</v>
      </c>
      <c r="P531" t="str" cm="1">
        <f t="array" aca="1" ref="P531" ca="1">CONCATENATE(INDIRECT(ADDRESS(1,16,1,0,"KeySet"),0),":","""",valueMaker!P531,"""")</f>
        <v>bikou:""</v>
      </c>
    </row>
    <row r="532" spans="1:16">
      <c r="A532" t="str" cm="1">
        <f t="array" aca="1" ref="A532" ca="1">CONCATENATE(INDIRECT(ADDRESS(1,1,1,0,"KeySet"),0),":","""",valueMaker!A532,"""")</f>
        <v>kainBangou:"TD10531"</v>
      </c>
      <c r="B532" t="str" cm="1">
        <f t="array" aca="1" ref="B532" ca="1">CONCATENATE(INDIRECT(ADDRESS(1,2,1,0,"KeySet"),0),":","""",valueMaker!B532,"""")</f>
        <v>kainMeiKanji:"宋毅格"</v>
      </c>
      <c r="C532" t="str" cm="1">
        <f t="array" aca="1" ref="C532" ca="1">CONCATENATE(INDIRECT(ADDRESS(1,3,1,0,"KeySet"),0),":","""",valueMaker!C532,"""")</f>
        <v>kainMeiKana:"ｿｰﾝ ｲｰ ｺﾞｰｧ"</v>
      </c>
      <c r="D532" t="str" cm="1">
        <f t="array" aca="1" ref="D532" ca="1">CONCATENATE(INDIRECT(ADDRESS(1,4,1,0,"KeySet"),0),":","""",valueMaker!D532,"""")</f>
        <v>kainMeiEn:"Song Yi Ge"</v>
      </c>
      <c r="E532" t="str" cm="1">
        <f t="array" aca="1" ref="E532" ca="1">CONCATENATE(INDIRECT(ADDRESS(1,5,1,0,"KeySet"),0),":","""",valueMaker!E532,"""")</f>
        <v>kainGender:"男性"</v>
      </c>
      <c r="F532" t="str" cm="1">
        <f t="array" aca="1" ref="F532" ca="1">CONCATENATE(INDIRECT(ADDRESS(1,6,1,0,"KeySet"),0),":","""",TEXT(valueMaker!F532,"yyyy/m/d"),"""")</f>
        <v>tanjyoubi:"1985/8/6"</v>
      </c>
      <c r="G532" t="str" cm="1">
        <f t="array" aca="1" ref="G532" ca="1">CONCATENATE(INDIRECT(ADDRESS(1,6,1,0,"KeySet"),0),":","""",TEXT(valueMaker!G532,"yyyy/m/d"),"""")</f>
        <v>tanjyoubi:"2008/5/15"</v>
      </c>
      <c r="H532" t="str" cm="1">
        <f t="array" aca="1" ref="H532" ca="1">CONCATENATE(INDIRECT(ADDRESS(1,6,1,0,"KeySet"),0),":","""",TEXT(valueMaker!H532,"yyyy/m/d"),"""")</f>
        <v>tanjyoubi:"2010/5/15"</v>
      </c>
      <c r="I532" t="str" cm="1">
        <f t="array" aca="1" ref="I532" ca="1">CONCATENATE(INDIRECT(ADDRESS(1,9,1,0,"KeySet"),0),":","""",valueMaker!I532,"""")</f>
        <v>denwaBangou:"090-9078-1717"</v>
      </c>
      <c r="J532" t="str" cm="1">
        <f t="array" aca="1" ref="J532" ca="1">CONCATENATE(INDIRECT(ADDRESS(1,10,1,0,"KeySet"),0),":","""",valueMaker!J532,"""")</f>
        <v>mailAddress:"Song_Yi_Ge_39583@outlook.jp.co"</v>
      </c>
      <c r="K532" t="str" cm="1">
        <f t="array" aca="1" ref="K532" ca="1">CONCATENATE(INDIRECT(ADDRESS(1,11,1,0,"KeySet"),0),":","""",valueMaker!K532,"""")</f>
        <v>kaninSyubetu:"普通"</v>
      </c>
      <c r="L532" t="str" cm="1">
        <f t="array" aca="1" ref="L532" ca="1">CONCATENATE(INDIRECT(ADDRESS(1,12,1,0,"KeySet"),0),":","""",valueMaker!L532,"""")</f>
        <v>kaninKengenWB:"有り"</v>
      </c>
      <c r="M532" t="str" cm="1">
        <f t="array" aca="1" ref="M532" ca="1">CONCATENATE(INDIRECT(ADDRESS(1,13,1,0,"KeySet"),0),":","""",valueMaker!M532,"""")</f>
        <v>wakibiri:"5%"</v>
      </c>
      <c r="N532" t="str" cm="1">
        <f t="array" aca="1" ref="N532" ca="1">CONCATENATE(INDIRECT(ADDRESS(1,14,1,0,"KeySet"),0),":","""",valueMaker!N532,"""")</f>
        <v>kaninKengenPoint:"有り"</v>
      </c>
      <c r="O532" t="str" cm="1">
        <f t="array" aca="1" ref="O532" ca="1">CONCATENATE(INDIRECT(ADDRESS(1,15,1,0,"KeySet"),0),":","""",valueMaker!O532,"""")</f>
        <v>point:"479"</v>
      </c>
      <c r="P532" t="str" cm="1">
        <f t="array" aca="1" ref="P532" ca="1">CONCATENATE(INDIRECT(ADDRESS(1,16,1,0,"KeySet"),0),":","""",valueMaker!P532,"""")</f>
        <v>bikou:""</v>
      </c>
    </row>
    <row r="533" spans="1:16">
      <c r="A533" t="str" cm="1">
        <f t="array" aca="1" ref="A533" ca="1">CONCATENATE(INDIRECT(ADDRESS(1,1,1,0,"KeySet"),0),":","""",valueMaker!A533,"""")</f>
        <v>kainBangou:"TD10532"</v>
      </c>
      <c r="B533" t="str" cm="1">
        <f t="array" aca="1" ref="B533" ca="1">CONCATENATE(INDIRECT(ADDRESS(1,2,1,0,"KeySet"),0),":","""",valueMaker!B533,"""")</f>
        <v>kainMeiKanji:"郭若齊"</v>
      </c>
      <c r="C533" t="str" cm="1">
        <f t="array" aca="1" ref="C533" ca="1">CONCATENATE(INDIRECT(ADDRESS(1,3,1,0,"KeySet"),0),":","""",valueMaker!C533,"""")</f>
        <v>kainMeiKana:"ｸﾞｵ ｩﾙｵ ﾁｲ"</v>
      </c>
      <c r="D533" t="str" cm="1">
        <f t="array" aca="1" ref="D533" ca="1">CONCATENATE(INDIRECT(ADDRESS(1,4,1,0,"KeySet"),0),":","""",valueMaker!D533,"""")</f>
        <v>kainMeiEn:"Guo Ruo Qi"</v>
      </c>
      <c r="E533" t="str" cm="1">
        <f t="array" aca="1" ref="E533" ca="1">CONCATENATE(INDIRECT(ADDRESS(1,5,1,0,"KeySet"),0),":","""",valueMaker!E533,"""")</f>
        <v>kainGender:"-"</v>
      </c>
      <c r="F533" t="str" cm="1">
        <f t="array" aca="1" ref="F533" ca="1">CONCATENATE(INDIRECT(ADDRESS(1,6,1,0,"KeySet"),0),":","""",TEXT(valueMaker!F533,"yyyy/m/d"),"""")</f>
        <v>tanjyoubi:"1968/8/1"</v>
      </c>
      <c r="G533" t="str" cm="1">
        <f t="array" aca="1" ref="G533" ca="1">CONCATENATE(INDIRECT(ADDRESS(1,6,1,0,"KeySet"),0),":","""",TEXT(valueMaker!G533,"yyyy/m/d"),"""")</f>
        <v>tanjyoubi:"2022/11/9"</v>
      </c>
      <c r="H533" t="str" cm="1">
        <f t="array" aca="1" ref="H533" ca="1">CONCATENATE(INDIRECT(ADDRESS(1,6,1,0,"KeySet"),0),":","""",TEXT(valueMaker!H533,"yyyy/m/d"),"""")</f>
        <v>tanjyoubi:"2023/11/9"</v>
      </c>
      <c r="I533" t="str" cm="1">
        <f t="array" aca="1" ref="I533" ca="1">CONCATENATE(INDIRECT(ADDRESS(1,9,1,0,"KeySet"),0),":","""",valueMaker!I533,"""")</f>
        <v>denwaBangou:"090-5767-3364"</v>
      </c>
      <c r="J533" t="str" cm="1">
        <f t="array" aca="1" ref="J533" ca="1">CONCATENATE(INDIRECT(ADDRESS(1,10,1,0,"KeySet"),0),":","""",valueMaker!J533,"""")</f>
        <v>mailAddress:"Guo_Ruo Qi_44874@outlook.jp.co"</v>
      </c>
      <c r="K533" t="str" cm="1">
        <f t="array" aca="1" ref="K533" ca="1">CONCATENATE(INDIRECT(ADDRESS(1,11,1,0,"KeySet"),0),":","""",valueMaker!K533,"""")</f>
        <v>kaninSyubetu:"高級"</v>
      </c>
      <c r="L533" t="str" cm="1">
        <f t="array" aca="1" ref="L533" ca="1">CONCATENATE(INDIRECT(ADDRESS(1,12,1,0,"KeySet"),0),":","""",valueMaker!L533,"""")</f>
        <v>kaninKengenWB:"有り"</v>
      </c>
      <c r="M533" t="str" cm="1">
        <f t="array" aca="1" ref="M533" ca="1">CONCATENATE(INDIRECT(ADDRESS(1,13,1,0,"KeySet"),0),":","""",valueMaker!M533,"""")</f>
        <v>wakibiri:"10%"</v>
      </c>
      <c r="N533" t="str" cm="1">
        <f t="array" aca="1" ref="N533" ca="1">CONCATENATE(INDIRECT(ADDRESS(1,14,1,0,"KeySet"),0),":","""",valueMaker!N533,"""")</f>
        <v>kaninKengenPoint:"有り"</v>
      </c>
      <c r="O533" t="str" cm="1">
        <f t="array" aca="1" ref="O533" ca="1">CONCATENATE(INDIRECT(ADDRESS(1,15,1,0,"KeySet"),0),":","""",valueMaker!O533,"""")</f>
        <v>point:"124"</v>
      </c>
      <c r="P533" t="str" cm="1">
        <f t="array" aca="1" ref="P533" ca="1">CONCATENATE(INDIRECT(ADDRESS(1,16,1,0,"KeySet"),0),":","""",valueMaker!P533,"""")</f>
        <v>bikou:""</v>
      </c>
    </row>
    <row r="534" spans="1:16">
      <c r="A534" t="str" cm="1">
        <f t="array" aca="1" ref="A534" ca="1">CONCATENATE(INDIRECT(ADDRESS(1,1,1,0,"KeySet"),0),":","""",valueMaker!A534,"""")</f>
        <v>kainBangou:"TD10533"</v>
      </c>
      <c r="B534" t="str" cm="1">
        <f t="array" aca="1" ref="B534" ca="1">CONCATENATE(INDIRECT(ADDRESS(1,2,1,0,"KeySet"),0),":","""",valueMaker!B534,"""")</f>
        <v>kainMeiKanji:"黃心禹"</v>
      </c>
      <c r="C534" t="str" cm="1">
        <f t="array" aca="1" ref="C534" ca="1">CONCATENATE(INDIRECT(ADDRESS(1,3,1,0,"KeySet"),0),":","""",valueMaker!C534,"""")</f>
        <v>kainMeiKana:"ﾎﾜｰﾝ ｼﾝ ﾕｲ"</v>
      </c>
      <c r="D534" t="str" cm="1">
        <f t="array" aca="1" ref="D534" ca="1">CONCATENATE(INDIRECT(ADDRESS(1,4,1,0,"KeySet"),0),":","""",valueMaker!D534,"""")</f>
        <v>kainMeiEn:"Huang Xin Yu"</v>
      </c>
      <c r="E534" t="str" cm="1">
        <f t="array" aca="1" ref="E534" ca="1">CONCATENATE(INDIRECT(ADDRESS(1,5,1,0,"KeySet"),0),":","""",valueMaker!E534,"""")</f>
        <v>kainGender:"女性"</v>
      </c>
      <c r="F534" t="str" cm="1">
        <f t="array" aca="1" ref="F534" ca="1">CONCATENATE(INDIRECT(ADDRESS(1,6,1,0,"KeySet"),0),":","""",TEXT(valueMaker!F534,"yyyy/m/d"),"""")</f>
        <v>tanjyoubi:"1978/11/27"</v>
      </c>
      <c r="G534" t="str" cm="1">
        <f t="array" aca="1" ref="G534" ca="1">CONCATENATE(INDIRECT(ADDRESS(1,6,1,0,"KeySet"),0),":","""",TEXT(valueMaker!G534,"yyyy/m/d"),"""")</f>
        <v>tanjyoubi:"2019/4/17"</v>
      </c>
      <c r="H534" t="str" cm="1">
        <f t="array" aca="1" ref="H534" ca="1">CONCATENATE(INDIRECT(ADDRESS(1,6,1,0,"KeySet"),0),":","""",TEXT(valueMaker!H534,"yyyy/m/d"),"""")</f>
        <v>tanjyoubi:"2022/4/16"</v>
      </c>
      <c r="I534" t="str" cm="1">
        <f t="array" aca="1" ref="I534" ca="1">CONCATENATE(INDIRECT(ADDRESS(1,9,1,0,"KeySet"),0),":","""",valueMaker!I534,"""")</f>
        <v>denwaBangou:"090-4076-4043"</v>
      </c>
      <c r="J534" t="str" cm="1">
        <f t="array" aca="1" ref="J534" ca="1">CONCATENATE(INDIRECT(ADDRESS(1,10,1,0,"KeySet"),0),":","""",valueMaker!J534,"""")</f>
        <v>mailAddress:"Huang_Xin_Yu_43572@outlook.jp.co"</v>
      </c>
      <c r="K534" t="str" cm="1">
        <f t="array" aca="1" ref="K534" ca="1">CONCATENATE(INDIRECT(ADDRESS(1,11,1,0,"KeySet"),0),":","""",valueMaker!K534,"""")</f>
        <v>kaninSyubetu:"普通"</v>
      </c>
      <c r="L534" t="str" cm="1">
        <f t="array" aca="1" ref="L534" ca="1">CONCATENATE(INDIRECT(ADDRESS(1,12,1,0,"KeySet"),0),":","""",valueMaker!L534,"""")</f>
        <v>kaninKengenWB:"有り"</v>
      </c>
      <c r="M534" t="str" cm="1">
        <f t="array" aca="1" ref="M534" ca="1">CONCATENATE(INDIRECT(ADDRESS(1,13,1,0,"KeySet"),0),":","""",valueMaker!M534,"""")</f>
        <v>wakibiri:"5%"</v>
      </c>
      <c r="N534" t="str" cm="1">
        <f t="array" aca="1" ref="N534" ca="1">CONCATENATE(INDIRECT(ADDRESS(1,14,1,0,"KeySet"),0),":","""",valueMaker!N534,"""")</f>
        <v>kaninKengenPoint:"有り"</v>
      </c>
      <c r="O534" t="str" cm="1">
        <f t="array" aca="1" ref="O534" ca="1">CONCATENATE(INDIRECT(ADDRESS(1,15,1,0,"KeySet"),0),":","""",valueMaker!O534,"""")</f>
        <v>point:"133"</v>
      </c>
      <c r="P534" t="str" cm="1">
        <f t="array" aca="1" ref="P534" ca="1">CONCATENATE(INDIRECT(ADDRESS(1,16,1,0,"KeySet"),0),":","""",valueMaker!P534,"""")</f>
        <v>bikou:""</v>
      </c>
    </row>
    <row r="535" spans="1:16">
      <c r="A535" t="str" cm="1">
        <f t="array" aca="1" ref="A535" ca="1">CONCATENATE(INDIRECT(ADDRESS(1,1,1,0,"KeySet"),0),":","""",valueMaker!A535,"""")</f>
        <v>kainBangou:"TD10534"</v>
      </c>
      <c r="B535" t="str" cm="1">
        <f t="array" aca="1" ref="B535" ca="1">CONCATENATE(INDIRECT(ADDRESS(1,2,1,0,"KeySet"),0),":","""",valueMaker!B535,"""")</f>
        <v>kainMeiKanji:"林羽鳳"</v>
      </c>
      <c r="C535" t="str" cm="1">
        <f t="array" aca="1" ref="C535" ca="1">CONCATENATE(INDIRECT(ADDRESS(1,3,1,0,"KeySet"),0),":","""",valueMaker!C535,"""")</f>
        <v>kainMeiKana:"ﾘﾝ ﾕｲ ﾌｵﾝ"</v>
      </c>
      <c r="D535" t="str" cm="1">
        <f t="array" aca="1" ref="D535" ca="1">CONCATENATE(INDIRECT(ADDRESS(1,4,1,0,"KeySet"),0),":","""",valueMaker!D535,"""")</f>
        <v>kainMeiEn:"Lin Yu Feng"</v>
      </c>
      <c r="E535" t="str" cm="1">
        <f t="array" aca="1" ref="E535" ca="1">CONCATENATE(INDIRECT(ADDRESS(1,5,1,0,"KeySet"),0),":","""",valueMaker!E535,"""")</f>
        <v>kainGender:"男性"</v>
      </c>
      <c r="F535" t="str" cm="1">
        <f t="array" aca="1" ref="F535" ca="1">CONCATENATE(INDIRECT(ADDRESS(1,6,1,0,"KeySet"),0),":","""",TEXT(valueMaker!F535,"yyyy/m/d"),"""")</f>
        <v>tanjyoubi:"1981/11/9"</v>
      </c>
      <c r="G535" t="str" cm="1">
        <f t="array" aca="1" ref="G535" ca="1">CONCATENATE(INDIRECT(ADDRESS(1,6,1,0,"KeySet"),0),":","""",TEXT(valueMaker!G535,"yyyy/m/d"),"""")</f>
        <v>tanjyoubi:"2006/12/4"</v>
      </c>
      <c r="H535" t="str" cm="1">
        <f t="array" aca="1" ref="H535" ca="1">CONCATENATE(INDIRECT(ADDRESS(1,6,1,0,"KeySet"),0),":","""",TEXT(valueMaker!H535,"yyyy/m/d"),"""")</f>
        <v>tanjyoubi:"2007/12/4"</v>
      </c>
      <c r="I535" t="str" cm="1">
        <f t="array" aca="1" ref="I535" ca="1">CONCATENATE(INDIRECT(ADDRESS(1,9,1,0,"KeySet"),0),":","""",valueMaker!I535,"""")</f>
        <v>denwaBangou:"090-9786-5021"</v>
      </c>
      <c r="J535" t="str" cm="1">
        <f t="array" aca="1" ref="J535" ca="1">CONCATENATE(INDIRECT(ADDRESS(1,10,1,0,"KeySet"),0),":","""",valueMaker!J535,"""")</f>
        <v>mailAddress:"Lin_Yu_Feng_39055@outlook.jp.co"</v>
      </c>
      <c r="K535" t="str" cm="1">
        <f t="array" aca="1" ref="K535" ca="1">CONCATENATE(INDIRECT(ADDRESS(1,11,1,0,"KeySet"),0),":","""",valueMaker!K535,"""")</f>
        <v>kaninSyubetu:"普通"</v>
      </c>
      <c r="L535" t="str" cm="1">
        <f t="array" aca="1" ref="L535" ca="1">CONCATENATE(INDIRECT(ADDRESS(1,12,1,0,"KeySet"),0),":","""",valueMaker!L535,"""")</f>
        <v>kaninKengenWB:"有り"</v>
      </c>
      <c r="M535" t="str" cm="1">
        <f t="array" aca="1" ref="M535" ca="1">CONCATENATE(INDIRECT(ADDRESS(1,13,1,0,"KeySet"),0),":","""",valueMaker!M535,"""")</f>
        <v>wakibiri:"5%"</v>
      </c>
      <c r="N535" t="str" cm="1">
        <f t="array" aca="1" ref="N535" ca="1">CONCATENATE(INDIRECT(ADDRESS(1,14,1,0,"KeySet"),0),":","""",valueMaker!N535,"""")</f>
        <v>kaninKengenPoint:"有り"</v>
      </c>
      <c r="O535" t="str" cm="1">
        <f t="array" aca="1" ref="O535" ca="1">CONCATENATE(INDIRECT(ADDRESS(1,15,1,0,"KeySet"),0),":","""",valueMaker!O535,"""")</f>
        <v>point:"88"</v>
      </c>
      <c r="P535" t="str" cm="1">
        <f t="array" aca="1" ref="P535" ca="1">CONCATENATE(INDIRECT(ADDRESS(1,16,1,0,"KeySet"),0),":","""",valueMaker!P535,"""")</f>
        <v>bikou:""</v>
      </c>
    </row>
    <row r="536" spans="1:16">
      <c r="A536" t="str" cm="1">
        <f t="array" aca="1" ref="A536" ca="1">CONCATENATE(INDIRECT(ADDRESS(1,1,1,0,"KeySet"),0),":","""",valueMaker!A536,"""")</f>
        <v>kainBangou:"TD10535"</v>
      </c>
      <c r="B536" t="str" cm="1">
        <f t="array" aca="1" ref="B536" ca="1">CONCATENATE(INDIRECT(ADDRESS(1,2,1,0,"KeySet"),0),":","""",valueMaker!B536,"""")</f>
        <v>kainMeiKanji:"黃勤財"</v>
      </c>
      <c r="C536" t="str" cm="1">
        <f t="array" aca="1" ref="C536" ca="1">CONCATENATE(INDIRECT(ADDRESS(1,3,1,0,"KeySet"),0),":","""",valueMaker!C536,"""")</f>
        <v>kainMeiKana:"ﾎﾜｰﾝ ﾁﾝ ﾂｧｲ"</v>
      </c>
      <c r="D536" t="str" cm="1">
        <f t="array" aca="1" ref="D536" ca="1">CONCATENATE(INDIRECT(ADDRESS(1,4,1,0,"KeySet"),0),":","""",valueMaker!D536,"""")</f>
        <v>kainMeiEn:"Huang Qin Cai"</v>
      </c>
      <c r="E536" t="str" cm="1">
        <f t="array" aca="1" ref="E536" ca="1">CONCATENATE(INDIRECT(ADDRESS(1,5,1,0,"KeySet"),0),":","""",valueMaker!E536,"""")</f>
        <v>kainGender:"女性"</v>
      </c>
      <c r="F536" t="str" cm="1">
        <f t="array" aca="1" ref="F536" ca="1">CONCATENATE(INDIRECT(ADDRESS(1,6,1,0,"KeySet"),0),":","""",TEXT(valueMaker!F536,"yyyy/m/d"),"""")</f>
        <v>tanjyoubi:"1987/9/22"</v>
      </c>
      <c r="G536" t="str" cm="1">
        <f t="array" aca="1" ref="G536" ca="1">CONCATENATE(INDIRECT(ADDRESS(1,6,1,0,"KeySet"),0),":","""",TEXT(valueMaker!G536,"yyyy/m/d"),"""")</f>
        <v>tanjyoubi:"2009/3/17"</v>
      </c>
      <c r="H536" t="str" cm="1">
        <f t="array" aca="1" ref="H536" ca="1">CONCATENATE(INDIRECT(ADDRESS(1,6,1,0,"KeySet"),0),":","""",TEXT(valueMaker!H536,"yyyy/m/d"),"""")</f>
        <v>tanjyoubi:"2011/3/17"</v>
      </c>
      <c r="I536" t="str" cm="1">
        <f t="array" aca="1" ref="I536" ca="1">CONCATENATE(INDIRECT(ADDRESS(1,9,1,0,"KeySet"),0),":","""",valueMaker!I536,"""")</f>
        <v>denwaBangou:"090-4018-1499"</v>
      </c>
      <c r="J536" t="str" cm="1">
        <f t="array" aca="1" ref="J536" ca="1">CONCATENATE(INDIRECT(ADDRESS(1,10,1,0,"KeySet"),0),":","""",valueMaker!J536,"""")</f>
        <v>mailAddress:"Huang_Qin_Cai_39889@outlook.jp.co"</v>
      </c>
      <c r="K536" t="str" cm="1">
        <f t="array" aca="1" ref="K536" ca="1">CONCATENATE(INDIRECT(ADDRESS(1,11,1,0,"KeySet"),0),":","""",valueMaker!K536,"""")</f>
        <v>kaninSyubetu:"普通"</v>
      </c>
      <c r="L536" t="str" cm="1">
        <f t="array" aca="1" ref="L536" ca="1">CONCATENATE(INDIRECT(ADDRESS(1,12,1,0,"KeySet"),0),":","""",valueMaker!L536,"""")</f>
        <v>kaninKengenWB:"有り"</v>
      </c>
      <c r="M536" t="str" cm="1">
        <f t="array" aca="1" ref="M536" ca="1">CONCATENATE(INDIRECT(ADDRESS(1,13,1,0,"KeySet"),0),":","""",valueMaker!M536,"""")</f>
        <v>wakibiri:"5%"</v>
      </c>
      <c r="N536" t="str" cm="1">
        <f t="array" aca="1" ref="N536" ca="1">CONCATENATE(INDIRECT(ADDRESS(1,14,1,0,"KeySet"),0),":","""",valueMaker!N536,"""")</f>
        <v>kaninKengenPoint:"有り"</v>
      </c>
      <c r="O536" t="str" cm="1">
        <f t="array" aca="1" ref="O536" ca="1">CONCATENATE(INDIRECT(ADDRESS(1,15,1,0,"KeySet"),0),":","""",valueMaker!O536,"""")</f>
        <v>point:"8"</v>
      </c>
      <c r="P536" t="str" cm="1">
        <f t="array" aca="1" ref="P536" ca="1">CONCATENATE(INDIRECT(ADDRESS(1,16,1,0,"KeySet"),0),":","""",valueMaker!P536,"""")</f>
        <v>bikou:""</v>
      </c>
    </row>
    <row r="537" spans="1:16">
      <c r="A537" t="str" cm="1">
        <f t="array" aca="1" ref="A537" ca="1">CONCATENATE(INDIRECT(ADDRESS(1,1,1,0,"KeySet"),0),":","""",valueMaker!A537,"""")</f>
        <v>kainBangou:"TD10536"</v>
      </c>
      <c r="B537" t="str" cm="1">
        <f t="array" aca="1" ref="B537" ca="1">CONCATENATE(INDIRECT(ADDRESS(1,2,1,0,"KeySet"),0),":","""",valueMaker!B537,"""")</f>
        <v>kainMeiKanji:"孫影真"</v>
      </c>
      <c r="C537" t="str" cm="1">
        <f t="array" aca="1" ref="C537" ca="1">CONCATENATE(INDIRECT(ADDRESS(1,3,1,0,"KeySet"),0),":","""",valueMaker!C537,"""")</f>
        <v>kainMeiKana:"ｽｩﾝ ｲｰﾝ ｼﾞｪﾝ"</v>
      </c>
      <c r="D537" t="str" cm="1">
        <f t="array" aca="1" ref="D537" ca="1">CONCATENATE(INDIRECT(ADDRESS(1,4,1,0,"KeySet"),0),":","""",valueMaker!D537,"""")</f>
        <v>kainMeiEn:"Sun Ying Zhen"</v>
      </c>
      <c r="E537" t="str" cm="1">
        <f t="array" aca="1" ref="E537" ca="1">CONCATENATE(INDIRECT(ADDRESS(1,5,1,0,"KeySet"),0),":","""",valueMaker!E537,"""")</f>
        <v>kainGender:"女性"</v>
      </c>
      <c r="F537" t="str" cm="1">
        <f t="array" aca="1" ref="F537" ca="1">CONCATENATE(INDIRECT(ADDRESS(1,6,1,0,"KeySet"),0),":","""",TEXT(valueMaker!F537,"yyyy/m/d"),"""")</f>
        <v>tanjyoubi:"1970/4/20"</v>
      </c>
      <c r="G537" t="str" cm="1">
        <f t="array" aca="1" ref="G537" ca="1">CONCATENATE(INDIRECT(ADDRESS(1,6,1,0,"KeySet"),0),":","""",TEXT(valueMaker!G537,"yyyy/m/d"),"""")</f>
        <v>tanjyoubi:"2012/12/23"</v>
      </c>
      <c r="H537" t="str" cm="1">
        <f t="array" aca="1" ref="H537" ca="1">CONCATENATE(INDIRECT(ADDRESS(1,6,1,0,"KeySet"),0),":","""",TEXT(valueMaker!H537,"yyyy/m/d"),"""")</f>
        <v>tanjyoubi:"2015/12/23"</v>
      </c>
      <c r="I537" t="str" cm="1">
        <f t="array" aca="1" ref="I537" ca="1">CONCATENATE(INDIRECT(ADDRESS(1,9,1,0,"KeySet"),0),":","""",valueMaker!I537,"""")</f>
        <v>denwaBangou:"080-7124-1934"</v>
      </c>
      <c r="J537" t="str" cm="1">
        <f t="array" aca="1" ref="J537" ca="1">CONCATENATE(INDIRECT(ADDRESS(1,10,1,0,"KeySet"),0),":","""",valueMaker!J537,"""")</f>
        <v>mailAddress:"Sun_Ying_Zhen_41266@outlook.jp.co"</v>
      </c>
      <c r="K537" t="str" cm="1">
        <f t="array" aca="1" ref="K537" ca="1">CONCATENATE(INDIRECT(ADDRESS(1,11,1,0,"KeySet"),0),":","""",valueMaker!K537,"""")</f>
        <v>kaninSyubetu:"普通"</v>
      </c>
      <c r="L537" t="str" cm="1">
        <f t="array" aca="1" ref="L537" ca="1">CONCATENATE(INDIRECT(ADDRESS(1,12,1,0,"KeySet"),0),":","""",valueMaker!L537,"""")</f>
        <v>kaninKengenWB:"-"</v>
      </c>
      <c r="M537" t="str" cm="1">
        <f t="array" aca="1" ref="M537" ca="1">CONCATENATE(INDIRECT(ADDRESS(1,13,1,0,"KeySet"),0),":","""",valueMaker!M537,"""")</f>
        <v>wakibiri:"-"</v>
      </c>
      <c r="N537" t="str" cm="1">
        <f t="array" aca="1" ref="N537" ca="1">CONCATENATE(INDIRECT(ADDRESS(1,14,1,0,"KeySet"),0),":","""",valueMaker!N537,"""")</f>
        <v>kaninKengenPoint:"-"</v>
      </c>
      <c r="O537" t="str" cm="1">
        <f t="array" aca="1" ref="O537" ca="1">CONCATENATE(INDIRECT(ADDRESS(1,15,1,0,"KeySet"),0),":","""",valueMaker!O537,"""")</f>
        <v>point:"-"</v>
      </c>
      <c r="P537" t="str" cm="1">
        <f t="array" aca="1" ref="P537" ca="1">CONCATENATE(INDIRECT(ADDRESS(1,16,1,0,"KeySet"),0),":","""",valueMaker!P537,"""")</f>
        <v>bikou:""</v>
      </c>
    </row>
    <row r="538" spans="1:16">
      <c r="A538" t="str" cm="1">
        <f t="array" aca="1" ref="A538" ca="1">CONCATENATE(INDIRECT(ADDRESS(1,1,1,0,"KeySet"),0),":","""",valueMaker!A538,"""")</f>
        <v>kainBangou:"TD10537"</v>
      </c>
      <c r="B538" t="str" cm="1">
        <f t="array" aca="1" ref="B538" ca="1">CONCATENATE(INDIRECT(ADDRESS(1,2,1,0,"KeySet"),0),":","""",valueMaker!B538,"""")</f>
        <v>kainMeiKanji:"朱雲欣"</v>
      </c>
      <c r="C538" t="str" cm="1">
        <f t="array" aca="1" ref="C538" ca="1">CONCATENATE(INDIRECT(ADDRESS(1,3,1,0,"KeySet"),0),":","""",valueMaker!C538,"""")</f>
        <v>kainMeiKana:"ｼﾞｭｳ ﾕｲﾝ ｼﾝ"</v>
      </c>
      <c r="D538" t="str" cm="1">
        <f t="array" aca="1" ref="D538" ca="1">CONCATENATE(INDIRECT(ADDRESS(1,4,1,0,"KeySet"),0),":","""",valueMaker!D538,"""")</f>
        <v>kainMeiEn:"Zhu Yun Xin"</v>
      </c>
      <c r="E538" t="str" cm="1">
        <f t="array" aca="1" ref="E538" ca="1">CONCATENATE(INDIRECT(ADDRESS(1,5,1,0,"KeySet"),0),":","""",valueMaker!E538,"""")</f>
        <v>kainGender:"女性"</v>
      </c>
      <c r="F538" t="str" cm="1">
        <f t="array" aca="1" ref="F538" ca="1">CONCATENATE(INDIRECT(ADDRESS(1,6,1,0,"KeySet"),0),":","""",TEXT(valueMaker!F538,"yyyy/m/d"),"""")</f>
        <v>tanjyoubi:"1988/11/3"</v>
      </c>
      <c r="G538" t="str" cm="1">
        <f t="array" aca="1" ref="G538" ca="1">CONCATENATE(INDIRECT(ADDRESS(1,6,1,0,"KeySet"),0),":","""",TEXT(valueMaker!G538,"yyyy/m/d"),"""")</f>
        <v>tanjyoubi:"2010/12/12"</v>
      </c>
      <c r="H538" t="str" cm="1">
        <f t="array" aca="1" ref="H538" ca="1">CONCATENATE(INDIRECT(ADDRESS(1,6,1,0,"KeySet"),0),":","""",TEXT(valueMaker!H538,"yyyy/m/d"),"""")</f>
        <v>tanjyoubi:"2012/12/11"</v>
      </c>
      <c r="I538" t="str" cm="1">
        <f t="array" aca="1" ref="I538" ca="1">CONCATENATE(INDIRECT(ADDRESS(1,9,1,0,"KeySet"),0),":","""",valueMaker!I538,"""")</f>
        <v>denwaBangou:"080-8080-8310"</v>
      </c>
      <c r="J538" t="str" cm="1">
        <f t="array" aca="1" ref="J538" ca="1">CONCATENATE(INDIRECT(ADDRESS(1,10,1,0,"KeySet"),0),":","""",valueMaker!J538,"""")</f>
        <v>mailAddress:"Zhu_Yun_Xin_40524@outlook.jp.co"</v>
      </c>
      <c r="K538" t="str" cm="1">
        <f t="array" aca="1" ref="K538" ca="1">CONCATENATE(INDIRECT(ADDRESS(1,11,1,0,"KeySet"),0),":","""",valueMaker!K538,"""")</f>
        <v>kaninSyubetu:"高級"</v>
      </c>
      <c r="L538" t="str" cm="1">
        <f t="array" aca="1" ref="L538" ca="1">CONCATENATE(INDIRECT(ADDRESS(1,12,1,0,"KeySet"),0),":","""",valueMaker!L538,"""")</f>
        <v>kaninKengenWB:"有り"</v>
      </c>
      <c r="M538" t="str" cm="1">
        <f t="array" aca="1" ref="M538" ca="1">CONCATENATE(INDIRECT(ADDRESS(1,13,1,0,"KeySet"),0),":","""",valueMaker!M538,"""")</f>
        <v>wakibiri:"10%"</v>
      </c>
      <c r="N538" t="str" cm="1">
        <f t="array" aca="1" ref="N538" ca="1">CONCATENATE(INDIRECT(ADDRESS(1,14,1,0,"KeySet"),0),":","""",valueMaker!N538,"""")</f>
        <v>kaninKengenPoint:"有り"</v>
      </c>
      <c r="O538" t="str" cm="1">
        <f t="array" aca="1" ref="O538" ca="1">CONCATENATE(INDIRECT(ADDRESS(1,15,1,0,"KeySet"),0),":","""",valueMaker!O538,"""")</f>
        <v>point:"119"</v>
      </c>
      <c r="P538" t="str" cm="1">
        <f t="array" aca="1" ref="P538" ca="1">CONCATENATE(INDIRECT(ADDRESS(1,16,1,0,"KeySet"),0),":","""",valueMaker!P538,"""")</f>
        <v>bikou:""</v>
      </c>
    </row>
    <row r="539" spans="1:16">
      <c r="A539" t="str" cm="1">
        <f t="array" aca="1" ref="A539" ca="1">CONCATENATE(INDIRECT(ADDRESS(1,1,1,0,"KeySet"),0),":","""",valueMaker!A539,"""")</f>
        <v>kainBangou:"TD10538"</v>
      </c>
      <c r="B539" t="str" cm="1">
        <f t="array" aca="1" ref="B539" ca="1">CONCATENATE(INDIRECT(ADDRESS(1,2,1,0,"KeySet"),0),":","""",valueMaker!B539,"""")</f>
        <v>kainMeiKanji:"郭創和"</v>
      </c>
      <c r="C539" t="str" cm="1">
        <f t="array" aca="1" ref="C539" ca="1">CONCATENATE(INDIRECT(ADDRESS(1,3,1,0,"KeySet"),0),":","""",valueMaker!C539,"""")</f>
        <v>kainMeiKana:"ｸﾞｵ ﾁｭﾜｰﾝ ﾎｰｧ"</v>
      </c>
      <c r="D539" t="str" cm="1">
        <f t="array" aca="1" ref="D539" ca="1">CONCATENATE(INDIRECT(ADDRESS(1,4,1,0,"KeySet"),0),":","""",valueMaker!D539,"""")</f>
        <v>kainMeiEn:"Guo Chuang He"</v>
      </c>
      <c r="E539" t="str" cm="1">
        <f t="array" aca="1" ref="E539" ca="1">CONCATENATE(INDIRECT(ADDRESS(1,5,1,0,"KeySet"),0),":","""",valueMaker!E539,"""")</f>
        <v>kainGender:"男性"</v>
      </c>
      <c r="F539" t="str" cm="1">
        <f t="array" aca="1" ref="F539" ca="1">CONCATENATE(INDIRECT(ADDRESS(1,6,1,0,"KeySet"),0),":","""",TEXT(valueMaker!F539,"yyyy/m/d"),"""")</f>
        <v>tanjyoubi:"1968/8/11"</v>
      </c>
      <c r="G539" t="str" cm="1">
        <f t="array" aca="1" ref="G539" ca="1">CONCATENATE(INDIRECT(ADDRESS(1,6,1,0,"KeySet"),0),":","""",TEXT(valueMaker!G539,"yyyy/m/d"),"""")</f>
        <v>tanjyoubi:"1995/11/23"</v>
      </c>
      <c r="H539" t="str" cm="1">
        <f t="array" aca="1" ref="H539" ca="1">CONCATENATE(INDIRECT(ADDRESS(1,6,1,0,"KeySet"),0),":","""",TEXT(valueMaker!H539,"yyyy/m/d"),"""")</f>
        <v>tanjyoubi:"1996/11/22"</v>
      </c>
      <c r="I539" t="str" cm="1">
        <f t="array" aca="1" ref="I539" ca="1">CONCATENATE(INDIRECT(ADDRESS(1,9,1,0,"KeySet"),0),":","""",valueMaker!I539,"""")</f>
        <v>denwaBangou:"080-2798-9835"</v>
      </c>
      <c r="J539" t="str" cm="1">
        <f t="array" aca="1" ref="J539" ca="1">CONCATENATE(INDIRECT(ADDRESS(1,10,1,0,"KeySet"),0),":","""",valueMaker!J539,"""")</f>
        <v>mailAddress:"Guo_Chuang He_35026@outlook.jp.co"</v>
      </c>
      <c r="K539" t="str" cm="1">
        <f t="array" aca="1" ref="K539" ca="1">CONCATENATE(INDIRECT(ADDRESS(1,11,1,0,"KeySet"),0),":","""",valueMaker!K539,"""")</f>
        <v>kaninSyubetu:"普通"</v>
      </c>
      <c r="L539" t="str" cm="1">
        <f t="array" aca="1" ref="L539" ca="1">CONCATENATE(INDIRECT(ADDRESS(1,12,1,0,"KeySet"),0),":","""",valueMaker!L539,"""")</f>
        <v>kaninKengenWB:"有り"</v>
      </c>
      <c r="M539" t="str" cm="1">
        <f t="array" aca="1" ref="M539" ca="1">CONCATENATE(INDIRECT(ADDRESS(1,13,1,0,"KeySet"),0),":","""",valueMaker!M539,"""")</f>
        <v>wakibiri:"5%"</v>
      </c>
      <c r="N539" t="str" cm="1">
        <f t="array" aca="1" ref="N539" ca="1">CONCATENATE(INDIRECT(ADDRESS(1,14,1,0,"KeySet"),0),":","""",valueMaker!N539,"""")</f>
        <v>kaninKengenPoint:"-"</v>
      </c>
      <c r="O539" t="str" cm="1">
        <f t="array" aca="1" ref="O539" ca="1">CONCATENATE(INDIRECT(ADDRESS(1,15,1,0,"KeySet"),0),":","""",valueMaker!O539,"""")</f>
        <v>point:"-"</v>
      </c>
      <c r="P539" t="str" cm="1">
        <f t="array" aca="1" ref="P539" ca="1">CONCATENATE(INDIRECT(ADDRESS(1,16,1,0,"KeySet"),0),":","""",valueMaker!P539,"""")</f>
        <v>bikou:""</v>
      </c>
    </row>
    <row r="540" spans="1:16">
      <c r="A540" t="str" cm="1">
        <f t="array" aca="1" ref="A540" ca="1">CONCATENATE(INDIRECT(ADDRESS(1,1,1,0,"KeySet"),0),":","""",valueMaker!A540,"""")</f>
        <v>kainBangou:"TD10539"</v>
      </c>
      <c r="B540" t="str" cm="1">
        <f t="array" aca="1" ref="B540" ca="1">CONCATENATE(INDIRECT(ADDRESS(1,2,1,0,"KeySet"),0),":","""",valueMaker!B540,"""")</f>
        <v>kainMeiKanji:"謝詠堯"</v>
      </c>
      <c r="C540" t="str" cm="1">
        <f t="array" aca="1" ref="C540" ca="1">CONCATENATE(INDIRECT(ADDRESS(1,3,1,0,"KeySet"),0),":","""",valueMaker!C540,"""")</f>
        <v>kainMeiKana:"ｼｴ ﾖｰﾝ ﾔｵ"</v>
      </c>
      <c r="D540" t="str" cm="1">
        <f t="array" aca="1" ref="D540" ca="1">CONCATENATE(INDIRECT(ADDRESS(1,4,1,0,"KeySet"),0),":","""",valueMaker!D540,"""")</f>
        <v>kainMeiEn:"Xie Yong Yao"</v>
      </c>
      <c r="E540" t="str" cm="1">
        <f t="array" aca="1" ref="E540" ca="1">CONCATENATE(INDIRECT(ADDRESS(1,5,1,0,"KeySet"),0),":","""",valueMaker!E540,"""")</f>
        <v>kainGender:"-"</v>
      </c>
      <c r="F540" t="str" cm="1">
        <f t="array" aca="1" ref="F540" ca="1">CONCATENATE(INDIRECT(ADDRESS(1,6,1,0,"KeySet"),0),":","""",TEXT(valueMaker!F540,"yyyy/m/d"),"""")</f>
        <v>tanjyoubi:"1985/10/17"</v>
      </c>
      <c r="G540" t="str" cm="1">
        <f t="array" aca="1" ref="G540" ca="1">CONCATENATE(INDIRECT(ADDRESS(1,6,1,0,"KeySet"),0),":","""",TEXT(valueMaker!G540,"yyyy/m/d"),"""")</f>
        <v>tanjyoubi:"2010/4/5"</v>
      </c>
      <c r="H540" t="str" cm="1">
        <f t="array" aca="1" ref="H540" ca="1">CONCATENATE(INDIRECT(ADDRESS(1,6,1,0,"KeySet"),0),":","""",TEXT(valueMaker!H540,"yyyy/m/d"),"""")</f>
        <v>tanjyoubi:"2012/4/4"</v>
      </c>
      <c r="I540" t="str" cm="1">
        <f t="array" aca="1" ref="I540" ca="1">CONCATENATE(INDIRECT(ADDRESS(1,9,1,0,"KeySet"),0),":","""",valueMaker!I540,"""")</f>
        <v>denwaBangou:"080-2083-9160"</v>
      </c>
      <c r="J540" t="str" cm="1">
        <f t="array" aca="1" ref="J540" ca="1">CONCATENATE(INDIRECT(ADDRESS(1,10,1,0,"KeySet"),0),":","""",valueMaker!J540,"""")</f>
        <v>mailAddress:"Xie_Yong_Yao_40273@outlook.jp.co"</v>
      </c>
      <c r="K540" t="str" cm="1">
        <f t="array" aca="1" ref="K540" ca="1">CONCATENATE(INDIRECT(ADDRESS(1,11,1,0,"KeySet"),0),":","""",valueMaker!K540,"""")</f>
        <v>kaninSyubetu:"普通"</v>
      </c>
      <c r="L540" t="str" cm="1">
        <f t="array" aca="1" ref="L540" ca="1">CONCATENATE(INDIRECT(ADDRESS(1,12,1,0,"KeySet"),0),":","""",valueMaker!L540,"""")</f>
        <v>kaninKengenWB:"有り"</v>
      </c>
      <c r="M540" t="str" cm="1">
        <f t="array" aca="1" ref="M540" ca="1">CONCATENATE(INDIRECT(ADDRESS(1,13,1,0,"KeySet"),0),":","""",valueMaker!M540,"""")</f>
        <v>wakibiri:"5%"</v>
      </c>
      <c r="N540" t="str" cm="1">
        <f t="array" aca="1" ref="N540" ca="1">CONCATENATE(INDIRECT(ADDRESS(1,14,1,0,"KeySet"),0),":","""",valueMaker!N540,"""")</f>
        <v>kaninKengenPoint:"-"</v>
      </c>
      <c r="O540" t="str" cm="1">
        <f t="array" aca="1" ref="O540" ca="1">CONCATENATE(INDIRECT(ADDRESS(1,15,1,0,"KeySet"),0),":","""",valueMaker!O540,"""")</f>
        <v>point:"-"</v>
      </c>
      <c r="P540" t="str" cm="1">
        <f t="array" aca="1" ref="P540" ca="1">CONCATENATE(INDIRECT(ADDRESS(1,16,1,0,"KeySet"),0),":","""",valueMaker!P540,"""")</f>
        <v>bikou:""</v>
      </c>
    </row>
    <row r="541" spans="1:16">
      <c r="A541" t="str" cm="1">
        <f t="array" aca="1" ref="A541" ca="1">CONCATENATE(INDIRECT(ADDRESS(1,1,1,0,"KeySet"),0),":","""",valueMaker!A541,"""")</f>
        <v>kainBangou:"TD10540"</v>
      </c>
      <c r="B541" t="str" cm="1">
        <f t="array" aca="1" ref="B541" ca="1">CONCATENATE(INDIRECT(ADDRESS(1,2,1,0,"KeySet"),0),":","""",valueMaker!B541,"""")</f>
        <v>kainMeiKanji:"張逸芹"</v>
      </c>
      <c r="C541" t="str" cm="1">
        <f t="array" aca="1" ref="C541" ca="1">CONCATENATE(INDIRECT(ADDRESS(1,3,1,0,"KeySet"),0),":","""",valueMaker!C541,"""")</f>
        <v>kainMeiKana:"ｼﾞｬｰﾝ ｲｰ ﾁﾝ"</v>
      </c>
      <c r="D541" t="str" cm="1">
        <f t="array" aca="1" ref="D541" ca="1">CONCATENATE(INDIRECT(ADDRESS(1,4,1,0,"KeySet"),0),":","""",valueMaker!D541,"""")</f>
        <v>kainMeiEn:"Zhang Yi Qin"</v>
      </c>
      <c r="E541" t="str" cm="1">
        <f t="array" aca="1" ref="E541" ca="1">CONCATENATE(INDIRECT(ADDRESS(1,5,1,0,"KeySet"),0),":","""",valueMaker!E541,"""")</f>
        <v>kainGender:"女性"</v>
      </c>
      <c r="F541" t="str" cm="1">
        <f t="array" aca="1" ref="F541" ca="1">CONCATENATE(INDIRECT(ADDRESS(1,6,1,0,"KeySet"),0),":","""",TEXT(valueMaker!F541,"yyyy/m/d"),"""")</f>
        <v>tanjyoubi:"1971/5/26"</v>
      </c>
      <c r="G541" t="str" cm="1">
        <f t="array" aca="1" ref="G541" ca="1">CONCATENATE(INDIRECT(ADDRESS(1,6,1,0,"KeySet"),0),":","""",TEXT(valueMaker!G541,"yyyy/m/d"),"""")</f>
        <v>tanjyoubi:"2007/10/9"</v>
      </c>
      <c r="H541" t="str" cm="1">
        <f t="array" aca="1" ref="H541" ca="1">CONCATENATE(INDIRECT(ADDRESS(1,6,1,0,"KeySet"),0),":","""",TEXT(valueMaker!H541,"yyyy/m/d"),"""")</f>
        <v>tanjyoubi:"2010/10/8"</v>
      </c>
      <c r="I541" t="str" cm="1">
        <f t="array" aca="1" ref="I541" ca="1">CONCATENATE(INDIRECT(ADDRESS(1,9,1,0,"KeySet"),0),":","""",valueMaker!I541,"""")</f>
        <v>denwaBangou:"090-1549-2359"</v>
      </c>
      <c r="J541" t="str" cm="1">
        <f t="array" aca="1" ref="J541" ca="1">CONCATENATE(INDIRECT(ADDRESS(1,10,1,0,"KeySet"),0),":","""",valueMaker!J541,"""")</f>
        <v>mailAddress:"Zhang_Yi_Qin_39364@outlook.jp.co"</v>
      </c>
      <c r="K541" t="str" cm="1">
        <f t="array" aca="1" ref="K541" ca="1">CONCATENATE(INDIRECT(ADDRESS(1,11,1,0,"KeySet"),0),":","""",valueMaker!K541,"""")</f>
        <v>kaninSyubetu:"普通"</v>
      </c>
      <c r="L541" t="str" cm="1">
        <f t="array" aca="1" ref="L541" ca="1">CONCATENATE(INDIRECT(ADDRESS(1,12,1,0,"KeySet"),0),":","""",valueMaker!L541,"""")</f>
        <v>kaninKengenWB:"有り"</v>
      </c>
      <c r="M541" t="str" cm="1">
        <f t="array" aca="1" ref="M541" ca="1">CONCATENATE(INDIRECT(ADDRESS(1,13,1,0,"KeySet"),0),":","""",valueMaker!M541,"""")</f>
        <v>wakibiri:"5%"</v>
      </c>
      <c r="N541" t="str" cm="1">
        <f t="array" aca="1" ref="N541" ca="1">CONCATENATE(INDIRECT(ADDRESS(1,14,1,0,"KeySet"),0),":","""",valueMaker!N541,"""")</f>
        <v>kaninKengenPoint:"有り"</v>
      </c>
      <c r="O541" t="str" cm="1">
        <f t="array" aca="1" ref="O541" ca="1">CONCATENATE(INDIRECT(ADDRESS(1,15,1,0,"KeySet"),0),":","""",valueMaker!O541,"""")</f>
        <v>point:"484"</v>
      </c>
      <c r="P541" t="str" cm="1">
        <f t="array" aca="1" ref="P541" ca="1">CONCATENATE(INDIRECT(ADDRESS(1,16,1,0,"KeySet"),0),":","""",valueMaker!P541,"""")</f>
        <v>bikou:""</v>
      </c>
    </row>
    <row r="542" spans="1:16">
      <c r="A542" t="str" cm="1">
        <f t="array" aca="1" ref="A542" ca="1">CONCATENATE(INDIRECT(ADDRESS(1,1,1,0,"KeySet"),0),":","""",valueMaker!A542,"""")</f>
        <v>kainBangou:"TD10541"</v>
      </c>
      <c r="B542" t="str" cm="1">
        <f t="array" aca="1" ref="B542" ca="1">CONCATENATE(INDIRECT(ADDRESS(1,2,1,0,"KeySet"),0),":","""",valueMaker!B542,"""")</f>
        <v>kainMeiKanji:"于葉菡"</v>
      </c>
      <c r="C542" t="str" cm="1">
        <f t="array" aca="1" ref="C542" ca="1">CONCATENATE(INDIRECT(ADDRESS(1,3,1,0,"KeySet"),0),":","""",valueMaker!C542,"""")</f>
        <v>kainMeiKana:"ﾕｲ ｲｴ ﾊﾝ"</v>
      </c>
      <c r="D542" t="str" cm="1">
        <f t="array" aca="1" ref="D542" ca="1">CONCATENATE(INDIRECT(ADDRESS(1,4,1,0,"KeySet"),0),":","""",valueMaker!D542,"""")</f>
        <v>kainMeiEn:"Yu Ye Han"</v>
      </c>
      <c r="E542" t="str" cm="1">
        <f t="array" aca="1" ref="E542" ca="1">CONCATENATE(INDIRECT(ADDRESS(1,5,1,0,"KeySet"),0),":","""",valueMaker!E542,"""")</f>
        <v>kainGender:"男性"</v>
      </c>
      <c r="F542" t="str" cm="1">
        <f t="array" aca="1" ref="F542" ca="1">CONCATENATE(INDIRECT(ADDRESS(1,6,1,0,"KeySet"),0),":","""",TEXT(valueMaker!F542,"yyyy/m/d"),"""")</f>
        <v>tanjyoubi:"1991/6/17"</v>
      </c>
      <c r="G542" t="str" cm="1">
        <f t="array" aca="1" ref="G542" ca="1">CONCATENATE(INDIRECT(ADDRESS(1,6,1,0,"KeySet"),0),":","""",TEXT(valueMaker!G542,"yyyy/m/d"),"""")</f>
        <v>tanjyoubi:"2010/2/2"</v>
      </c>
      <c r="H542" t="str" cm="1">
        <f t="array" aca="1" ref="H542" ca="1">CONCATENATE(INDIRECT(ADDRESS(1,6,1,0,"KeySet"),0),":","""",TEXT(valueMaker!H542,"yyyy/m/d"),"""")</f>
        <v>tanjyoubi:"2011/2/2"</v>
      </c>
      <c r="I542" t="str" cm="1">
        <f t="array" aca="1" ref="I542" ca="1">CONCATENATE(INDIRECT(ADDRESS(1,9,1,0,"KeySet"),0),":","""",valueMaker!I542,"""")</f>
        <v>denwaBangou:"090-0638-5779"</v>
      </c>
      <c r="J542" t="str" cm="1">
        <f t="array" aca="1" ref="J542" ca="1">CONCATENATE(INDIRECT(ADDRESS(1,10,1,0,"KeySet"),0),":","""",valueMaker!J542,"""")</f>
        <v>mailAddress:"Yu_Ye_Han_40211@outlook.jp.co"</v>
      </c>
      <c r="K542" t="str" cm="1">
        <f t="array" aca="1" ref="K542" ca="1">CONCATENATE(INDIRECT(ADDRESS(1,11,1,0,"KeySet"),0),":","""",valueMaker!K542,"""")</f>
        <v>kaninSyubetu:"普通"</v>
      </c>
      <c r="L542" t="str" cm="1">
        <f t="array" aca="1" ref="L542" ca="1">CONCATENATE(INDIRECT(ADDRESS(1,12,1,0,"KeySet"),0),":","""",valueMaker!L542,"""")</f>
        <v>kaninKengenWB:"-"</v>
      </c>
      <c r="M542" t="str" cm="1">
        <f t="array" aca="1" ref="M542" ca="1">CONCATENATE(INDIRECT(ADDRESS(1,13,1,0,"KeySet"),0),":","""",valueMaker!M542,"""")</f>
        <v>wakibiri:"-"</v>
      </c>
      <c r="N542" t="str" cm="1">
        <f t="array" aca="1" ref="N542" ca="1">CONCATENATE(INDIRECT(ADDRESS(1,14,1,0,"KeySet"),0),":","""",valueMaker!N542,"""")</f>
        <v>kaninKengenPoint:"-"</v>
      </c>
      <c r="O542" t="str" cm="1">
        <f t="array" aca="1" ref="O542" ca="1">CONCATENATE(INDIRECT(ADDRESS(1,15,1,0,"KeySet"),0),":","""",valueMaker!O542,"""")</f>
        <v>point:"-"</v>
      </c>
      <c r="P542" t="str" cm="1">
        <f t="array" aca="1" ref="P542" ca="1">CONCATENATE(INDIRECT(ADDRESS(1,16,1,0,"KeySet"),0),":","""",valueMaker!P542,"""")</f>
        <v>bikou:""</v>
      </c>
    </row>
    <row r="543" spans="1:16">
      <c r="A543" t="str" cm="1">
        <f t="array" aca="1" ref="A543" ca="1">CONCATENATE(INDIRECT(ADDRESS(1,1,1,0,"KeySet"),0),":","""",valueMaker!A543,"""")</f>
        <v>kainBangou:"TD10542"</v>
      </c>
      <c r="B543" t="str" cm="1">
        <f t="array" aca="1" ref="B543" ca="1">CONCATENATE(INDIRECT(ADDRESS(1,2,1,0,"KeySet"),0),":","""",valueMaker!B543,"""")</f>
        <v>kainMeiKanji:"謝逸芹"</v>
      </c>
      <c r="C543" t="str" cm="1">
        <f t="array" aca="1" ref="C543" ca="1">CONCATENATE(INDIRECT(ADDRESS(1,3,1,0,"KeySet"),0),":","""",valueMaker!C543,"""")</f>
        <v>kainMeiKana:"ｼｴ ｲｰ ﾁﾝ"</v>
      </c>
      <c r="D543" t="str" cm="1">
        <f t="array" aca="1" ref="D543" ca="1">CONCATENATE(INDIRECT(ADDRESS(1,4,1,0,"KeySet"),0),":","""",valueMaker!D543,"""")</f>
        <v>kainMeiEn:"Xie Yi Qin"</v>
      </c>
      <c r="E543" t="str" cm="1">
        <f t="array" aca="1" ref="E543" ca="1">CONCATENATE(INDIRECT(ADDRESS(1,5,1,0,"KeySet"),0),":","""",valueMaker!E543,"""")</f>
        <v>kainGender:"男性"</v>
      </c>
      <c r="F543" t="str" cm="1">
        <f t="array" aca="1" ref="F543" ca="1">CONCATENATE(INDIRECT(ADDRESS(1,6,1,0,"KeySet"),0),":","""",TEXT(valueMaker!F543,"yyyy/m/d"),"""")</f>
        <v>tanjyoubi:"1961/7/14"</v>
      </c>
      <c r="G543" t="str" cm="1">
        <f t="array" aca="1" ref="G543" ca="1">CONCATENATE(INDIRECT(ADDRESS(1,6,1,0,"KeySet"),0),":","""",TEXT(valueMaker!G543,"yyyy/m/d"),"""")</f>
        <v>tanjyoubi:"1999/9/12"</v>
      </c>
      <c r="H543" t="str" cm="1">
        <f t="array" aca="1" ref="H543" ca="1">CONCATENATE(INDIRECT(ADDRESS(1,6,1,0,"KeySet"),0),":","""",TEXT(valueMaker!H543,"yyyy/m/d"),"""")</f>
        <v>tanjyoubi:"2000/9/11"</v>
      </c>
      <c r="I543" t="str" cm="1">
        <f t="array" aca="1" ref="I543" ca="1">CONCATENATE(INDIRECT(ADDRESS(1,9,1,0,"KeySet"),0),":","""",valueMaker!I543,"""")</f>
        <v>denwaBangou:"080-2767-6397"</v>
      </c>
      <c r="J543" t="str" cm="1">
        <f t="array" aca="1" ref="J543" ca="1">CONCATENATE(INDIRECT(ADDRESS(1,10,1,0,"KeySet"),0),":","""",valueMaker!J543,"""")</f>
        <v>mailAddress:"Xie_Yi_Qin_36415@outlook.jp.co"</v>
      </c>
      <c r="K543" t="str" cm="1">
        <f t="array" aca="1" ref="K543" ca="1">CONCATENATE(INDIRECT(ADDRESS(1,11,1,0,"KeySet"),0),":","""",valueMaker!K543,"""")</f>
        <v>kaninSyubetu:"高級"</v>
      </c>
      <c r="L543" t="str" cm="1">
        <f t="array" aca="1" ref="L543" ca="1">CONCATENATE(INDIRECT(ADDRESS(1,12,1,0,"KeySet"),0),":","""",valueMaker!L543,"""")</f>
        <v>kaninKengenWB:"有り"</v>
      </c>
      <c r="M543" t="str" cm="1">
        <f t="array" aca="1" ref="M543" ca="1">CONCATENATE(INDIRECT(ADDRESS(1,13,1,0,"KeySet"),0),":","""",valueMaker!M543,"""")</f>
        <v>wakibiri:"10%"</v>
      </c>
      <c r="N543" t="str" cm="1">
        <f t="array" aca="1" ref="N543" ca="1">CONCATENATE(INDIRECT(ADDRESS(1,14,1,0,"KeySet"),0),":","""",valueMaker!N543,"""")</f>
        <v>kaninKengenPoint:"-"</v>
      </c>
      <c r="O543" t="str" cm="1">
        <f t="array" aca="1" ref="O543" ca="1">CONCATENATE(INDIRECT(ADDRESS(1,15,1,0,"KeySet"),0),":","""",valueMaker!O543,"""")</f>
        <v>point:"-"</v>
      </c>
      <c r="P543" t="str" cm="1">
        <f t="array" aca="1" ref="P543" ca="1">CONCATENATE(INDIRECT(ADDRESS(1,16,1,0,"KeySet"),0),":","""",valueMaker!P543,"""")</f>
        <v>bikou:""</v>
      </c>
    </row>
    <row r="544" spans="1:16">
      <c r="A544" t="str" cm="1">
        <f t="array" aca="1" ref="A544" ca="1">CONCATENATE(INDIRECT(ADDRESS(1,1,1,0,"KeySet"),0),":","""",valueMaker!A544,"""")</f>
        <v>kainBangou:"TD10543"</v>
      </c>
      <c r="B544" t="str" cm="1">
        <f t="array" aca="1" ref="B544" ca="1">CONCATENATE(INDIRECT(ADDRESS(1,2,1,0,"KeySet"),0),":","""",valueMaker!B544,"""")</f>
        <v>kainMeiKanji:"吳領東"</v>
      </c>
      <c r="C544" t="str" cm="1">
        <f t="array" aca="1" ref="C544" ca="1">CONCATENATE(INDIRECT(ADDRESS(1,3,1,0,"KeySet"),0),":","""",valueMaker!C544,"""")</f>
        <v>kainMeiKana:"ｳｰ ﾘｰﾝ ﾄﾞｰﾝ"</v>
      </c>
      <c r="D544" t="str" cm="1">
        <f t="array" aca="1" ref="D544" ca="1">CONCATENATE(INDIRECT(ADDRESS(1,4,1,0,"KeySet"),0),":","""",valueMaker!D544,"""")</f>
        <v>kainMeiEn:"Wu Ling Dong"</v>
      </c>
      <c r="E544" t="str" cm="1">
        <f t="array" aca="1" ref="E544" ca="1">CONCATENATE(INDIRECT(ADDRESS(1,5,1,0,"KeySet"),0),":","""",valueMaker!E544,"""")</f>
        <v>kainGender:"女性"</v>
      </c>
      <c r="F544" t="str" cm="1">
        <f t="array" aca="1" ref="F544" ca="1">CONCATENATE(INDIRECT(ADDRESS(1,6,1,0,"KeySet"),0),":","""",TEXT(valueMaker!F544,"yyyy/m/d"),"""")</f>
        <v>tanjyoubi:"2006/5/5"</v>
      </c>
      <c r="G544" t="str" cm="1">
        <f t="array" aca="1" ref="G544" ca="1">CONCATENATE(INDIRECT(ADDRESS(1,6,1,0,"KeySet"),0),":","""",TEXT(valueMaker!G544,"yyyy/m/d"),"""")</f>
        <v>tanjyoubi:"2024/5/13"</v>
      </c>
      <c r="H544" t="str" cm="1">
        <f t="array" aca="1" ref="H544" ca="1">CONCATENATE(INDIRECT(ADDRESS(1,6,1,0,"KeySet"),0),":","""",TEXT(valueMaker!H544,"yyyy/m/d"),"""")</f>
        <v>tanjyoubi:"2027/5/13"</v>
      </c>
      <c r="I544" t="str" cm="1">
        <f t="array" aca="1" ref="I544" ca="1">CONCATENATE(INDIRECT(ADDRESS(1,9,1,0,"KeySet"),0),":","""",valueMaker!I544,"""")</f>
        <v>denwaBangou:"080-3778-8029"</v>
      </c>
      <c r="J544" t="str" cm="1">
        <f t="array" aca="1" ref="J544" ca="1">CONCATENATE(INDIRECT(ADDRESS(1,10,1,0,"KeySet"),0),":","""",valueMaker!J544,"""")</f>
        <v>mailAddress:"Wu_Ling_Dong_45425@outlook.jp.co"</v>
      </c>
      <c r="K544" t="str" cm="1">
        <f t="array" aca="1" ref="K544" ca="1">CONCATENATE(INDIRECT(ADDRESS(1,11,1,0,"KeySet"),0),":","""",valueMaker!K544,"""")</f>
        <v>kaninSyubetu:"高級"</v>
      </c>
      <c r="L544" t="str" cm="1">
        <f t="array" aca="1" ref="L544" ca="1">CONCATENATE(INDIRECT(ADDRESS(1,12,1,0,"KeySet"),0),":","""",valueMaker!L544,"""")</f>
        <v>kaninKengenWB:"-"</v>
      </c>
      <c r="M544" t="str" cm="1">
        <f t="array" aca="1" ref="M544" ca="1">CONCATENATE(INDIRECT(ADDRESS(1,13,1,0,"KeySet"),0),":","""",valueMaker!M544,"""")</f>
        <v>wakibiri:"-"</v>
      </c>
      <c r="N544" t="str" cm="1">
        <f t="array" aca="1" ref="N544" ca="1">CONCATENATE(INDIRECT(ADDRESS(1,14,1,0,"KeySet"),0),":","""",valueMaker!N544,"""")</f>
        <v>kaninKengenPoint:"有り"</v>
      </c>
      <c r="O544" t="str" cm="1">
        <f t="array" aca="1" ref="O544" ca="1">CONCATENATE(INDIRECT(ADDRESS(1,15,1,0,"KeySet"),0),":","""",valueMaker!O544,"""")</f>
        <v>point:"99"</v>
      </c>
      <c r="P544" t="str" cm="1">
        <f t="array" aca="1" ref="P544" ca="1">CONCATENATE(INDIRECT(ADDRESS(1,16,1,0,"KeySet"),0),":","""",valueMaker!P544,"""")</f>
        <v>bikou:""</v>
      </c>
    </row>
    <row r="545" spans="1:16">
      <c r="A545" t="str" cm="1">
        <f t="array" aca="1" ref="A545" ca="1">CONCATENATE(INDIRECT(ADDRESS(1,1,1,0,"KeySet"),0),":","""",valueMaker!A545,"""")</f>
        <v>kainBangou:"TD10544"</v>
      </c>
      <c r="B545" t="str" cm="1">
        <f t="array" aca="1" ref="B545" ca="1">CONCATENATE(INDIRECT(ADDRESS(1,2,1,0,"KeySet"),0),":","""",valueMaker!B545,"""")</f>
        <v>kainMeiKanji:"黃物修"</v>
      </c>
      <c r="C545" t="str" cm="1">
        <f t="array" aca="1" ref="C545" ca="1">CONCATENATE(INDIRECT(ADDRESS(1,3,1,0,"KeySet"),0),":","""",valueMaker!C545,"""")</f>
        <v>kainMeiKana:"ﾎﾜｰﾝ ｳｰ ｼｳ"</v>
      </c>
      <c r="D545" t="str" cm="1">
        <f t="array" aca="1" ref="D545" ca="1">CONCATENATE(INDIRECT(ADDRESS(1,4,1,0,"KeySet"),0),":","""",valueMaker!D545,"""")</f>
        <v>kainMeiEn:"Huang Wu Xiu"</v>
      </c>
      <c r="E545" t="str" cm="1">
        <f t="array" aca="1" ref="E545" ca="1">CONCATENATE(INDIRECT(ADDRESS(1,5,1,0,"KeySet"),0),":","""",valueMaker!E545,"""")</f>
        <v>kainGender:"女性"</v>
      </c>
      <c r="F545" t="str" cm="1">
        <f t="array" aca="1" ref="F545" ca="1">CONCATENATE(INDIRECT(ADDRESS(1,6,1,0,"KeySet"),0),":","""",TEXT(valueMaker!F545,"yyyy/m/d"),"""")</f>
        <v>tanjyoubi:"2003/3/27"</v>
      </c>
      <c r="G545" t="str" cm="1">
        <f t="array" aca="1" ref="G545" ca="1">CONCATENATE(INDIRECT(ADDRESS(1,6,1,0,"KeySet"),0),":","""",TEXT(valueMaker!G545,"yyyy/m/d"),"""")</f>
        <v>tanjyoubi:"2023/12/6"</v>
      </c>
      <c r="H545" t="str" cm="1">
        <f t="array" aca="1" ref="H545" ca="1">CONCATENATE(INDIRECT(ADDRESS(1,6,1,0,"KeySet"),0),":","""",TEXT(valueMaker!H545,"yyyy/m/d"),"""")</f>
        <v>tanjyoubi:"2024/12/5"</v>
      </c>
      <c r="I545" t="str" cm="1">
        <f t="array" aca="1" ref="I545" ca="1">CONCATENATE(INDIRECT(ADDRESS(1,9,1,0,"KeySet"),0),":","""",valueMaker!I545,"""")</f>
        <v>denwaBangou:"090-6507-1184"</v>
      </c>
      <c r="J545" t="str" cm="1">
        <f t="array" aca="1" ref="J545" ca="1">CONCATENATE(INDIRECT(ADDRESS(1,10,1,0,"KeySet"),0),":","""",valueMaker!J545,"""")</f>
        <v>mailAddress:"Huang_Wu_Xiu_45266@outlook.jp.co"</v>
      </c>
      <c r="K545" t="str" cm="1">
        <f t="array" aca="1" ref="K545" ca="1">CONCATENATE(INDIRECT(ADDRESS(1,11,1,0,"KeySet"),0),":","""",valueMaker!K545,"""")</f>
        <v>kaninSyubetu:"普通"</v>
      </c>
      <c r="L545" t="str" cm="1">
        <f t="array" aca="1" ref="L545" ca="1">CONCATENATE(INDIRECT(ADDRESS(1,12,1,0,"KeySet"),0),":","""",valueMaker!L545,"""")</f>
        <v>kaninKengenWB:"有り"</v>
      </c>
      <c r="M545" t="str" cm="1">
        <f t="array" aca="1" ref="M545" ca="1">CONCATENATE(INDIRECT(ADDRESS(1,13,1,0,"KeySet"),0),":","""",valueMaker!M545,"""")</f>
        <v>wakibiri:"5%"</v>
      </c>
      <c r="N545" t="str" cm="1">
        <f t="array" aca="1" ref="N545" ca="1">CONCATENATE(INDIRECT(ADDRESS(1,14,1,0,"KeySet"),0),":","""",valueMaker!N545,"""")</f>
        <v>kaninKengenPoint:"有り"</v>
      </c>
      <c r="O545" t="str" cm="1">
        <f t="array" aca="1" ref="O545" ca="1">CONCATENATE(INDIRECT(ADDRESS(1,15,1,0,"KeySet"),0),":","""",valueMaker!O545,"""")</f>
        <v>point:"790"</v>
      </c>
      <c r="P545" t="str" cm="1">
        <f t="array" aca="1" ref="P545" ca="1">CONCATENATE(INDIRECT(ADDRESS(1,16,1,0,"KeySet"),0),":","""",valueMaker!P545,"""")</f>
        <v>bikou:""</v>
      </c>
    </row>
    <row r="546" spans="1:16">
      <c r="A546" t="str" cm="1">
        <f t="array" aca="1" ref="A546" ca="1">CONCATENATE(INDIRECT(ADDRESS(1,1,1,0,"KeySet"),0),":","""",valueMaker!A546,"""")</f>
        <v>kainBangou:"TD10545"</v>
      </c>
      <c r="B546" t="str" cm="1">
        <f t="array" aca="1" ref="B546" ca="1">CONCATENATE(INDIRECT(ADDRESS(1,2,1,0,"KeySet"),0),":","""",valueMaker!B546,"""")</f>
        <v>kainMeiKanji:"孫含瑋"</v>
      </c>
      <c r="C546" t="str" cm="1">
        <f t="array" aca="1" ref="C546" ca="1">CONCATENATE(INDIRECT(ADDRESS(1,3,1,0,"KeySet"),0),":","""",valueMaker!C546,"""")</f>
        <v>kainMeiKana:"ｽｩﾝ ﾊﾝ ｳｴｲ"</v>
      </c>
      <c r="D546" t="str" cm="1">
        <f t="array" aca="1" ref="D546" ca="1">CONCATENATE(INDIRECT(ADDRESS(1,4,1,0,"KeySet"),0),":","""",valueMaker!D546,"""")</f>
        <v>kainMeiEn:"Sun Han Wei"</v>
      </c>
      <c r="E546" t="str" cm="1">
        <f t="array" aca="1" ref="E546" ca="1">CONCATENATE(INDIRECT(ADDRESS(1,5,1,0,"KeySet"),0),":","""",valueMaker!E546,"""")</f>
        <v>kainGender:"男性"</v>
      </c>
      <c r="F546" t="str" cm="1">
        <f t="array" aca="1" ref="F546" ca="1">CONCATENATE(INDIRECT(ADDRESS(1,6,1,0,"KeySet"),0),":","""",TEXT(valueMaker!F546,"yyyy/m/d"),"""")</f>
        <v>tanjyoubi:"1987/6/28"</v>
      </c>
      <c r="G546" t="str" cm="1">
        <f t="array" aca="1" ref="G546" ca="1">CONCATENATE(INDIRECT(ADDRESS(1,6,1,0,"KeySet"),0),":","""",TEXT(valueMaker!G546,"yyyy/m/d"),"""")</f>
        <v>tanjyoubi:"2010/9/4"</v>
      </c>
      <c r="H546" t="str" cm="1">
        <f t="array" aca="1" ref="H546" ca="1">CONCATENATE(INDIRECT(ADDRESS(1,6,1,0,"KeySet"),0),":","""",TEXT(valueMaker!H546,"yyyy/m/d"),"""")</f>
        <v>tanjyoubi:"2013/9/3"</v>
      </c>
      <c r="I546" t="str" cm="1">
        <f t="array" aca="1" ref="I546" ca="1">CONCATENATE(INDIRECT(ADDRESS(1,9,1,0,"KeySet"),0),":","""",valueMaker!I546,"""")</f>
        <v>denwaBangou:"080-2833-5429"</v>
      </c>
      <c r="J546" t="str" cm="1">
        <f t="array" aca="1" ref="J546" ca="1">CONCATENATE(INDIRECT(ADDRESS(1,10,1,0,"KeySet"),0),":","""",valueMaker!J546,"""")</f>
        <v>mailAddress:"Sun_Han_Wei_40425@outlook.jp.co"</v>
      </c>
      <c r="K546" t="str" cm="1">
        <f t="array" aca="1" ref="K546" ca="1">CONCATENATE(INDIRECT(ADDRESS(1,11,1,0,"KeySet"),0),":","""",valueMaker!K546,"""")</f>
        <v>kaninSyubetu:"高級"</v>
      </c>
      <c r="L546" t="str" cm="1">
        <f t="array" aca="1" ref="L546" ca="1">CONCATENATE(INDIRECT(ADDRESS(1,12,1,0,"KeySet"),0),":","""",valueMaker!L546,"""")</f>
        <v>kaninKengenWB:"有り"</v>
      </c>
      <c r="M546" t="str" cm="1">
        <f t="array" aca="1" ref="M546" ca="1">CONCATENATE(INDIRECT(ADDRESS(1,13,1,0,"KeySet"),0),":","""",valueMaker!M546,"""")</f>
        <v>wakibiri:"10%"</v>
      </c>
      <c r="N546" t="str" cm="1">
        <f t="array" aca="1" ref="N546" ca="1">CONCATENATE(INDIRECT(ADDRESS(1,14,1,0,"KeySet"),0),":","""",valueMaker!N546,"""")</f>
        <v>kaninKengenPoint:"-"</v>
      </c>
      <c r="O546" t="str" cm="1">
        <f t="array" aca="1" ref="O546" ca="1">CONCATENATE(INDIRECT(ADDRESS(1,15,1,0,"KeySet"),0),":","""",valueMaker!O546,"""")</f>
        <v>point:"-"</v>
      </c>
      <c r="P546" t="str" cm="1">
        <f t="array" aca="1" ref="P546" ca="1">CONCATENATE(INDIRECT(ADDRESS(1,16,1,0,"KeySet"),0),":","""",valueMaker!P546,"""")</f>
        <v>bikou:""</v>
      </c>
    </row>
    <row r="547" spans="1:16">
      <c r="A547" t="str" cm="1">
        <f t="array" aca="1" ref="A547" ca="1">CONCATENATE(INDIRECT(ADDRESS(1,1,1,0,"KeySet"),0),":","""",valueMaker!A547,"""")</f>
        <v>kainBangou:"TD10546"</v>
      </c>
      <c r="B547" t="str" cm="1">
        <f t="array" aca="1" ref="B547" ca="1">CONCATENATE(INDIRECT(ADDRESS(1,2,1,0,"KeySet"),0),":","""",valueMaker!B547,"""")</f>
        <v>kainMeiKanji:"朱心璟"</v>
      </c>
      <c r="C547" t="str" cm="1">
        <f t="array" aca="1" ref="C547" ca="1">CONCATENATE(INDIRECT(ADDRESS(1,3,1,0,"KeySet"),0),":","""",valueMaker!C547,"""")</f>
        <v>kainMeiKana:"ｼﾞｭｳ ｼﾝ ｼﾞｰﾝ"</v>
      </c>
      <c r="D547" t="str" cm="1">
        <f t="array" aca="1" ref="D547" ca="1">CONCATENATE(INDIRECT(ADDRESS(1,4,1,0,"KeySet"),0),":","""",valueMaker!D547,"""")</f>
        <v>kainMeiEn:"Zhu Xin Jing"</v>
      </c>
      <c r="E547" t="str" cm="1">
        <f t="array" aca="1" ref="E547" ca="1">CONCATENATE(INDIRECT(ADDRESS(1,5,1,0,"KeySet"),0),":","""",valueMaker!E547,"""")</f>
        <v>kainGender:"男性"</v>
      </c>
      <c r="F547" t="str" cm="1">
        <f t="array" aca="1" ref="F547" ca="1">CONCATENATE(INDIRECT(ADDRESS(1,6,1,0,"KeySet"),0),":","""",TEXT(valueMaker!F547,"yyyy/m/d"),"""")</f>
        <v>tanjyoubi:"1987/11/28"</v>
      </c>
      <c r="G547" t="str" cm="1">
        <f t="array" aca="1" ref="G547" ca="1">CONCATENATE(INDIRECT(ADDRESS(1,6,1,0,"KeySet"),0),":","""",TEXT(valueMaker!G547,"yyyy/m/d"),"""")</f>
        <v>tanjyoubi:"2008/12/21"</v>
      </c>
      <c r="H547" t="str" cm="1">
        <f t="array" aca="1" ref="H547" ca="1">CONCATENATE(INDIRECT(ADDRESS(1,6,1,0,"KeySet"),0),":","""",TEXT(valueMaker!H547,"yyyy/m/d"),"""")</f>
        <v>tanjyoubi:"2011/12/21"</v>
      </c>
      <c r="I547" t="str" cm="1">
        <f t="array" aca="1" ref="I547" ca="1">CONCATENATE(INDIRECT(ADDRESS(1,9,1,0,"KeySet"),0),":","""",valueMaker!I547,"""")</f>
        <v>denwaBangou:"080-6753-1355"</v>
      </c>
      <c r="J547" t="str" cm="1">
        <f t="array" aca="1" ref="J547" ca="1">CONCATENATE(INDIRECT(ADDRESS(1,10,1,0,"KeySet"),0),":","""",valueMaker!J547,"""")</f>
        <v>mailAddress:"Zhu_Xin_Jing_39803@outlook.jp.co"</v>
      </c>
      <c r="K547" t="str" cm="1">
        <f t="array" aca="1" ref="K547" ca="1">CONCATENATE(INDIRECT(ADDRESS(1,11,1,0,"KeySet"),0),":","""",valueMaker!K547,"""")</f>
        <v>kaninSyubetu:"高級"</v>
      </c>
      <c r="L547" t="str" cm="1">
        <f t="array" aca="1" ref="L547" ca="1">CONCATENATE(INDIRECT(ADDRESS(1,12,1,0,"KeySet"),0),":","""",valueMaker!L547,"""")</f>
        <v>kaninKengenWB:"有り"</v>
      </c>
      <c r="M547" t="str" cm="1">
        <f t="array" aca="1" ref="M547" ca="1">CONCATENATE(INDIRECT(ADDRESS(1,13,1,0,"KeySet"),0),":","""",valueMaker!M547,"""")</f>
        <v>wakibiri:"10%"</v>
      </c>
      <c r="N547" t="str" cm="1">
        <f t="array" aca="1" ref="N547" ca="1">CONCATENATE(INDIRECT(ADDRESS(1,14,1,0,"KeySet"),0),":","""",valueMaker!N547,"""")</f>
        <v>kaninKengenPoint:"有り"</v>
      </c>
      <c r="O547" t="str" cm="1">
        <f t="array" aca="1" ref="O547" ca="1">CONCATENATE(INDIRECT(ADDRESS(1,15,1,0,"KeySet"),0),":","""",valueMaker!O547,"""")</f>
        <v>point:"463"</v>
      </c>
      <c r="P547" t="str" cm="1">
        <f t="array" aca="1" ref="P547" ca="1">CONCATENATE(INDIRECT(ADDRESS(1,16,1,0,"KeySet"),0),":","""",valueMaker!P547,"""")</f>
        <v>bikou:""</v>
      </c>
    </row>
    <row r="548" spans="1:16">
      <c r="A548" t="str" cm="1">
        <f t="array" aca="1" ref="A548" ca="1">CONCATENATE(INDIRECT(ADDRESS(1,1,1,0,"KeySet"),0),":","""",valueMaker!A548,"""")</f>
        <v>kainBangou:"TD10547"</v>
      </c>
      <c r="B548" t="str" cm="1">
        <f t="array" aca="1" ref="B548" ca="1">CONCATENATE(INDIRECT(ADDRESS(1,2,1,0,"KeySet"),0),":","""",valueMaker!B548,"""")</f>
        <v>kainMeiKanji:"楊元壯"</v>
      </c>
      <c r="C548" t="str" cm="1">
        <f t="array" aca="1" ref="C548" ca="1">CONCATENATE(INDIRECT(ADDRESS(1,3,1,0,"KeySet"),0),":","""",valueMaker!C548,"""")</f>
        <v>kainMeiKana:"ﾔｰﾝ ﾕｴﾝ ｼﾞｭﾜｰﾝ"</v>
      </c>
      <c r="D548" t="str" cm="1">
        <f t="array" aca="1" ref="D548" ca="1">CONCATENATE(INDIRECT(ADDRESS(1,4,1,0,"KeySet"),0),":","""",valueMaker!D548,"""")</f>
        <v>kainMeiEn:"Yang Yuan Zhuang"</v>
      </c>
      <c r="E548" t="str" cm="1">
        <f t="array" aca="1" ref="E548" ca="1">CONCATENATE(INDIRECT(ADDRESS(1,5,1,0,"KeySet"),0),":","""",valueMaker!E548,"""")</f>
        <v>kainGender:"男性"</v>
      </c>
      <c r="F548" t="str" cm="1">
        <f t="array" aca="1" ref="F548" ca="1">CONCATENATE(INDIRECT(ADDRESS(1,6,1,0,"KeySet"),0),":","""",TEXT(valueMaker!F548,"yyyy/m/d"),"""")</f>
        <v>tanjyoubi:"2000/6/11"</v>
      </c>
      <c r="G548" t="str" cm="1">
        <f t="array" aca="1" ref="G548" ca="1">CONCATENATE(INDIRECT(ADDRESS(1,6,1,0,"KeySet"),0),":","""",TEXT(valueMaker!G548,"yyyy/m/d"),"""")</f>
        <v>tanjyoubi:"2023/8/30"</v>
      </c>
      <c r="H548" t="str" cm="1">
        <f t="array" aca="1" ref="H548" ca="1">CONCATENATE(INDIRECT(ADDRESS(1,6,1,0,"KeySet"),0),":","""",TEXT(valueMaker!H548,"yyyy/m/d"),"""")</f>
        <v>tanjyoubi:"2025/8/29"</v>
      </c>
      <c r="I548" t="str" cm="1">
        <f t="array" aca="1" ref="I548" ca="1">CONCATENATE(INDIRECT(ADDRESS(1,9,1,0,"KeySet"),0),":","""",valueMaker!I548,"""")</f>
        <v>denwaBangou:"090-5819-8789"</v>
      </c>
      <c r="J548" t="str" cm="1">
        <f t="array" aca="1" ref="J548" ca="1">CONCATENATE(INDIRECT(ADDRESS(1,10,1,0,"KeySet"),0),":","""",valueMaker!J548,"""")</f>
        <v>mailAddress:"Yang_Yuan_Zhuang_45168@outlook.jp.co"</v>
      </c>
      <c r="K548" t="str" cm="1">
        <f t="array" aca="1" ref="K548" ca="1">CONCATENATE(INDIRECT(ADDRESS(1,11,1,0,"KeySet"),0),":","""",valueMaker!K548,"""")</f>
        <v>kaninSyubetu:"普通"</v>
      </c>
      <c r="L548" t="str" cm="1">
        <f t="array" aca="1" ref="L548" ca="1">CONCATENATE(INDIRECT(ADDRESS(1,12,1,0,"KeySet"),0),":","""",valueMaker!L548,"""")</f>
        <v>kaninKengenWB:"-"</v>
      </c>
      <c r="M548" t="str" cm="1">
        <f t="array" aca="1" ref="M548" ca="1">CONCATENATE(INDIRECT(ADDRESS(1,13,1,0,"KeySet"),0),":","""",valueMaker!M548,"""")</f>
        <v>wakibiri:"-"</v>
      </c>
      <c r="N548" t="str" cm="1">
        <f t="array" aca="1" ref="N548" ca="1">CONCATENATE(INDIRECT(ADDRESS(1,14,1,0,"KeySet"),0),":","""",valueMaker!N548,"""")</f>
        <v>kaninKengenPoint:"有り"</v>
      </c>
      <c r="O548" t="str" cm="1">
        <f t="array" aca="1" ref="O548" ca="1">CONCATENATE(INDIRECT(ADDRESS(1,15,1,0,"KeySet"),0),":","""",valueMaker!O548,"""")</f>
        <v>point:"765"</v>
      </c>
      <c r="P548" t="str" cm="1">
        <f t="array" aca="1" ref="P548" ca="1">CONCATENATE(INDIRECT(ADDRESS(1,16,1,0,"KeySet"),0),":","""",valueMaker!P548,"""")</f>
        <v>bikou:""</v>
      </c>
    </row>
    <row r="549" spans="1:16">
      <c r="A549" t="str" cm="1">
        <f t="array" aca="1" ref="A549" ca="1">CONCATENATE(INDIRECT(ADDRESS(1,1,1,0,"KeySet"),0),":","""",valueMaker!A549,"""")</f>
        <v>kainBangou:"TD10548"</v>
      </c>
      <c r="B549" t="str" cm="1">
        <f t="array" aca="1" ref="B549" ca="1">CONCATENATE(INDIRECT(ADDRESS(1,2,1,0,"KeySet"),0),":","""",valueMaker!B549,"""")</f>
        <v>kainMeiKanji:"胡藍尚"</v>
      </c>
      <c r="C549" t="str" cm="1">
        <f t="array" aca="1" ref="C549" ca="1">CONCATENATE(INDIRECT(ADDRESS(1,3,1,0,"KeySet"),0),":","""",valueMaker!C549,"""")</f>
        <v>kainMeiKana:"ﾎｩ ﾗﾝ ｼｬｰﾝ"</v>
      </c>
      <c r="D549" t="str" cm="1">
        <f t="array" aca="1" ref="D549" ca="1">CONCATENATE(INDIRECT(ADDRESS(1,4,1,0,"KeySet"),0),":","""",valueMaker!D549,"""")</f>
        <v>kainMeiEn:"Hu Lan Shang"</v>
      </c>
      <c r="E549" t="str" cm="1">
        <f t="array" aca="1" ref="E549" ca="1">CONCATENATE(INDIRECT(ADDRESS(1,5,1,0,"KeySet"),0),":","""",valueMaker!E549,"""")</f>
        <v>kainGender:"女性"</v>
      </c>
      <c r="F549" t="str" cm="1">
        <f t="array" aca="1" ref="F549" ca="1">CONCATENATE(INDIRECT(ADDRESS(1,6,1,0,"KeySet"),0),":","""",TEXT(valueMaker!F549,"yyyy/m/d"),"""")</f>
        <v>tanjyoubi:"2001/11/28"</v>
      </c>
      <c r="G549" t="str" cm="1">
        <f t="array" aca="1" ref="G549" ca="1">CONCATENATE(INDIRECT(ADDRESS(1,6,1,0,"KeySet"),0),":","""",TEXT(valueMaker!G549,"yyyy/m/d"),"""")</f>
        <v>tanjyoubi:"2020/7/7"</v>
      </c>
      <c r="H549" t="str" cm="1">
        <f t="array" aca="1" ref="H549" ca="1">CONCATENATE(INDIRECT(ADDRESS(1,6,1,0,"KeySet"),0),":","""",TEXT(valueMaker!H549,"yyyy/m/d"),"""")</f>
        <v>tanjyoubi:"2023/7/7"</v>
      </c>
      <c r="I549" t="str" cm="1">
        <f t="array" aca="1" ref="I549" ca="1">CONCATENATE(INDIRECT(ADDRESS(1,9,1,0,"KeySet"),0),":","""",valueMaker!I549,"""")</f>
        <v>denwaBangou:"080-0309-7118"</v>
      </c>
      <c r="J549" t="str" cm="1">
        <f t="array" aca="1" ref="J549" ca="1">CONCATENATE(INDIRECT(ADDRESS(1,10,1,0,"KeySet"),0),":","""",valueMaker!J549,"""")</f>
        <v>mailAddress:"Hu_Lan_Shang_44019@outlook.jp.co"</v>
      </c>
      <c r="K549" t="str" cm="1">
        <f t="array" aca="1" ref="K549" ca="1">CONCATENATE(INDIRECT(ADDRESS(1,11,1,0,"KeySet"),0),":","""",valueMaker!K549,"""")</f>
        <v>kaninSyubetu:"普通"</v>
      </c>
      <c r="L549" t="str" cm="1">
        <f t="array" aca="1" ref="L549" ca="1">CONCATENATE(INDIRECT(ADDRESS(1,12,1,0,"KeySet"),0),":","""",valueMaker!L549,"""")</f>
        <v>kaninKengenWB:"有り"</v>
      </c>
      <c r="M549" t="str" cm="1">
        <f t="array" aca="1" ref="M549" ca="1">CONCATENATE(INDIRECT(ADDRESS(1,13,1,0,"KeySet"),0),":","""",valueMaker!M549,"""")</f>
        <v>wakibiri:"5%"</v>
      </c>
      <c r="N549" t="str" cm="1">
        <f t="array" aca="1" ref="N549" ca="1">CONCATENATE(INDIRECT(ADDRESS(1,14,1,0,"KeySet"),0),":","""",valueMaker!N549,"""")</f>
        <v>kaninKengenPoint:"有り"</v>
      </c>
      <c r="O549" t="str" cm="1">
        <f t="array" aca="1" ref="O549" ca="1">CONCATENATE(INDIRECT(ADDRESS(1,15,1,0,"KeySet"),0),":","""",valueMaker!O549,"""")</f>
        <v>point:"643"</v>
      </c>
      <c r="P549" t="str" cm="1">
        <f t="array" aca="1" ref="P549" ca="1">CONCATENATE(INDIRECT(ADDRESS(1,16,1,0,"KeySet"),0),":","""",valueMaker!P549,"""")</f>
        <v>bikou:""</v>
      </c>
    </row>
    <row r="550" spans="1:16">
      <c r="A550" t="str" cm="1">
        <f t="array" aca="1" ref="A550" ca="1">CONCATENATE(INDIRECT(ADDRESS(1,1,1,0,"KeySet"),0),":","""",valueMaker!A550,"""")</f>
        <v>kainBangou:"TD10549"</v>
      </c>
      <c r="B550" t="str" cm="1">
        <f t="array" aca="1" ref="B550" ca="1">CONCATENATE(INDIRECT(ADDRESS(1,2,1,0,"KeySet"),0),":","""",valueMaker!B550,"""")</f>
        <v>kainMeiKanji:"周協銘"</v>
      </c>
      <c r="C550" t="str" cm="1">
        <f t="array" aca="1" ref="C550" ca="1">CONCATENATE(INDIRECT(ADDRESS(1,3,1,0,"KeySet"),0),":","""",valueMaker!C550,"""")</f>
        <v>kainMeiKana:"ｼﾞｮｳ ｼｴ ﾐｰﾝ"</v>
      </c>
      <c r="D550" t="str" cm="1">
        <f t="array" aca="1" ref="D550" ca="1">CONCATENATE(INDIRECT(ADDRESS(1,4,1,0,"KeySet"),0),":","""",valueMaker!D550,"""")</f>
        <v>kainMeiEn:"Zhou Xie Ming"</v>
      </c>
      <c r="E550" t="str" cm="1">
        <f t="array" aca="1" ref="E550" ca="1">CONCATENATE(INDIRECT(ADDRESS(1,5,1,0,"KeySet"),0),":","""",valueMaker!E550,"""")</f>
        <v>kainGender:"男性"</v>
      </c>
      <c r="F550" t="str" cm="1">
        <f t="array" aca="1" ref="F550" ca="1">CONCATENATE(INDIRECT(ADDRESS(1,6,1,0,"KeySet"),0),":","""",TEXT(valueMaker!F550,"yyyy/m/d"),"""")</f>
        <v>tanjyoubi:"1972/4/29"</v>
      </c>
      <c r="G550" t="str" cm="1">
        <f t="array" aca="1" ref="G550" ca="1">CONCATENATE(INDIRECT(ADDRESS(1,6,1,0,"KeySet"),0),":","""",TEXT(valueMaker!G550,"yyyy/m/d"),"""")</f>
        <v>tanjyoubi:"1997/9/15"</v>
      </c>
      <c r="H550" t="str" cm="1">
        <f t="array" aca="1" ref="H550" ca="1">CONCATENATE(INDIRECT(ADDRESS(1,6,1,0,"KeySet"),0),":","""",TEXT(valueMaker!H550,"yyyy/m/d"),"""")</f>
        <v>tanjyoubi:"1998/9/15"</v>
      </c>
      <c r="I550" t="str" cm="1">
        <f t="array" aca="1" ref="I550" ca="1">CONCATENATE(INDIRECT(ADDRESS(1,9,1,0,"KeySet"),0),":","""",valueMaker!I550,"""")</f>
        <v>denwaBangou:"090-7551-0496"</v>
      </c>
      <c r="J550" t="str" cm="1">
        <f t="array" aca="1" ref="J550" ca="1">CONCATENATE(INDIRECT(ADDRESS(1,10,1,0,"KeySet"),0),":","""",valueMaker!J550,"""")</f>
        <v>mailAddress:"Zhou_Xie_Ming_35688@outlook.jp.co"</v>
      </c>
      <c r="K550" t="str" cm="1">
        <f t="array" aca="1" ref="K550" ca="1">CONCATENATE(INDIRECT(ADDRESS(1,11,1,0,"KeySet"),0),":","""",valueMaker!K550,"""")</f>
        <v>kaninSyubetu:"高級"</v>
      </c>
      <c r="L550" t="str" cm="1">
        <f t="array" aca="1" ref="L550" ca="1">CONCATENATE(INDIRECT(ADDRESS(1,12,1,0,"KeySet"),0),":","""",valueMaker!L550,"""")</f>
        <v>kaninKengenWB:"有り"</v>
      </c>
      <c r="M550" t="str" cm="1">
        <f t="array" aca="1" ref="M550" ca="1">CONCATENATE(INDIRECT(ADDRESS(1,13,1,0,"KeySet"),0),":","""",valueMaker!M550,"""")</f>
        <v>wakibiri:"10%"</v>
      </c>
      <c r="N550" t="str" cm="1">
        <f t="array" aca="1" ref="N550" ca="1">CONCATENATE(INDIRECT(ADDRESS(1,14,1,0,"KeySet"),0),":","""",valueMaker!N550,"""")</f>
        <v>kaninKengenPoint:"有り"</v>
      </c>
      <c r="O550" t="str" cm="1">
        <f t="array" aca="1" ref="O550" ca="1">CONCATENATE(INDIRECT(ADDRESS(1,15,1,0,"KeySet"),0),":","""",valueMaker!O550,"""")</f>
        <v>point:"287"</v>
      </c>
      <c r="P550" t="str" cm="1">
        <f t="array" aca="1" ref="P550" ca="1">CONCATENATE(INDIRECT(ADDRESS(1,16,1,0,"KeySet"),0),":","""",valueMaker!P550,"""")</f>
        <v>bikou:""</v>
      </c>
    </row>
    <row r="551" spans="1:16">
      <c r="A551" t="str" cm="1">
        <f t="array" aca="1" ref="A551" ca="1">CONCATENATE(INDIRECT(ADDRESS(1,1,1,0,"KeySet"),0),":","""",valueMaker!A551,"""")</f>
        <v>kainBangou:"TD10550"</v>
      </c>
      <c r="B551" t="str" cm="1">
        <f t="array" aca="1" ref="B551" ca="1">CONCATENATE(INDIRECT(ADDRESS(1,2,1,0,"KeySet"),0),":","""",valueMaker!B551,"""")</f>
        <v>kainMeiKanji:"鄭馳微"</v>
      </c>
      <c r="C551" t="str" cm="1">
        <f t="array" aca="1" ref="C551" ca="1">CONCATENATE(INDIRECT(ADDRESS(1,3,1,0,"KeySet"),0),":","""",valueMaker!C551,"""")</f>
        <v>kainMeiKana:"ｼﾞｭﾖﾝ ﾁｰ ｳｴｲ"</v>
      </c>
      <c r="D551" t="str" cm="1">
        <f t="array" aca="1" ref="D551" ca="1">CONCATENATE(INDIRECT(ADDRESS(1,4,1,0,"KeySet"),0),":","""",valueMaker!D551,"""")</f>
        <v>kainMeiEn:"Zheng Chi Wei"</v>
      </c>
      <c r="E551" t="str" cm="1">
        <f t="array" aca="1" ref="E551" ca="1">CONCATENATE(INDIRECT(ADDRESS(1,5,1,0,"KeySet"),0),":","""",valueMaker!E551,"""")</f>
        <v>kainGender:"女性"</v>
      </c>
      <c r="F551" t="str" cm="1">
        <f t="array" aca="1" ref="F551" ca="1">CONCATENATE(INDIRECT(ADDRESS(1,6,1,0,"KeySet"),0),":","""",TEXT(valueMaker!F551,"yyyy/m/d"),"""")</f>
        <v>tanjyoubi:"2006/5/19"</v>
      </c>
      <c r="G551" t="str" cm="1">
        <f t="array" aca="1" ref="G551" ca="1">CONCATENATE(INDIRECT(ADDRESS(1,6,1,0,"KeySet"),0),":","""",TEXT(valueMaker!G551,"yyyy/m/d"),"""")</f>
        <v>tanjyoubi:"2024/5/29"</v>
      </c>
      <c r="H551" t="str" cm="1">
        <f t="array" aca="1" ref="H551" ca="1">CONCATENATE(INDIRECT(ADDRESS(1,6,1,0,"KeySet"),0),":","""",TEXT(valueMaker!H551,"yyyy/m/d"),"""")</f>
        <v>tanjyoubi:"2026/5/29"</v>
      </c>
      <c r="I551" t="str" cm="1">
        <f t="array" aca="1" ref="I551" ca="1">CONCATENATE(INDIRECT(ADDRESS(1,9,1,0,"KeySet"),0),":","""",valueMaker!I551,"""")</f>
        <v>denwaBangou:"090-6710-5454"</v>
      </c>
      <c r="J551" t="str" cm="1">
        <f t="array" aca="1" ref="J551" ca="1">CONCATENATE(INDIRECT(ADDRESS(1,10,1,0,"KeySet"),0),":","""",valueMaker!J551,"""")</f>
        <v>mailAddress:"Zheng_Chi_Wei_45441@outlook.jp.co"</v>
      </c>
      <c r="K551" t="str" cm="1">
        <f t="array" aca="1" ref="K551" ca="1">CONCATENATE(INDIRECT(ADDRESS(1,11,1,0,"KeySet"),0),":","""",valueMaker!K551,"""")</f>
        <v>kaninSyubetu:"高級"</v>
      </c>
      <c r="L551" t="str" cm="1">
        <f t="array" aca="1" ref="L551" ca="1">CONCATENATE(INDIRECT(ADDRESS(1,12,1,0,"KeySet"),0),":","""",valueMaker!L551,"""")</f>
        <v>kaninKengenWB:"有り"</v>
      </c>
      <c r="M551" t="str" cm="1">
        <f t="array" aca="1" ref="M551" ca="1">CONCATENATE(INDIRECT(ADDRESS(1,13,1,0,"KeySet"),0),":","""",valueMaker!M551,"""")</f>
        <v>wakibiri:"10%"</v>
      </c>
      <c r="N551" t="str" cm="1">
        <f t="array" aca="1" ref="N551" ca="1">CONCATENATE(INDIRECT(ADDRESS(1,14,1,0,"KeySet"),0),":","""",valueMaker!N551,"""")</f>
        <v>kaninKengenPoint:"有り"</v>
      </c>
      <c r="O551" t="str" cm="1">
        <f t="array" aca="1" ref="O551" ca="1">CONCATENATE(INDIRECT(ADDRESS(1,15,1,0,"KeySet"),0),":","""",valueMaker!O551,"""")</f>
        <v>point:"207"</v>
      </c>
      <c r="P551" t="str" cm="1">
        <f t="array" aca="1" ref="P551" ca="1">CONCATENATE(INDIRECT(ADDRESS(1,16,1,0,"KeySet"),0),":","""",valueMaker!P551,"""")</f>
        <v>bikou:""</v>
      </c>
    </row>
    <row r="552" spans="1:16">
      <c r="A552" t="str" cm="1">
        <f t="array" aca="1" ref="A552" ca="1">CONCATENATE(INDIRECT(ADDRESS(1,1,1,0,"KeySet"),0),":","""",valueMaker!A552,"""")</f>
        <v>kainBangou:"TD10551"</v>
      </c>
      <c r="B552" t="str" cm="1">
        <f t="array" aca="1" ref="B552" ca="1">CONCATENATE(INDIRECT(ADDRESS(1,2,1,0,"KeySet"),0),":","""",valueMaker!B552,"""")</f>
        <v>kainMeiKanji:"高巍竹"</v>
      </c>
      <c r="C552" t="str" cm="1">
        <f t="array" aca="1" ref="C552" ca="1">CONCATENATE(INDIRECT(ADDRESS(1,3,1,0,"KeySet"),0),":","""",valueMaker!C552,"""")</f>
        <v>kainMeiKana:"ｶﾞｵ ｳｴｲ ｼﾞｭｳ"</v>
      </c>
      <c r="D552" t="str" cm="1">
        <f t="array" aca="1" ref="D552" ca="1">CONCATENATE(INDIRECT(ADDRESS(1,4,1,0,"KeySet"),0),":","""",valueMaker!D552,"""")</f>
        <v>kainMeiEn:"Gao Wei Zhu"</v>
      </c>
      <c r="E552" t="str" cm="1">
        <f t="array" aca="1" ref="E552" ca="1">CONCATENATE(INDIRECT(ADDRESS(1,5,1,0,"KeySet"),0),":","""",valueMaker!E552,"""")</f>
        <v>kainGender:"女性"</v>
      </c>
      <c r="F552" t="str" cm="1">
        <f t="array" aca="1" ref="F552" ca="1">CONCATENATE(INDIRECT(ADDRESS(1,6,1,0,"KeySet"),0),":","""",TEXT(valueMaker!F552,"yyyy/m/d"),"""")</f>
        <v>tanjyoubi:"1969/11/23"</v>
      </c>
      <c r="G552" t="str" cm="1">
        <f t="array" aca="1" ref="G552" ca="1">CONCATENATE(INDIRECT(ADDRESS(1,6,1,0,"KeySet"),0),":","""",TEXT(valueMaker!G552,"yyyy/m/d"),"""")</f>
        <v>tanjyoubi:"1988/10/20"</v>
      </c>
      <c r="H552" t="str" cm="1">
        <f t="array" aca="1" ref="H552" ca="1">CONCATENATE(INDIRECT(ADDRESS(1,6,1,0,"KeySet"),0),":","""",TEXT(valueMaker!H552,"yyyy/m/d"),"""")</f>
        <v>tanjyoubi:"1989/10/20"</v>
      </c>
      <c r="I552" t="str" cm="1">
        <f t="array" aca="1" ref="I552" ca="1">CONCATENATE(INDIRECT(ADDRESS(1,9,1,0,"KeySet"),0),":","""",valueMaker!I552,"""")</f>
        <v>denwaBangou:"090-2230-3041"</v>
      </c>
      <c r="J552" t="str" cm="1">
        <f t="array" aca="1" ref="J552" ca="1">CONCATENATE(INDIRECT(ADDRESS(1,10,1,0,"KeySet"),0),":","""",valueMaker!J552,"""")</f>
        <v>mailAddress:"Gao_Wei_Zhu_32436@outlook.jp.co"</v>
      </c>
      <c r="K552" t="str" cm="1">
        <f t="array" aca="1" ref="K552" ca="1">CONCATENATE(INDIRECT(ADDRESS(1,11,1,0,"KeySet"),0),":","""",valueMaker!K552,"""")</f>
        <v>kaninSyubetu:"普通"</v>
      </c>
      <c r="L552" t="str" cm="1">
        <f t="array" aca="1" ref="L552" ca="1">CONCATENATE(INDIRECT(ADDRESS(1,12,1,0,"KeySet"),0),":","""",valueMaker!L552,"""")</f>
        <v>kaninKengenWB:"有り"</v>
      </c>
      <c r="M552" t="str" cm="1">
        <f t="array" aca="1" ref="M552" ca="1">CONCATENATE(INDIRECT(ADDRESS(1,13,1,0,"KeySet"),0),":","""",valueMaker!M552,"""")</f>
        <v>wakibiri:"5%"</v>
      </c>
      <c r="N552" t="str" cm="1">
        <f t="array" aca="1" ref="N552" ca="1">CONCATENATE(INDIRECT(ADDRESS(1,14,1,0,"KeySet"),0),":","""",valueMaker!N552,"""")</f>
        <v>kaninKengenPoint:"-"</v>
      </c>
      <c r="O552" t="str" cm="1">
        <f t="array" aca="1" ref="O552" ca="1">CONCATENATE(INDIRECT(ADDRESS(1,15,1,0,"KeySet"),0),":","""",valueMaker!O552,"""")</f>
        <v>point:"-"</v>
      </c>
      <c r="P552" t="str" cm="1">
        <f t="array" aca="1" ref="P552" ca="1">CONCATENATE(INDIRECT(ADDRESS(1,16,1,0,"KeySet"),0),":","""",valueMaker!P552,"""")</f>
        <v>bikou:""</v>
      </c>
    </row>
    <row r="553" spans="1:16">
      <c r="A553" t="str" cm="1">
        <f t="array" aca="1" ref="A553" ca="1">CONCATENATE(INDIRECT(ADDRESS(1,1,1,0,"KeySet"),0),":","""",valueMaker!A553,"""")</f>
        <v>kainBangou:"TD10552"</v>
      </c>
      <c r="B553" t="str" cm="1">
        <f t="array" aca="1" ref="B553" ca="1">CONCATENATE(INDIRECT(ADDRESS(1,2,1,0,"KeySet"),0),":","""",valueMaker!B553,"""")</f>
        <v>kainMeiKanji:"王元壯"</v>
      </c>
      <c r="C553" t="str" cm="1">
        <f t="array" aca="1" ref="C553" ca="1">CONCATENATE(INDIRECT(ADDRESS(1,3,1,0,"KeySet"),0),":","""",valueMaker!C553,"""")</f>
        <v>kainMeiKana:"ﾜｰﾝ ﾕｴﾝ ｼﾞｭﾜｰﾝ"</v>
      </c>
      <c r="D553" t="str" cm="1">
        <f t="array" aca="1" ref="D553" ca="1">CONCATENATE(INDIRECT(ADDRESS(1,4,1,0,"KeySet"),0),":","""",valueMaker!D553,"""")</f>
        <v>kainMeiEn:"Wang Yuan Zhuang"</v>
      </c>
      <c r="E553" t="str" cm="1">
        <f t="array" aca="1" ref="E553" ca="1">CONCATENATE(INDIRECT(ADDRESS(1,5,1,0,"KeySet"),0),":","""",valueMaker!E553,"""")</f>
        <v>kainGender:"男性"</v>
      </c>
      <c r="F553" t="str" cm="1">
        <f t="array" aca="1" ref="F553" ca="1">CONCATENATE(INDIRECT(ADDRESS(1,6,1,0,"KeySet"),0),":","""",TEXT(valueMaker!F553,"yyyy/m/d"),"""")</f>
        <v>tanjyoubi:"2002/6/21"</v>
      </c>
      <c r="G553" t="str" cm="1">
        <f t="array" aca="1" ref="G553" ca="1">CONCATENATE(INDIRECT(ADDRESS(1,6,1,0,"KeySet"),0),":","""",TEXT(valueMaker!G553,"yyyy/m/d"),"""")</f>
        <v>tanjyoubi:"2022/8/26"</v>
      </c>
      <c r="H553" t="str" cm="1">
        <f t="array" aca="1" ref="H553" ca="1">CONCATENATE(INDIRECT(ADDRESS(1,6,1,0,"KeySet"),0),":","""",TEXT(valueMaker!H553,"yyyy/m/d"),"""")</f>
        <v>tanjyoubi:"2025/8/25"</v>
      </c>
      <c r="I553" t="str" cm="1">
        <f t="array" aca="1" ref="I553" ca="1">CONCATENATE(INDIRECT(ADDRESS(1,9,1,0,"KeySet"),0),":","""",valueMaker!I553,"""")</f>
        <v>denwaBangou:"080-3828-9769"</v>
      </c>
      <c r="J553" t="str" cm="1">
        <f t="array" aca="1" ref="J553" ca="1">CONCATENATE(INDIRECT(ADDRESS(1,10,1,0,"KeySet"),0),":","""",valueMaker!J553,"""")</f>
        <v>mailAddress:"Wang_Yuan_Zhuang_44799@outlook.jp.co"</v>
      </c>
      <c r="K553" t="str" cm="1">
        <f t="array" aca="1" ref="K553" ca="1">CONCATENATE(INDIRECT(ADDRESS(1,11,1,0,"KeySet"),0),":","""",valueMaker!K553,"""")</f>
        <v>kaninSyubetu:"普通"</v>
      </c>
      <c r="L553" t="str" cm="1">
        <f t="array" aca="1" ref="L553" ca="1">CONCATENATE(INDIRECT(ADDRESS(1,12,1,0,"KeySet"),0),":","""",valueMaker!L553,"""")</f>
        <v>kaninKengenWB:"有り"</v>
      </c>
      <c r="M553" t="str" cm="1">
        <f t="array" aca="1" ref="M553" ca="1">CONCATENATE(INDIRECT(ADDRESS(1,13,1,0,"KeySet"),0),":","""",valueMaker!M553,"""")</f>
        <v>wakibiri:"5%"</v>
      </c>
      <c r="N553" t="str" cm="1">
        <f t="array" aca="1" ref="N553" ca="1">CONCATENATE(INDIRECT(ADDRESS(1,14,1,0,"KeySet"),0),":","""",valueMaker!N553,"""")</f>
        <v>kaninKengenPoint:"有り"</v>
      </c>
      <c r="O553" t="str" cm="1">
        <f t="array" aca="1" ref="O553" ca="1">CONCATENATE(INDIRECT(ADDRESS(1,15,1,0,"KeySet"),0),":","""",valueMaker!O553,"""")</f>
        <v>point:"11"</v>
      </c>
      <c r="P553" t="str" cm="1">
        <f t="array" aca="1" ref="P553" ca="1">CONCATENATE(INDIRECT(ADDRESS(1,16,1,0,"KeySet"),0),":","""",valueMaker!P553,"""")</f>
        <v>bikou:""</v>
      </c>
    </row>
    <row r="554" spans="1:16">
      <c r="A554" t="str" cm="1">
        <f t="array" aca="1" ref="A554" ca="1">CONCATENATE(INDIRECT(ADDRESS(1,1,1,0,"KeySet"),0),":","""",valueMaker!A554,"""")</f>
        <v>kainBangou:"TD10553"</v>
      </c>
      <c r="B554" t="str" cm="1">
        <f t="array" aca="1" ref="B554" ca="1">CONCATENATE(INDIRECT(ADDRESS(1,2,1,0,"KeySet"),0),":","""",valueMaker!B554,"""")</f>
        <v>kainMeiKanji:"周天達"</v>
      </c>
      <c r="C554" t="str" cm="1">
        <f t="array" aca="1" ref="C554" ca="1">CONCATENATE(INDIRECT(ADDRESS(1,3,1,0,"KeySet"),0),":","""",valueMaker!C554,"""")</f>
        <v>kainMeiKana:"ｼﾞｮｳ ﾃｨｴﾝ ﾀﾞｰ"</v>
      </c>
      <c r="D554" t="str" cm="1">
        <f t="array" aca="1" ref="D554" ca="1">CONCATENATE(INDIRECT(ADDRESS(1,4,1,0,"KeySet"),0),":","""",valueMaker!D554,"""")</f>
        <v>kainMeiEn:"Zhou Tian Da"</v>
      </c>
      <c r="E554" t="str" cm="1">
        <f t="array" aca="1" ref="E554" ca="1">CONCATENATE(INDIRECT(ADDRESS(1,5,1,0,"KeySet"),0),":","""",valueMaker!E554,"""")</f>
        <v>kainGender:"男性"</v>
      </c>
      <c r="F554" t="str" cm="1">
        <f t="array" aca="1" ref="F554" ca="1">CONCATENATE(INDIRECT(ADDRESS(1,6,1,0,"KeySet"),0),":","""",TEXT(valueMaker!F554,"yyyy/m/d"),"""")</f>
        <v>tanjyoubi:"1970/12/9"</v>
      </c>
      <c r="G554" t="str" cm="1">
        <f t="array" aca="1" ref="G554" ca="1">CONCATENATE(INDIRECT(ADDRESS(1,6,1,0,"KeySet"),0),":","""",TEXT(valueMaker!G554,"yyyy/m/d"),"""")</f>
        <v>tanjyoubi:"2013/5/7"</v>
      </c>
      <c r="H554" t="str" cm="1">
        <f t="array" aca="1" ref="H554" ca="1">CONCATENATE(INDIRECT(ADDRESS(1,6,1,0,"KeySet"),0),":","""",TEXT(valueMaker!H554,"yyyy/m/d"),"""")</f>
        <v>tanjyoubi:"2015/5/7"</v>
      </c>
      <c r="I554" t="str" cm="1">
        <f t="array" aca="1" ref="I554" ca="1">CONCATENATE(INDIRECT(ADDRESS(1,9,1,0,"KeySet"),0),":","""",valueMaker!I554,"""")</f>
        <v>denwaBangou:"090-5264-8895"</v>
      </c>
      <c r="J554" t="str" cm="1">
        <f t="array" aca="1" ref="J554" ca="1">CONCATENATE(INDIRECT(ADDRESS(1,10,1,0,"KeySet"),0),":","""",valueMaker!J554,"""")</f>
        <v>mailAddress:"Zhou_Tian_Da_41401@outlook.jp.co"</v>
      </c>
      <c r="K554" t="str" cm="1">
        <f t="array" aca="1" ref="K554" ca="1">CONCATENATE(INDIRECT(ADDRESS(1,11,1,0,"KeySet"),0),":","""",valueMaker!K554,"""")</f>
        <v>kaninSyubetu:"普通"</v>
      </c>
      <c r="L554" t="str" cm="1">
        <f t="array" aca="1" ref="L554" ca="1">CONCATENATE(INDIRECT(ADDRESS(1,12,1,0,"KeySet"),0),":","""",valueMaker!L554,"""")</f>
        <v>kaninKengenWB:"有り"</v>
      </c>
      <c r="M554" t="str" cm="1">
        <f t="array" aca="1" ref="M554" ca="1">CONCATENATE(INDIRECT(ADDRESS(1,13,1,0,"KeySet"),0),":","""",valueMaker!M554,"""")</f>
        <v>wakibiri:"5%"</v>
      </c>
      <c r="N554" t="str" cm="1">
        <f t="array" aca="1" ref="N554" ca="1">CONCATENATE(INDIRECT(ADDRESS(1,14,1,0,"KeySet"),0),":","""",valueMaker!N554,"""")</f>
        <v>kaninKengenPoint:"有り"</v>
      </c>
      <c r="O554" t="str" cm="1">
        <f t="array" aca="1" ref="O554" ca="1">CONCATENATE(INDIRECT(ADDRESS(1,15,1,0,"KeySet"),0),":","""",valueMaker!O554,"""")</f>
        <v>point:"133"</v>
      </c>
      <c r="P554" t="str" cm="1">
        <f t="array" aca="1" ref="P554" ca="1">CONCATENATE(INDIRECT(ADDRESS(1,16,1,0,"KeySet"),0),":","""",valueMaker!P554,"""")</f>
        <v>bikou:""</v>
      </c>
    </row>
    <row r="555" spans="1:16">
      <c r="A555" t="str" cm="1">
        <f t="array" aca="1" ref="A555" ca="1">CONCATENATE(INDIRECT(ADDRESS(1,1,1,0,"KeySet"),0),":","""",valueMaker!A555,"""")</f>
        <v>kainBangou:"TD10554"</v>
      </c>
      <c r="B555" t="str" cm="1">
        <f t="array" aca="1" ref="B555" ca="1">CONCATENATE(INDIRECT(ADDRESS(1,2,1,0,"KeySet"),0),":","""",valueMaker!B555,"""")</f>
        <v>kainMeiKanji:"何起泉"</v>
      </c>
      <c r="C555" t="str" cm="1">
        <f t="array" aca="1" ref="C555" ca="1">CONCATENATE(INDIRECT(ADDRESS(1,3,1,0,"KeySet"),0),":","""",valueMaker!C555,"""")</f>
        <v>kainMeiKana:"ﾎｰｧ ﾁｲ ﾁｭｴﾝ"</v>
      </c>
      <c r="D555" t="str" cm="1">
        <f t="array" aca="1" ref="D555" ca="1">CONCATENATE(INDIRECT(ADDRESS(1,4,1,0,"KeySet"),0),":","""",valueMaker!D555,"""")</f>
        <v>kainMeiEn:"He Qi Quan"</v>
      </c>
      <c r="E555" t="str" cm="1">
        <f t="array" aca="1" ref="E555" ca="1">CONCATENATE(INDIRECT(ADDRESS(1,5,1,0,"KeySet"),0),":","""",valueMaker!E555,"""")</f>
        <v>kainGender:"男性"</v>
      </c>
      <c r="F555" t="str" cm="1">
        <f t="array" aca="1" ref="F555" ca="1">CONCATENATE(INDIRECT(ADDRESS(1,6,1,0,"KeySet"),0),":","""",TEXT(valueMaker!F555,"yyyy/m/d"),"""")</f>
        <v>tanjyoubi:"1994/10/11"</v>
      </c>
      <c r="G555" t="str" cm="1">
        <f t="array" aca="1" ref="G555" ca="1">CONCATENATE(INDIRECT(ADDRESS(1,6,1,0,"KeySet"),0),":","""",TEXT(valueMaker!G555,"yyyy/m/d"),"""")</f>
        <v>tanjyoubi:"2018/9/6"</v>
      </c>
      <c r="H555" t="str" cm="1">
        <f t="array" aca="1" ref="H555" ca="1">CONCATENATE(INDIRECT(ADDRESS(1,6,1,0,"KeySet"),0),":","""",TEXT(valueMaker!H555,"yyyy/m/d"),"""")</f>
        <v>tanjyoubi:"2020/9/5"</v>
      </c>
      <c r="I555" t="str" cm="1">
        <f t="array" aca="1" ref="I555" ca="1">CONCATENATE(INDIRECT(ADDRESS(1,9,1,0,"KeySet"),0),":","""",valueMaker!I555,"""")</f>
        <v>denwaBangou:"090-7948-1818"</v>
      </c>
      <c r="J555" t="str" cm="1">
        <f t="array" aca="1" ref="J555" ca="1">CONCATENATE(INDIRECT(ADDRESS(1,10,1,0,"KeySet"),0),":","""",valueMaker!J555,"""")</f>
        <v>mailAddress:"He_Qi_Quan_43349@outlook.jp.co"</v>
      </c>
      <c r="K555" t="str" cm="1">
        <f t="array" aca="1" ref="K555" ca="1">CONCATENATE(INDIRECT(ADDRESS(1,11,1,0,"KeySet"),0),":","""",valueMaker!K555,"""")</f>
        <v>kaninSyubetu:"高級"</v>
      </c>
      <c r="L555" t="str" cm="1">
        <f t="array" aca="1" ref="L555" ca="1">CONCATENATE(INDIRECT(ADDRESS(1,12,1,0,"KeySet"),0),":","""",valueMaker!L555,"""")</f>
        <v>kaninKengenWB:"有り"</v>
      </c>
      <c r="M555" t="str" cm="1">
        <f t="array" aca="1" ref="M555" ca="1">CONCATENATE(INDIRECT(ADDRESS(1,13,1,0,"KeySet"),0),":","""",valueMaker!M555,"""")</f>
        <v>wakibiri:"10%"</v>
      </c>
      <c r="N555" t="str" cm="1">
        <f t="array" aca="1" ref="N555" ca="1">CONCATENATE(INDIRECT(ADDRESS(1,14,1,0,"KeySet"),0),":","""",valueMaker!N555,"""")</f>
        <v>kaninKengenPoint:"有り"</v>
      </c>
      <c r="O555" t="str" cm="1">
        <f t="array" aca="1" ref="O555" ca="1">CONCATENATE(INDIRECT(ADDRESS(1,15,1,0,"KeySet"),0),":","""",valueMaker!O555,"""")</f>
        <v>point:"291"</v>
      </c>
      <c r="P555" t="str" cm="1">
        <f t="array" aca="1" ref="P555" ca="1">CONCATENATE(INDIRECT(ADDRESS(1,16,1,0,"KeySet"),0),":","""",valueMaker!P555,"""")</f>
        <v>bikou:""</v>
      </c>
    </row>
    <row r="556" spans="1:16">
      <c r="A556" t="str" cm="1">
        <f t="array" aca="1" ref="A556" ca="1">CONCATENATE(INDIRECT(ADDRESS(1,1,1,0,"KeySet"),0),":","""",valueMaker!A556,"""")</f>
        <v>kainBangou:"TD10555"</v>
      </c>
      <c r="B556" t="str" cm="1">
        <f t="array" aca="1" ref="B556" ca="1">CONCATENATE(INDIRECT(ADDRESS(1,2,1,0,"KeySet"),0),":","""",valueMaker!B556,"""")</f>
        <v>kainMeiKanji:"孫宇頃"</v>
      </c>
      <c r="C556" t="str" cm="1">
        <f t="array" aca="1" ref="C556" ca="1">CONCATENATE(INDIRECT(ADDRESS(1,3,1,0,"KeySet"),0),":","""",valueMaker!C556,"""")</f>
        <v>kainMeiKana:"ｽｩﾝ ﾕｲ ﾁｰﾝ"</v>
      </c>
      <c r="D556" t="str" cm="1">
        <f t="array" aca="1" ref="D556" ca="1">CONCATENATE(INDIRECT(ADDRESS(1,4,1,0,"KeySet"),0),":","""",valueMaker!D556,"""")</f>
        <v>kainMeiEn:"Sun Yu Qing"</v>
      </c>
      <c r="E556" t="str" cm="1">
        <f t="array" aca="1" ref="E556" ca="1">CONCATENATE(INDIRECT(ADDRESS(1,5,1,0,"KeySet"),0),":","""",valueMaker!E556,"""")</f>
        <v>kainGender:"女性"</v>
      </c>
      <c r="F556" t="str" cm="1">
        <f t="array" aca="1" ref="F556" ca="1">CONCATENATE(INDIRECT(ADDRESS(1,6,1,0,"KeySet"),0),":","""",TEXT(valueMaker!F556,"yyyy/m/d"),"""")</f>
        <v>tanjyoubi:"1960/11/8"</v>
      </c>
      <c r="G556" t="str" cm="1">
        <f t="array" aca="1" ref="G556" ca="1">CONCATENATE(INDIRECT(ADDRESS(1,6,1,0,"KeySet"),0),":","""",TEXT(valueMaker!G556,"yyyy/m/d"),"""")</f>
        <v>tanjyoubi:"1998/4/25"</v>
      </c>
      <c r="H556" t="str" cm="1">
        <f t="array" aca="1" ref="H556" ca="1">CONCATENATE(INDIRECT(ADDRESS(1,6,1,0,"KeySet"),0),":","""",TEXT(valueMaker!H556,"yyyy/m/d"),"""")</f>
        <v>tanjyoubi:"2000/4/24"</v>
      </c>
      <c r="I556" t="str" cm="1">
        <f t="array" aca="1" ref="I556" ca="1">CONCATENATE(INDIRECT(ADDRESS(1,9,1,0,"KeySet"),0),":","""",valueMaker!I556,"""")</f>
        <v>denwaBangou:"080-2363-0930"</v>
      </c>
      <c r="J556" t="str" cm="1">
        <f t="array" aca="1" ref="J556" ca="1">CONCATENATE(INDIRECT(ADDRESS(1,10,1,0,"KeySet"),0),":","""",valueMaker!J556,"""")</f>
        <v>mailAddress:"Sun_Yu_Qing_35910@outlook.jp.co"</v>
      </c>
      <c r="K556" t="str" cm="1">
        <f t="array" aca="1" ref="K556" ca="1">CONCATENATE(INDIRECT(ADDRESS(1,11,1,0,"KeySet"),0),":","""",valueMaker!K556,"""")</f>
        <v>kaninSyubetu:"普通"</v>
      </c>
      <c r="L556" t="str" cm="1">
        <f t="array" aca="1" ref="L556" ca="1">CONCATENATE(INDIRECT(ADDRESS(1,12,1,0,"KeySet"),0),":","""",valueMaker!L556,"""")</f>
        <v>kaninKengenWB:"有り"</v>
      </c>
      <c r="M556" t="str" cm="1">
        <f t="array" aca="1" ref="M556" ca="1">CONCATENATE(INDIRECT(ADDRESS(1,13,1,0,"KeySet"),0),":","""",valueMaker!M556,"""")</f>
        <v>wakibiri:"5%"</v>
      </c>
      <c r="N556" t="str" cm="1">
        <f t="array" aca="1" ref="N556" ca="1">CONCATENATE(INDIRECT(ADDRESS(1,14,1,0,"KeySet"),0),":","""",valueMaker!N556,"""")</f>
        <v>kaninKengenPoint:"有り"</v>
      </c>
      <c r="O556" t="str" cm="1">
        <f t="array" aca="1" ref="O556" ca="1">CONCATENATE(INDIRECT(ADDRESS(1,15,1,0,"KeySet"),0),":","""",valueMaker!O556,"""")</f>
        <v>point:"199"</v>
      </c>
      <c r="P556" t="str" cm="1">
        <f t="array" aca="1" ref="P556" ca="1">CONCATENATE(INDIRECT(ADDRESS(1,16,1,0,"KeySet"),0),":","""",valueMaker!P556,"""")</f>
        <v>bikou:""</v>
      </c>
    </row>
    <row r="557" spans="1:16">
      <c r="A557" t="str" cm="1">
        <f t="array" aca="1" ref="A557" ca="1">CONCATENATE(INDIRECT(ADDRESS(1,1,1,0,"KeySet"),0),":","""",valueMaker!A557,"""")</f>
        <v>kainBangou:"TD10556"</v>
      </c>
      <c r="B557" t="str" cm="1">
        <f t="array" aca="1" ref="B557" ca="1">CONCATENATE(INDIRECT(ADDRESS(1,2,1,0,"KeySet"),0),":","""",valueMaker!B557,"""")</f>
        <v>kainMeiKanji:"謝貴孝"</v>
      </c>
      <c r="C557" t="str" cm="1">
        <f t="array" aca="1" ref="C557" ca="1">CONCATENATE(INDIRECT(ADDRESS(1,3,1,0,"KeySet"),0),":","""",valueMaker!C557,"""")</f>
        <v>kainMeiKana:"ｼｴ ｸﾞｲ ｼﾔｵ"</v>
      </c>
      <c r="D557" t="str" cm="1">
        <f t="array" aca="1" ref="D557" ca="1">CONCATENATE(INDIRECT(ADDRESS(1,4,1,0,"KeySet"),0),":","""",valueMaker!D557,"""")</f>
        <v>kainMeiEn:"Xie Gui Xiao"</v>
      </c>
      <c r="E557" t="str" cm="1">
        <f t="array" aca="1" ref="E557" ca="1">CONCATENATE(INDIRECT(ADDRESS(1,5,1,0,"KeySet"),0),":","""",valueMaker!E557,"""")</f>
        <v>kainGender:"-"</v>
      </c>
      <c r="F557" t="str" cm="1">
        <f t="array" aca="1" ref="F557" ca="1">CONCATENATE(INDIRECT(ADDRESS(1,6,1,0,"KeySet"),0),":","""",TEXT(valueMaker!F557,"yyyy/m/d"),"""")</f>
        <v>tanjyoubi:"1973/9/4"</v>
      </c>
      <c r="G557" t="str" cm="1">
        <f t="array" aca="1" ref="G557" ca="1">CONCATENATE(INDIRECT(ADDRESS(1,6,1,0,"KeySet"),0),":","""",TEXT(valueMaker!G557,"yyyy/m/d"),"""")</f>
        <v>tanjyoubi:"2012/10/4"</v>
      </c>
      <c r="H557" t="str" cm="1">
        <f t="array" aca="1" ref="H557" ca="1">CONCATENATE(INDIRECT(ADDRESS(1,6,1,0,"KeySet"),0),":","""",TEXT(valueMaker!H557,"yyyy/m/d"),"""")</f>
        <v>tanjyoubi:"2015/10/4"</v>
      </c>
      <c r="I557" t="str" cm="1">
        <f t="array" aca="1" ref="I557" ca="1">CONCATENATE(INDIRECT(ADDRESS(1,9,1,0,"KeySet"),0),":","""",valueMaker!I557,"""")</f>
        <v>denwaBangou:"080-7073-1340"</v>
      </c>
      <c r="J557" t="str" cm="1">
        <f t="array" aca="1" ref="J557" ca="1">CONCATENATE(INDIRECT(ADDRESS(1,10,1,0,"KeySet"),0),":","""",valueMaker!J557,"""")</f>
        <v>mailAddress:"Xie_Gui_Xiao_41186@outlook.jp.co"</v>
      </c>
      <c r="K557" t="str" cm="1">
        <f t="array" aca="1" ref="K557" ca="1">CONCATENATE(INDIRECT(ADDRESS(1,11,1,0,"KeySet"),0),":","""",valueMaker!K557,"""")</f>
        <v>kaninSyubetu:"高級"</v>
      </c>
      <c r="L557" t="str" cm="1">
        <f t="array" aca="1" ref="L557" ca="1">CONCATENATE(INDIRECT(ADDRESS(1,12,1,0,"KeySet"),0),":","""",valueMaker!L557,"""")</f>
        <v>kaninKengenWB:"-"</v>
      </c>
      <c r="M557" t="str" cm="1">
        <f t="array" aca="1" ref="M557" ca="1">CONCATENATE(INDIRECT(ADDRESS(1,13,1,0,"KeySet"),0),":","""",valueMaker!M557,"""")</f>
        <v>wakibiri:"-"</v>
      </c>
      <c r="N557" t="str" cm="1">
        <f t="array" aca="1" ref="N557" ca="1">CONCATENATE(INDIRECT(ADDRESS(1,14,1,0,"KeySet"),0),":","""",valueMaker!N557,"""")</f>
        <v>kaninKengenPoint:"-"</v>
      </c>
      <c r="O557" t="str" cm="1">
        <f t="array" aca="1" ref="O557" ca="1">CONCATENATE(INDIRECT(ADDRESS(1,15,1,0,"KeySet"),0),":","""",valueMaker!O557,"""")</f>
        <v>point:"-"</v>
      </c>
      <c r="P557" t="str" cm="1">
        <f t="array" aca="1" ref="P557" ca="1">CONCATENATE(INDIRECT(ADDRESS(1,16,1,0,"KeySet"),0),":","""",valueMaker!P557,"""")</f>
        <v>bikou:""</v>
      </c>
    </row>
    <row r="558" spans="1:16">
      <c r="A558" t="str" cm="1">
        <f t="array" aca="1" ref="A558" ca="1">CONCATENATE(INDIRECT(ADDRESS(1,1,1,0,"KeySet"),0),":","""",valueMaker!A558,"""")</f>
        <v>kainBangou:"TD10557"</v>
      </c>
      <c r="B558" t="str" cm="1">
        <f t="array" aca="1" ref="B558" ca="1">CONCATENATE(INDIRECT(ADDRESS(1,2,1,0,"KeySet"),0),":","""",valueMaker!B558,"""")</f>
        <v>kainMeiKanji:"謝皓浚"</v>
      </c>
      <c r="C558" t="str" cm="1">
        <f t="array" aca="1" ref="C558" ca="1">CONCATENATE(INDIRECT(ADDRESS(1,3,1,0,"KeySet"),0),":","""",valueMaker!C558,"""")</f>
        <v>kainMeiKana:"ｼｴ ﾊｵ ｼﾞｭｲﾝ"</v>
      </c>
      <c r="D558" t="str" cm="1">
        <f t="array" aca="1" ref="D558" ca="1">CONCATENATE(INDIRECT(ADDRESS(1,4,1,0,"KeySet"),0),":","""",valueMaker!D558,"""")</f>
        <v>kainMeiEn:"Xie Hao Jun"</v>
      </c>
      <c r="E558" t="str" cm="1">
        <f t="array" aca="1" ref="E558" ca="1">CONCATENATE(INDIRECT(ADDRESS(1,5,1,0,"KeySet"),0),":","""",valueMaker!E558,"""")</f>
        <v>kainGender:"男性"</v>
      </c>
      <c r="F558" t="str" cm="1">
        <f t="array" aca="1" ref="F558" ca="1">CONCATENATE(INDIRECT(ADDRESS(1,6,1,0,"KeySet"),0),":","""",TEXT(valueMaker!F558,"yyyy/m/d"),"""")</f>
        <v>tanjyoubi:"1990/12/8"</v>
      </c>
      <c r="G558" t="str" cm="1">
        <f t="array" aca="1" ref="G558" ca="1">CONCATENATE(INDIRECT(ADDRESS(1,6,1,0,"KeySet"),0),":","""",TEXT(valueMaker!G558,"yyyy/m/d"),"""")</f>
        <v>tanjyoubi:"2014/9/23"</v>
      </c>
      <c r="H558" t="str" cm="1">
        <f t="array" aca="1" ref="H558" ca="1">CONCATENATE(INDIRECT(ADDRESS(1,6,1,0,"KeySet"),0),":","""",TEXT(valueMaker!H558,"yyyy/m/d"),"""")</f>
        <v>tanjyoubi:"2015/9/23"</v>
      </c>
      <c r="I558" t="str" cm="1">
        <f t="array" aca="1" ref="I558" ca="1">CONCATENATE(INDIRECT(ADDRESS(1,9,1,0,"KeySet"),0),":","""",valueMaker!I558,"""")</f>
        <v>denwaBangou:"080-4710-1860"</v>
      </c>
      <c r="J558" t="str" cm="1">
        <f t="array" aca="1" ref="J558" ca="1">CONCATENATE(INDIRECT(ADDRESS(1,10,1,0,"KeySet"),0),":","""",valueMaker!J558,"""")</f>
        <v>mailAddress:"Xie_Hao Jun_41905@outlook.jp.co"</v>
      </c>
      <c r="K558" t="str" cm="1">
        <f t="array" aca="1" ref="K558" ca="1">CONCATENATE(INDIRECT(ADDRESS(1,11,1,0,"KeySet"),0),":","""",valueMaker!K558,"""")</f>
        <v>kaninSyubetu:"高級"</v>
      </c>
      <c r="L558" t="str" cm="1">
        <f t="array" aca="1" ref="L558" ca="1">CONCATENATE(INDIRECT(ADDRESS(1,12,1,0,"KeySet"),0),":","""",valueMaker!L558,"""")</f>
        <v>kaninKengenWB:"有り"</v>
      </c>
      <c r="M558" t="str" cm="1">
        <f t="array" aca="1" ref="M558" ca="1">CONCATENATE(INDIRECT(ADDRESS(1,13,1,0,"KeySet"),0),":","""",valueMaker!M558,"""")</f>
        <v>wakibiri:"10%"</v>
      </c>
      <c r="N558" t="str" cm="1">
        <f t="array" aca="1" ref="N558" ca="1">CONCATENATE(INDIRECT(ADDRESS(1,14,1,0,"KeySet"),0),":","""",valueMaker!N558,"""")</f>
        <v>kaninKengenPoint:"有り"</v>
      </c>
      <c r="O558" t="str" cm="1">
        <f t="array" aca="1" ref="O558" ca="1">CONCATENATE(INDIRECT(ADDRESS(1,15,1,0,"KeySet"),0),":","""",valueMaker!O558,"""")</f>
        <v>point:"824"</v>
      </c>
      <c r="P558" t="str" cm="1">
        <f t="array" aca="1" ref="P558" ca="1">CONCATENATE(INDIRECT(ADDRESS(1,16,1,0,"KeySet"),0),":","""",valueMaker!P558,"""")</f>
        <v>bikou:""</v>
      </c>
    </row>
    <row r="559" spans="1:16">
      <c r="A559" t="str" cm="1">
        <f t="array" aca="1" ref="A559" ca="1">CONCATENATE(INDIRECT(ADDRESS(1,1,1,0,"KeySet"),0),":","""",valueMaker!A559,"""")</f>
        <v>kainBangou:"TD10558"</v>
      </c>
      <c r="B559" t="str" cm="1">
        <f t="array" aca="1" ref="B559" ca="1">CONCATENATE(INDIRECT(ADDRESS(1,2,1,0,"KeySet"),0),":","""",valueMaker!B559,"""")</f>
        <v>kainMeiKanji:"李冰夢"</v>
      </c>
      <c r="C559" t="str" cm="1">
        <f t="array" aca="1" ref="C559" ca="1">CONCATENATE(INDIRECT(ADDRESS(1,3,1,0,"KeySet"),0),":","""",valueMaker!C559,"""")</f>
        <v>kainMeiKana:"ﾘｰ ﾋﾞｰﾝ ﾑｵﾝ"</v>
      </c>
      <c r="D559" t="str" cm="1">
        <f t="array" aca="1" ref="D559" ca="1">CONCATENATE(INDIRECT(ADDRESS(1,4,1,0,"KeySet"),0),":","""",valueMaker!D559,"""")</f>
        <v>kainMeiEn:"Li Bing Meng"</v>
      </c>
      <c r="E559" t="str" cm="1">
        <f t="array" aca="1" ref="E559" ca="1">CONCATENATE(INDIRECT(ADDRESS(1,5,1,0,"KeySet"),0),":","""",valueMaker!E559,"""")</f>
        <v>kainGender:"男性"</v>
      </c>
      <c r="F559" t="str" cm="1">
        <f t="array" aca="1" ref="F559" ca="1">CONCATENATE(INDIRECT(ADDRESS(1,6,1,0,"KeySet"),0),":","""",TEXT(valueMaker!F559,"yyyy/m/d"),"""")</f>
        <v>tanjyoubi:"1961/8/4"</v>
      </c>
      <c r="G559" t="str" cm="1">
        <f t="array" aca="1" ref="G559" ca="1">CONCATENATE(INDIRECT(ADDRESS(1,6,1,0,"KeySet"),0),":","""",TEXT(valueMaker!G559,"yyyy/m/d"),"""")</f>
        <v>tanjyoubi:"1986/1/18"</v>
      </c>
      <c r="H559" t="str" cm="1">
        <f t="array" aca="1" ref="H559" ca="1">CONCATENATE(INDIRECT(ADDRESS(1,6,1,0,"KeySet"),0),":","""",TEXT(valueMaker!H559,"yyyy/m/d"),"""")</f>
        <v>tanjyoubi:"1989/1/17"</v>
      </c>
      <c r="I559" t="str" cm="1">
        <f t="array" aca="1" ref="I559" ca="1">CONCATENATE(INDIRECT(ADDRESS(1,9,1,0,"KeySet"),0),":","""",valueMaker!I559,"""")</f>
        <v>denwaBangou:"090-0645-7654"</v>
      </c>
      <c r="J559" t="str" cm="1">
        <f t="array" aca="1" ref="J559" ca="1">CONCATENATE(INDIRECT(ADDRESS(1,10,1,0,"KeySet"),0),":","""",valueMaker!J559,"""")</f>
        <v>mailAddress:"Li_Bing_Meng_31430@outlook.jp.co"</v>
      </c>
      <c r="K559" t="str" cm="1">
        <f t="array" aca="1" ref="K559" ca="1">CONCATENATE(INDIRECT(ADDRESS(1,11,1,0,"KeySet"),0),":","""",valueMaker!K559,"""")</f>
        <v>kaninSyubetu:"高級"</v>
      </c>
      <c r="L559" t="str" cm="1">
        <f t="array" aca="1" ref="L559" ca="1">CONCATENATE(INDIRECT(ADDRESS(1,12,1,0,"KeySet"),0),":","""",valueMaker!L559,"""")</f>
        <v>kaninKengenWB:"-"</v>
      </c>
      <c r="M559" t="str" cm="1">
        <f t="array" aca="1" ref="M559" ca="1">CONCATENATE(INDIRECT(ADDRESS(1,13,1,0,"KeySet"),0),":","""",valueMaker!M559,"""")</f>
        <v>wakibiri:"-"</v>
      </c>
      <c r="N559" t="str" cm="1">
        <f t="array" aca="1" ref="N559" ca="1">CONCATENATE(INDIRECT(ADDRESS(1,14,1,0,"KeySet"),0),":","""",valueMaker!N559,"""")</f>
        <v>kaninKengenPoint:"有り"</v>
      </c>
      <c r="O559" t="str" cm="1">
        <f t="array" aca="1" ref="O559" ca="1">CONCATENATE(INDIRECT(ADDRESS(1,15,1,0,"KeySet"),0),":","""",valueMaker!O559,"""")</f>
        <v>point:"567"</v>
      </c>
      <c r="P559" t="str" cm="1">
        <f t="array" aca="1" ref="P559" ca="1">CONCATENATE(INDIRECT(ADDRESS(1,16,1,0,"KeySet"),0),":","""",valueMaker!P559,"""")</f>
        <v>bikou:""</v>
      </c>
    </row>
    <row r="560" spans="1:16">
      <c r="A560" t="str" cm="1">
        <f t="array" aca="1" ref="A560" ca="1">CONCATENATE(INDIRECT(ADDRESS(1,1,1,0,"KeySet"),0),":","""",valueMaker!A560,"""")</f>
        <v>kainBangou:"TD10559"</v>
      </c>
      <c r="B560" t="str" cm="1">
        <f t="array" aca="1" ref="B560" ca="1">CONCATENATE(INDIRECT(ADDRESS(1,2,1,0,"KeySet"),0),":","""",valueMaker!B560,"""")</f>
        <v>kainMeiKanji:"羅台衷"</v>
      </c>
      <c r="C560" t="str" cm="1">
        <f t="array" aca="1" ref="C560" ca="1">CONCATENATE(INDIRECT(ADDRESS(1,3,1,0,"KeySet"),0),":","""",valueMaker!C560,"""")</f>
        <v>kainMeiKana:"ﾙｵ ﾀｲ ｼﾞｮｰﾝ"</v>
      </c>
      <c r="D560" t="str" cm="1">
        <f t="array" aca="1" ref="D560" ca="1">CONCATENATE(INDIRECT(ADDRESS(1,4,1,0,"KeySet"),0),":","""",valueMaker!D560,"""")</f>
        <v>kainMeiEn:"Luo Tai Zhong"</v>
      </c>
      <c r="E560" t="str" cm="1">
        <f t="array" aca="1" ref="E560" ca="1">CONCATENATE(INDIRECT(ADDRESS(1,5,1,0,"KeySet"),0),":","""",valueMaker!E560,"""")</f>
        <v>kainGender:"女性"</v>
      </c>
      <c r="F560" t="str" cm="1">
        <f t="array" aca="1" ref="F560" ca="1">CONCATENATE(INDIRECT(ADDRESS(1,6,1,0,"KeySet"),0),":","""",TEXT(valueMaker!F560,"yyyy/m/d"),"""")</f>
        <v>tanjyoubi:"1975/8/9"</v>
      </c>
      <c r="G560" t="str" cm="1">
        <f t="array" aca="1" ref="G560" ca="1">CONCATENATE(INDIRECT(ADDRESS(1,6,1,0,"KeySet"),0),":","""",TEXT(valueMaker!G560,"yyyy/m/d"),"""")</f>
        <v>tanjyoubi:"2009/9/25"</v>
      </c>
      <c r="H560" t="str" cm="1">
        <f t="array" aca="1" ref="H560" ca="1">CONCATENATE(INDIRECT(ADDRESS(1,6,1,0,"KeySet"),0),":","""",TEXT(valueMaker!H560,"yyyy/m/d"),"""")</f>
        <v>tanjyoubi:"2012/9/24"</v>
      </c>
      <c r="I560" t="str" cm="1">
        <f t="array" aca="1" ref="I560" ca="1">CONCATENATE(INDIRECT(ADDRESS(1,9,1,0,"KeySet"),0),":","""",valueMaker!I560,"""")</f>
        <v>denwaBangou:"080-7229-9084"</v>
      </c>
      <c r="J560" t="str" cm="1">
        <f t="array" aca="1" ref="J560" ca="1">CONCATENATE(INDIRECT(ADDRESS(1,10,1,0,"KeySet"),0),":","""",valueMaker!J560,"""")</f>
        <v>mailAddress:"Luo_Tai_Zhong_40081@outlook.jp.co"</v>
      </c>
      <c r="K560" t="str" cm="1">
        <f t="array" aca="1" ref="K560" ca="1">CONCATENATE(INDIRECT(ADDRESS(1,11,1,0,"KeySet"),0),":","""",valueMaker!K560,"""")</f>
        <v>kaninSyubetu:"高級"</v>
      </c>
      <c r="L560" t="str" cm="1">
        <f t="array" aca="1" ref="L560" ca="1">CONCATENATE(INDIRECT(ADDRESS(1,12,1,0,"KeySet"),0),":","""",valueMaker!L560,"""")</f>
        <v>kaninKengenWB:"有り"</v>
      </c>
      <c r="M560" t="str" cm="1">
        <f t="array" aca="1" ref="M560" ca="1">CONCATENATE(INDIRECT(ADDRESS(1,13,1,0,"KeySet"),0),":","""",valueMaker!M560,"""")</f>
        <v>wakibiri:"10%"</v>
      </c>
      <c r="N560" t="str" cm="1">
        <f t="array" aca="1" ref="N560" ca="1">CONCATENATE(INDIRECT(ADDRESS(1,14,1,0,"KeySet"),0),":","""",valueMaker!N560,"""")</f>
        <v>kaninKengenPoint:"-"</v>
      </c>
      <c r="O560" t="str" cm="1">
        <f t="array" aca="1" ref="O560" ca="1">CONCATENATE(INDIRECT(ADDRESS(1,15,1,0,"KeySet"),0),":","""",valueMaker!O560,"""")</f>
        <v>point:"-"</v>
      </c>
      <c r="P560" t="str" cm="1">
        <f t="array" aca="1" ref="P560" ca="1">CONCATENATE(INDIRECT(ADDRESS(1,16,1,0,"KeySet"),0),":","""",valueMaker!P560,"""")</f>
        <v>bikou:""</v>
      </c>
    </row>
    <row r="561" spans="1:16">
      <c r="A561" t="str" cm="1">
        <f t="array" aca="1" ref="A561" ca="1">CONCATENATE(INDIRECT(ADDRESS(1,1,1,0,"KeySet"),0),":","""",valueMaker!A561,"""")</f>
        <v>kainBangou:"TD10560"</v>
      </c>
      <c r="B561" t="str" cm="1">
        <f t="array" aca="1" ref="B561" ca="1">CONCATENATE(INDIRECT(ADDRESS(1,2,1,0,"KeySet"),0),":","""",valueMaker!B561,"""")</f>
        <v>kainMeiKanji:"鄭泓唯"</v>
      </c>
      <c r="C561" t="str" cm="1">
        <f t="array" aca="1" ref="C561" ca="1">CONCATENATE(INDIRECT(ADDRESS(1,3,1,0,"KeySet"),0),":","""",valueMaker!C561,"""")</f>
        <v>kainMeiKana:"ｼﾞｭﾖﾝ ﾎｰﾝ ｳｴｲ"</v>
      </c>
      <c r="D561" t="str" cm="1">
        <f t="array" aca="1" ref="D561" ca="1">CONCATENATE(INDIRECT(ADDRESS(1,4,1,0,"KeySet"),0),":","""",valueMaker!D561,"""")</f>
        <v>kainMeiEn:"Zheng Hong Wei"</v>
      </c>
      <c r="E561" t="str" cm="1">
        <f t="array" aca="1" ref="E561" ca="1">CONCATENATE(INDIRECT(ADDRESS(1,5,1,0,"KeySet"),0),":","""",valueMaker!E561,"""")</f>
        <v>kainGender:"-"</v>
      </c>
      <c r="F561" t="str" cm="1">
        <f t="array" aca="1" ref="F561" ca="1">CONCATENATE(INDIRECT(ADDRESS(1,6,1,0,"KeySet"),0),":","""",TEXT(valueMaker!F561,"yyyy/m/d"),"""")</f>
        <v>tanjyoubi:"1994/10/30"</v>
      </c>
      <c r="G561" t="str" cm="1">
        <f t="array" aca="1" ref="G561" ca="1">CONCATENATE(INDIRECT(ADDRESS(1,6,1,0,"KeySet"),0),":","""",TEXT(valueMaker!G561,"yyyy/m/d"),"""")</f>
        <v>tanjyoubi:"2018/7/27"</v>
      </c>
      <c r="H561" t="str" cm="1">
        <f t="array" aca="1" ref="H561" ca="1">CONCATENATE(INDIRECT(ADDRESS(1,6,1,0,"KeySet"),0),":","""",TEXT(valueMaker!H561,"yyyy/m/d"),"""")</f>
        <v>tanjyoubi:"2021/7/26"</v>
      </c>
      <c r="I561" t="str" cm="1">
        <f t="array" aca="1" ref="I561" ca="1">CONCATENATE(INDIRECT(ADDRESS(1,9,1,0,"KeySet"),0),":","""",valueMaker!I561,"""")</f>
        <v>denwaBangou:"090-2749-1117"</v>
      </c>
      <c r="J561" t="str" cm="1">
        <f t="array" aca="1" ref="J561" ca="1">CONCATENATE(INDIRECT(ADDRESS(1,10,1,0,"KeySet"),0),":","""",valueMaker!J561,"""")</f>
        <v>mailAddress:"Zheng_Hong_Wei_43308@outlook.jp.co"</v>
      </c>
      <c r="K561" t="str" cm="1">
        <f t="array" aca="1" ref="K561" ca="1">CONCATENATE(INDIRECT(ADDRESS(1,11,1,0,"KeySet"),0),":","""",valueMaker!K561,"""")</f>
        <v>kaninSyubetu:"高級"</v>
      </c>
      <c r="L561" t="str" cm="1">
        <f t="array" aca="1" ref="L561" ca="1">CONCATENATE(INDIRECT(ADDRESS(1,12,1,0,"KeySet"),0),":","""",valueMaker!L561,"""")</f>
        <v>kaninKengenWB:"有り"</v>
      </c>
      <c r="M561" t="str" cm="1">
        <f t="array" aca="1" ref="M561" ca="1">CONCATENATE(INDIRECT(ADDRESS(1,13,1,0,"KeySet"),0),":","""",valueMaker!M561,"""")</f>
        <v>wakibiri:"10%"</v>
      </c>
      <c r="N561" t="str" cm="1">
        <f t="array" aca="1" ref="N561" ca="1">CONCATENATE(INDIRECT(ADDRESS(1,14,1,0,"KeySet"),0),":","""",valueMaker!N561,"""")</f>
        <v>kaninKengenPoint:"有り"</v>
      </c>
      <c r="O561" t="str" cm="1">
        <f t="array" aca="1" ref="O561" ca="1">CONCATENATE(INDIRECT(ADDRESS(1,15,1,0,"KeySet"),0),":","""",valueMaker!O561,"""")</f>
        <v>point:"533"</v>
      </c>
      <c r="P561" t="str" cm="1">
        <f t="array" aca="1" ref="P561" ca="1">CONCATENATE(INDIRECT(ADDRESS(1,16,1,0,"KeySet"),0),":","""",valueMaker!P561,"""")</f>
        <v>bikou:""</v>
      </c>
    </row>
    <row r="562" spans="1:16">
      <c r="A562" t="str" cm="1">
        <f t="array" aca="1" ref="A562" ca="1">CONCATENATE(INDIRECT(ADDRESS(1,1,1,0,"KeySet"),0),":","""",valueMaker!A562,"""")</f>
        <v>kainBangou:"TD10561"</v>
      </c>
      <c r="B562" t="str" cm="1">
        <f t="array" aca="1" ref="B562" ca="1">CONCATENATE(INDIRECT(ADDRESS(1,2,1,0,"KeySet"),0),":","""",valueMaker!B562,"""")</f>
        <v>kainMeiKanji:"韓惠冰"</v>
      </c>
      <c r="C562" t="str" cm="1">
        <f t="array" aca="1" ref="C562" ca="1">CONCATENATE(INDIRECT(ADDRESS(1,3,1,0,"KeySet"),0),":","""",valueMaker!C562,"""")</f>
        <v>kainMeiKana:"ﾊﾝ ﾎｩｲ ﾋﾞｰﾝ"</v>
      </c>
      <c r="D562" t="str" cm="1">
        <f t="array" aca="1" ref="D562" ca="1">CONCATENATE(INDIRECT(ADDRESS(1,4,1,0,"KeySet"),0),":","""",valueMaker!D562,"""")</f>
        <v>kainMeiEn:"Han Hui Bing"</v>
      </c>
      <c r="E562" t="str" cm="1">
        <f t="array" aca="1" ref="E562" ca="1">CONCATENATE(INDIRECT(ADDRESS(1,5,1,0,"KeySet"),0),":","""",valueMaker!E562,"""")</f>
        <v>kainGender:"女性"</v>
      </c>
      <c r="F562" t="str" cm="1">
        <f t="array" aca="1" ref="F562" ca="1">CONCATENATE(INDIRECT(ADDRESS(1,6,1,0,"KeySet"),0),":","""",TEXT(valueMaker!F562,"yyyy/m/d"),"""")</f>
        <v>tanjyoubi:"2006/2/26"</v>
      </c>
      <c r="G562" t="str" cm="1">
        <f t="array" aca="1" ref="G562" ca="1">CONCATENATE(INDIRECT(ADDRESS(1,6,1,0,"KeySet"),0),":","""",TEXT(valueMaker!G562,"yyyy/m/d"),"""")</f>
        <v>tanjyoubi:"2024/5/1"</v>
      </c>
      <c r="H562" t="str" cm="1">
        <f t="array" aca="1" ref="H562" ca="1">CONCATENATE(INDIRECT(ADDRESS(1,6,1,0,"KeySet"),0),":","""",TEXT(valueMaker!H562,"yyyy/m/d"),"""")</f>
        <v>tanjyoubi:"2026/5/1"</v>
      </c>
      <c r="I562" t="str" cm="1">
        <f t="array" aca="1" ref="I562" ca="1">CONCATENATE(INDIRECT(ADDRESS(1,9,1,0,"KeySet"),0),":","""",valueMaker!I562,"""")</f>
        <v>denwaBangou:"090-8242-9889"</v>
      </c>
      <c r="J562" t="str" cm="1">
        <f t="array" aca="1" ref="J562" ca="1">CONCATENATE(INDIRECT(ADDRESS(1,10,1,0,"KeySet"),0),":","""",valueMaker!J562,"""")</f>
        <v>mailAddress:"Han_Hui_Bing_45413@outlook.jp.co"</v>
      </c>
      <c r="K562" t="str" cm="1">
        <f t="array" aca="1" ref="K562" ca="1">CONCATENATE(INDIRECT(ADDRESS(1,11,1,0,"KeySet"),0),":","""",valueMaker!K562,"""")</f>
        <v>kaninSyubetu:"普通"</v>
      </c>
      <c r="L562" t="str" cm="1">
        <f t="array" aca="1" ref="L562" ca="1">CONCATENATE(INDIRECT(ADDRESS(1,12,1,0,"KeySet"),0),":","""",valueMaker!L562,"""")</f>
        <v>kaninKengenWB:"有り"</v>
      </c>
      <c r="M562" t="str" cm="1">
        <f t="array" aca="1" ref="M562" ca="1">CONCATENATE(INDIRECT(ADDRESS(1,13,1,0,"KeySet"),0),":","""",valueMaker!M562,"""")</f>
        <v>wakibiri:"5%"</v>
      </c>
      <c r="N562" t="str" cm="1">
        <f t="array" aca="1" ref="N562" ca="1">CONCATENATE(INDIRECT(ADDRESS(1,14,1,0,"KeySet"),0),":","""",valueMaker!N562,"""")</f>
        <v>kaninKengenPoint:"有り"</v>
      </c>
      <c r="O562" t="str" cm="1">
        <f t="array" aca="1" ref="O562" ca="1">CONCATENATE(INDIRECT(ADDRESS(1,15,1,0,"KeySet"),0),":","""",valueMaker!O562,"""")</f>
        <v>point:"251"</v>
      </c>
      <c r="P562" t="str" cm="1">
        <f t="array" aca="1" ref="P562" ca="1">CONCATENATE(INDIRECT(ADDRESS(1,16,1,0,"KeySet"),0),":","""",valueMaker!P562,"""")</f>
        <v>bikou:""</v>
      </c>
    </row>
    <row r="563" spans="1:16">
      <c r="A563" t="str" cm="1">
        <f t="array" aca="1" ref="A563" ca="1">CONCATENATE(INDIRECT(ADDRESS(1,1,1,0,"KeySet"),0),":","""",valueMaker!A563,"""")</f>
        <v>kainBangou:"TD10562"</v>
      </c>
      <c r="B563" t="str" cm="1">
        <f t="array" aca="1" ref="B563" ca="1">CONCATENATE(INDIRECT(ADDRESS(1,2,1,0,"KeySet"),0),":","""",valueMaker!B563,"""")</f>
        <v>kainMeiKanji:"鄭發克"</v>
      </c>
      <c r="C563" t="str" cm="1">
        <f t="array" aca="1" ref="C563" ca="1">CONCATENATE(INDIRECT(ADDRESS(1,3,1,0,"KeySet"),0),":","""",valueMaker!C563,"""")</f>
        <v>kainMeiKana:"ｼﾞｭﾖﾝ ﾌｧｰ ｺｰｧ"</v>
      </c>
      <c r="D563" t="str" cm="1">
        <f t="array" aca="1" ref="D563" ca="1">CONCATENATE(INDIRECT(ADDRESS(1,4,1,0,"KeySet"),0),":","""",valueMaker!D563,"""")</f>
        <v>kainMeiEn:"Zheng Fa Ke"</v>
      </c>
      <c r="E563" t="str" cm="1">
        <f t="array" aca="1" ref="E563" ca="1">CONCATENATE(INDIRECT(ADDRESS(1,5,1,0,"KeySet"),0),":","""",valueMaker!E563,"""")</f>
        <v>kainGender:"女性"</v>
      </c>
      <c r="F563" t="str" cm="1">
        <f t="array" aca="1" ref="F563" ca="1">CONCATENATE(INDIRECT(ADDRESS(1,6,1,0,"KeySet"),0),":","""",TEXT(valueMaker!F563,"yyyy/m/d"),"""")</f>
        <v>tanjyoubi:"1960/9/27"</v>
      </c>
      <c r="G563" t="str" cm="1">
        <f t="array" aca="1" ref="G563" ca="1">CONCATENATE(INDIRECT(ADDRESS(1,6,1,0,"KeySet"),0),":","""",TEXT(valueMaker!G563,"yyyy/m/d"),"""")</f>
        <v>tanjyoubi:"1996/2/23"</v>
      </c>
      <c r="H563" t="str" cm="1">
        <f t="array" aca="1" ref="H563" ca="1">CONCATENATE(INDIRECT(ADDRESS(1,6,1,0,"KeySet"),0),":","""",TEXT(valueMaker!H563,"yyyy/m/d"),"""")</f>
        <v>tanjyoubi:"1998/2/22"</v>
      </c>
      <c r="I563" t="str" cm="1">
        <f t="array" aca="1" ref="I563" ca="1">CONCATENATE(INDIRECT(ADDRESS(1,9,1,0,"KeySet"),0),":","""",valueMaker!I563,"""")</f>
        <v>denwaBangou:"090-5086-7121"</v>
      </c>
      <c r="J563" t="str" cm="1">
        <f t="array" aca="1" ref="J563" ca="1">CONCATENATE(INDIRECT(ADDRESS(1,10,1,0,"KeySet"),0),":","""",valueMaker!J563,"""")</f>
        <v>mailAddress:"Zheng_Fa_Ke_35118@outlook.jp.co"</v>
      </c>
      <c r="K563" t="str" cm="1">
        <f t="array" aca="1" ref="K563" ca="1">CONCATENATE(INDIRECT(ADDRESS(1,11,1,0,"KeySet"),0),":","""",valueMaker!K563,"""")</f>
        <v>kaninSyubetu:"普通"</v>
      </c>
      <c r="L563" t="str" cm="1">
        <f t="array" aca="1" ref="L563" ca="1">CONCATENATE(INDIRECT(ADDRESS(1,12,1,0,"KeySet"),0),":","""",valueMaker!L563,"""")</f>
        <v>kaninKengenWB:"-"</v>
      </c>
      <c r="M563" t="str" cm="1">
        <f t="array" aca="1" ref="M563" ca="1">CONCATENATE(INDIRECT(ADDRESS(1,13,1,0,"KeySet"),0),":","""",valueMaker!M563,"""")</f>
        <v>wakibiri:"-"</v>
      </c>
      <c r="N563" t="str" cm="1">
        <f t="array" aca="1" ref="N563" ca="1">CONCATENATE(INDIRECT(ADDRESS(1,14,1,0,"KeySet"),0),":","""",valueMaker!N563,"""")</f>
        <v>kaninKengenPoint:"有り"</v>
      </c>
      <c r="O563" t="str" cm="1">
        <f t="array" aca="1" ref="O563" ca="1">CONCATENATE(INDIRECT(ADDRESS(1,15,1,0,"KeySet"),0),":","""",valueMaker!O563,"""")</f>
        <v>point:"284"</v>
      </c>
      <c r="P563" t="str" cm="1">
        <f t="array" aca="1" ref="P563" ca="1">CONCATENATE(INDIRECT(ADDRESS(1,16,1,0,"KeySet"),0),":","""",valueMaker!P563,"""")</f>
        <v>bikou:""</v>
      </c>
    </row>
    <row r="564" spans="1:16">
      <c r="A564" t="str" cm="1">
        <f t="array" aca="1" ref="A564" ca="1">CONCATENATE(INDIRECT(ADDRESS(1,1,1,0,"KeySet"),0),":","""",valueMaker!A564,"""")</f>
        <v>kainBangou:"TD10563"</v>
      </c>
      <c r="B564" t="str" cm="1">
        <f t="array" aca="1" ref="B564" ca="1">CONCATENATE(INDIRECT(ADDRESS(1,2,1,0,"KeySet"),0),":","""",valueMaker!B564,"""")</f>
        <v>kainMeiKanji:"吳欽西"</v>
      </c>
      <c r="C564" t="str" cm="1">
        <f t="array" aca="1" ref="C564" ca="1">CONCATENATE(INDIRECT(ADDRESS(1,3,1,0,"KeySet"),0),":","""",valueMaker!C564,"""")</f>
        <v>kainMeiKana:"ｳｰ ﾁﾝ ｼｲ"</v>
      </c>
      <c r="D564" t="str" cm="1">
        <f t="array" aca="1" ref="D564" ca="1">CONCATENATE(INDIRECT(ADDRESS(1,4,1,0,"KeySet"),0),":","""",valueMaker!D564,"""")</f>
        <v>kainMeiEn:"Wu Qin Xi"</v>
      </c>
      <c r="E564" t="str" cm="1">
        <f t="array" aca="1" ref="E564" ca="1">CONCATENATE(INDIRECT(ADDRESS(1,5,1,0,"KeySet"),0),":","""",valueMaker!E564,"""")</f>
        <v>kainGender:"女性"</v>
      </c>
      <c r="F564" t="str" cm="1">
        <f t="array" aca="1" ref="F564" ca="1">CONCATENATE(INDIRECT(ADDRESS(1,6,1,0,"KeySet"),0),":","""",TEXT(valueMaker!F564,"yyyy/m/d"),"""")</f>
        <v>tanjyoubi:"1993/1/1"</v>
      </c>
      <c r="G564" t="str" cm="1">
        <f t="array" aca="1" ref="G564" ca="1">CONCATENATE(INDIRECT(ADDRESS(1,6,1,0,"KeySet"),0),":","""",TEXT(valueMaker!G564,"yyyy/m/d"),"""")</f>
        <v>tanjyoubi:"2019/9/9"</v>
      </c>
      <c r="H564" t="str" cm="1">
        <f t="array" aca="1" ref="H564" ca="1">CONCATENATE(INDIRECT(ADDRESS(1,6,1,0,"KeySet"),0),":","""",TEXT(valueMaker!H564,"yyyy/m/d"),"""")</f>
        <v>tanjyoubi:"2022/9/8"</v>
      </c>
      <c r="I564" t="str" cm="1">
        <f t="array" aca="1" ref="I564" ca="1">CONCATENATE(INDIRECT(ADDRESS(1,9,1,0,"KeySet"),0),":","""",valueMaker!I564,"""")</f>
        <v>denwaBangou:"090-4137-1472"</v>
      </c>
      <c r="J564" t="str" cm="1">
        <f t="array" aca="1" ref="J564" ca="1">CONCATENATE(INDIRECT(ADDRESS(1,10,1,0,"KeySet"),0),":","""",valueMaker!J564,"""")</f>
        <v>mailAddress:"Wu_Qin_Xi_43717@outlook.jp.co"</v>
      </c>
      <c r="K564" t="str" cm="1">
        <f t="array" aca="1" ref="K564" ca="1">CONCATENATE(INDIRECT(ADDRESS(1,11,1,0,"KeySet"),0),":","""",valueMaker!K564,"""")</f>
        <v>kaninSyubetu:"高級"</v>
      </c>
      <c r="L564" t="str" cm="1">
        <f t="array" aca="1" ref="L564" ca="1">CONCATENATE(INDIRECT(ADDRESS(1,12,1,0,"KeySet"),0),":","""",valueMaker!L564,"""")</f>
        <v>kaninKengenWB:"有り"</v>
      </c>
      <c r="M564" t="str" cm="1">
        <f t="array" aca="1" ref="M564" ca="1">CONCATENATE(INDIRECT(ADDRESS(1,13,1,0,"KeySet"),0),":","""",valueMaker!M564,"""")</f>
        <v>wakibiri:"10%"</v>
      </c>
      <c r="N564" t="str" cm="1">
        <f t="array" aca="1" ref="N564" ca="1">CONCATENATE(INDIRECT(ADDRESS(1,14,1,0,"KeySet"),0),":","""",valueMaker!N564,"""")</f>
        <v>kaninKengenPoint:"有り"</v>
      </c>
      <c r="O564" t="str" cm="1">
        <f t="array" aca="1" ref="O564" ca="1">CONCATENATE(INDIRECT(ADDRESS(1,15,1,0,"KeySet"),0),":","""",valueMaker!O564,"""")</f>
        <v>point:"998"</v>
      </c>
      <c r="P564" t="str" cm="1">
        <f t="array" aca="1" ref="P564" ca="1">CONCATENATE(INDIRECT(ADDRESS(1,16,1,0,"KeySet"),0),":","""",valueMaker!P564,"""")</f>
        <v>bikou:""</v>
      </c>
    </row>
    <row r="565" spans="1:16">
      <c r="A565" t="str" cm="1">
        <f t="array" aca="1" ref="A565" ca="1">CONCATENATE(INDIRECT(ADDRESS(1,1,1,0,"KeySet"),0),":","""",valueMaker!A565,"""")</f>
        <v>kainBangou:"TD10564"</v>
      </c>
      <c r="B565" t="str" cm="1">
        <f t="array" aca="1" ref="B565" ca="1">CONCATENATE(INDIRECT(ADDRESS(1,2,1,0,"KeySet"),0),":","""",valueMaker!B565,"""")</f>
        <v>kainMeiKanji:"楊經能"</v>
      </c>
      <c r="C565" t="str" cm="1">
        <f t="array" aca="1" ref="C565" ca="1">CONCATENATE(INDIRECT(ADDRESS(1,3,1,0,"KeySet"),0),":","""",valueMaker!C565,"""")</f>
        <v>kainMeiKana:"ﾔｰﾝ ｼﾞｰﾝ ﾇｵﾝ"</v>
      </c>
      <c r="D565" t="str" cm="1">
        <f t="array" aca="1" ref="D565" ca="1">CONCATENATE(INDIRECT(ADDRESS(1,4,1,0,"KeySet"),0),":","""",valueMaker!D565,"""")</f>
        <v>kainMeiEn:"Yang Jing Neng"</v>
      </c>
      <c r="E565" t="str" cm="1">
        <f t="array" aca="1" ref="E565" ca="1">CONCATENATE(INDIRECT(ADDRESS(1,5,1,0,"KeySet"),0),":","""",valueMaker!E565,"""")</f>
        <v>kainGender:"女性"</v>
      </c>
      <c r="F565" t="str" cm="1">
        <f t="array" aca="1" ref="F565" ca="1">CONCATENATE(INDIRECT(ADDRESS(1,6,1,0,"KeySet"),0),":","""",TEXT(valueMaker!F565,"yyyy/m/d"),"""")</f>
        <v>tanjyoubi:"1976/8/21"</v>
      </c>
      <c r="G565" t="str" cm="1">
        <f t="array" aca="1" ref="G565" ca="1">CONCATENATE(INDIRECT(ADDRESS(1,6,1,0,"KeySet"),0),":","""",TEXT(valueMaker!G565,"yyyy/m/d"),"""")</f>
        <v>tanjyoubi:"2016/10/4"</v>
      </c>
      <c r="H565" t="str" cm="1">
        <f t="array" aca="1" ref="H565" ca="1">CONCATENATE(INDIRECT(ADDRESS(1,6,1,0,"KeySet"),0),":","""",TEXT(valueMaker!H565,"yyyy/m/d"),"""")</f>
        <v>tanjyoubi:"2017/10/4"</v>
      </c>
      <c r="I565" t="str" cm="1">
        <f t="array" aca="1" ref="I565" ca="1">CONCATENATE(INDIRECT(ADDRESS(1,9,1,0,"KeySet"),0),":","""",valueMaker!I565,"""")</f>
        <v>denwaBangou:"090-3006-3594"</v>
      </c>
      <c r="J565" t="str" cm="1">
        <f t="array" aca="1" ref="J565" ca="1">CONCATENATE(INDIRECT(ADDRESS(1,10,1,0,"KeySet"),0),":","""",valueMaker!J565,"""")</f>
        <v>mailAddress:"Yang_Jing_Neng_42647@outlook.jp.co"</v>
      </c>
      <c r="K565" t="str" cm="1">
        <f t="array" aca="1" ref="K565" ca="1">CONCATENATE(INDIRECT(ADDRESS(1,11,1,0,"KeySet"),0),":","""",valueMaker!K565,"""")</f>
        <v>kaninSyubetu:"普通"</v>
      </c>
      <c r="L565" t="str" cm="1">
        <f t="array" aca="1" ref="L565" ca="1">CONCATENATE(INDIRECT(ADDRESS(1,12,1,0,"KeySet"),0),":","""",valueMaker!L565,"""")</f>
        <v>kaninKengenWB:"有り"</v>
      </c>
      <c r="M565" t="str" cm="1">
        <f t="array" aca="1" ref="M565" ca="1">CONCATENATE(INDIRECT(ADDRESS(1,13,1,0,"KeySet"),0),":","""",valueMaker!M565,"""")</f>
        <v>wakibiri:"5%"</v>
      </c>
      <c r="N565" t="str" cm="1">
        <f t="array" aca="1" ref="N565" ca="1">CONCATENATE(INDIRECT(ADDRESS(1,14,1,0,"KeySet"),0),":","""",valueMaker!N565,"""")</f>
        <v>kaninKengenPoint:"有り"</v>
      </c>
      <c r="O565" t="str" cm="1">
        <f t="array" aca="1" ref="O565" ca="1">CONCATENATE(INDIRECT(ADDRESS(1,15,1,0,"KeySet"),0),":","""",valueMaker!O565,"""")</f>
        <v>point:"55"</v>
      </c>
      <c r="P565" t="str" cm="1">
        <f t="array" aca="1" ref="P565" ca="1">CONCATENATE(INDIRECT(ADDRESS(1,16,1,0,"KeySet"),0),":","""",valueMaker!P565,"""")</f>
        <v>bikou:""</v>
      </c>
    </row>
    <row r="566" spans="1:16">
      <c r="A566" t="str" cm="1">
        <f t="array" aca="1" ref="A566" ca="1">CONCATENATE(INDIRECT(ADDRESS(1,1,1,0,"KeySet"),0),":","""",valueMaker!A566,"""")</f>
        <v>kainBangou:"TD10565"</v>
      </c>
      <c r="B566" t="str" cm="1">
        <f t="array" aca="1" ref="B566" ca="1">CONCATENATE(INDIRECT(ADDRESS(1,2,1,0,"KeySet"),0),":","""",valueMaker!B566,"""")</f>
        <v>kainMeiKanji:"謝皓聽"</v>
      </c>
      <c r="C566" t="str" cm="1">
        <f t="array" aca="1" ref="C566" ca="1">CONCATENATE(INDIRECT(ADDRESS(1,3,1,0,"KeySet"),0),":","""",valueMaker!C566,"""")</f>
        <v>kainMeiKana:"ｼｴ ﾊｵ ﾃｨｰﾝ"</v>
      </c>
      <c r="D566" t="str" cm="1">
        <f t="array" aca="1" ref="D566" ca="1">CONCATENATE(INDIRECT(ADDRESS(1,4,1,0,"KeySet"),0),":","""",valueMaker!D566,"""")</f>
        <v>kainMeiEn:"Xie Hao Ting"</v>
      </c>
      <c r="E566" t="str" cm="1">
        <f t="array" aca="1" ref="E566" ca="1">CONCATENATE(INDIRECT(ADDRESS(1,5,1,0,"KeySet"),0),":","""",valueMaker!E566,"""")</f>
        <v>kainGender:"男性"</v>
      </c>
      <c r="F566" t="str" cm="1">
        <f t="array" aca="1" ref="F566" ca="1">CONCATENATE(INDIRECT(ADDRESS(1,6,1,0,"KeySet"),0),":","""",TEXT(valueMaker!F566,"yyyy/m/d"),"""")</f>
        <v>tanjyoubi:"1982/7/9"</v>
      </c>
      <c r="G566" t="str" cm="1">
        <f t="array" aca="1" ref="G566" ca="1">CONCATENATE(INDIRECT(ADDRESS(1,6,1,0,"KeySet"),0),":","""",TEXT(valueMaker!G566,"yyyy/m/d"),"""")</f>
        <v>tanjyoubi:"2011/5/1"</v>
      </c>
      <c r="H566" t="str" cm="1">
        <f t="array" aca="1" ref="H566" ca="1">CONCATENATE(INDIRECT(ADDRESS(1,6,1,0,"KeySet"),0),":","""",TEXT(valueMaker!H566,"yyyy/m/d"),"""")</f>
        <v>tanjyoubi:"2014/4/30"</v>
      </c>
      <c r="I566" t="str" cm="1">
        <f t="array" aca="1" ref="I566" ca="1">CONCATENATE(INDIRECT(ADDRESS(1,9,1,0,"KeySet"),0),":","""",valueMaker!I566,"""")</f>
        <v>denwaBangou:"080-0688-7478"</v>
      </c>
      <c r="J566" t="str" cm="1">
        <f t="array" aca="1" ref="J566" ca="1">CONCATENATE(INDIRECT(ADDRESS(1,10,1,0,"KeySet"),0),":","""",valueMaker!J566,"""")</f>
        <v>mailAddress:"Xie_Hao_Ting_40664@outlook.jp.co"</v>
      </c>
      <c r="K566" t="str" cm="1">
        <f t="array" aca="1" ref="K566" ca="1">CONCATENATE(INDIRECT(ADDRESS(1,11,1,0,"KeySet"),0),":","""",valueMaker!K566,"""")</f>
        <v>kaninSyubetu:"高級"</v>
      </c>
      <c r="L566" t="str" cm="1">
        <f t="array" aca="1" ref="L566" ca="1">CONCATENATE(INDIRECT(ADDRESS(1,12,1,0,"KeySet"),0),":","""",valueMaker!L566,"""")</f>
        <v>kaninKengenWB:"-"</v>
      </c>
      <c r="M566" t="str" cm="1">
        <f t="array" aca="1" ref="M566" ca="1">CONCATENATE(INDIRECT(ADDRESS(1,13,1,0,"KeySet"),0),":","""",valueMaker!M566,"""")</f>
        <v>wakibiri:"-"</v>
      </c>
      <c r="N566" t="str" cm="1">
        <f t="array" aca="1" ref="N566" ca="1">CONCATENATE(INDIRECT(ADDRESS(1,14,1,0,"KeySet"),0),":","""",valueMaker!N566,"""")</f>
        <v>kaninKengenPoint:"有り"</v>
      </c>
      <c r="O566" t="str" cm="1">
        <f t="array" aca="1" ref="O566" ca="1">CONCATENATE(INDIRECT(ADDRESS(1,15,1,0,"KeySet"),0),":","""",valueMaker!O566,"""")</f>
        <v>point:"383"</v>
      </c>
      <c r="P566" t="str" cm="1">
        <f t="array" aca="1" ref="P566" ca="1">CONCATENATE(INDIRECT(ADDRESS(1,16,1,0,"KeySet"),0),":","""",valueMaker!P566,"""")</f>
        <v>bikou:""</v>
      </c>
    </row>
    <row r="567" spans="1:16">
      <c r="A567" t="str" cm="1">
        <f t="array" aca="1" ref="A567" ca="1">CONCATENATE(INDIRECT(ADDRESS(1,1,1,0,"KeySet"),0),":","""",valueMaker!A567,"""")</f>
        <v>kainBangou:"TD10566"</v>
      </c>
      <c r="B567" t="str" cm="1">
        <f t="array" aca="1" ref="B567" ca="1">CONCATENATE(INDIRECT(ADDRESS(1,2,1,0,"KeySet"),0),":","""",valueMaker!B567,"""")</f>
        <v>kainMeiKanji:"吳均經"</v>
      </c>
      <c r="C567" t="str" cm="1">
        <f t="array" aca="1" ref="C567" ca="1">CONCATENATE(INDIRECT(ADDRESS(1,3,1,0,"KeySet"),0),":","""",valueMaker!C567,"""")</f>
        <v>kainMeiKana:"ｳｰ ｼﾞｭｲﾝ ｼﾞｰﾝ"</v>
      </c>
      <c r="D567" t="str" cm="1">
        <f t="array" aca="1" ref="D567" ca="1">CONCATENATE(INDIRECT(ADDRESS(1,4,1,0,"KeySet"),0),":","""",valueMaker!D567,"""")</f>
        <v>kainMeiEn:"Wu Jun Jing"</v>
      </c>
      <c r="E567" t="str" cm="1">
        <f t="array" aca="1" ref="E567" ca="1">CONCATENATE(INDIRECT(ADDRESS(1,5,1,0,"KeySet"),0),":","""",valueMaker!E567,"""")</f>
        <v>kainGender:"女性"</v>
      </c>
      <c r="F567" t="str" cm="1">
        <f t="array" aca="1" ref="F567" ca="1">CONCATENATE(INDIRECT(ADDRESS(1,6,1,0,"KeySet"),0),":","""",TEXT(valueMaker!F567,"yyyy/m/d"),"""")</f>
        <v>tanjyoubi:"1973/8/13"</v>
      </c>
      <c r="G567" t="str" cm="1">
        <f t="array" aca="1" ref="G567" ca="1">CONCATENATE(INDIRECT(ADDRESS(1,6,1,0,"KeySet"),0),":","""",TEXT(valueMaker!G567,"yyyy/m/d"),"""")</f>
        <v>tanjyoubi:"1997/8/28"</v>
      </c>
      <c r="H567" t="str" cm="1">
        <f t="array" aca="1" ref="H567" ca="1">CONCATENATE(INDIRECT(ADDRESS(1,6,1,0,"KeySet"),0),":","""",TEXT(valueMaker!H567,"yyyy/m/d"),"""")</f>
        <v>tanjyoubi:"2000/8/27"</v>
      </c>
      <c r="I567" t="str" cm="1">
        <f t="array" aca="1" ref="I567" ca="1">CONCATENATE(INDIRECT(ADDRESS(1,9,1,0,"KeySet"),0),":","""",valueMaker!I567,"""")</f>
        <v>denwaBangou:"080-4243-2730"</v>
      </c>
      <c r="J567" t="str" cm="1">
        <f t="array" aca="1" ref="J567" ca="1">CONCATENATE(INDIRECT(ADDRESS(1,10,1,0,"KeySet"),0),":","""",valueMaker!J567,"""")</f>
        <v>mailAddress:"Wu_Jun_Jing_35670@outlook.jp.co"</v>
      </c>
      <c r="K567" t="str" cm="1">
        <f t="array" aca="1" ref="K567" ca="1">CONCATENATE(INDIRECT(ADDRESS(1,11,1,0,"KeySet"),0),":","""",valueMaker!K567,"""")</f>
        <v>kaninSyubetu:"普通"</v>
      </c>
      <c r="L567" t="str" cm="1">
        <f t="array" aca="1" ref="L567" ca="1">CONCATENATE(INDIRECT(ADDRESS(1,12,1,0,"KeySet"),0),":","""",valueMaker!L567,"""")</f>
        <v>kaninKengenWB:"有り"</v>
      </c>
      <c r="M567" t="str" cm="1">
        <f t="array" aca="1" ref="M567" ca="1">CONCATENATE(INDIRECT(ADDRESS(1,13,1,0,"KeySet"),0),":","""",valueMaker!M567,"""")</f>
        <v>wakibiri:"5%"</v>
      </c>
      <c r="N567" t="str" cm="1">
        <f t="array" aca="1" ref="N567" ca="1">CONCATENATE(INDIRECT(ADDRESS(1,14,1,0,"KeySet"),0),":","""",valueMaker!N567,"""")</f>
        <v>kaninKengenPoint:"有り"</v>
      </c>
      <c r="O567" t="str" cm="1">
        <f t="array" aca="1" ref="O567" ca="1">CONCATENATE(INDIRECT(ADDRESS(1,15,1,0,"KeySet"),0),":","""",valueMaker!O567,"""")</f>
        <v>point:"139"</v>
      </c>
      <c r="P567" t="str" cm="1">
        <f t="array" aca="1" ref="P567" ca="1">CONCATENATE(INDIRECT(ADDRESS(1,16,1,0,"KeySet"),0),":","""",valueMaker!P567,"""")</f>
        <v>bikou:""</v>
      </c>
    </row>
    <row r="568" spans="1:16">
      <c r="A568" t="str" cm="1">
        <f t="array" aca="1" ref="A568" ca="1">CONCATENATE(INDIRECT(ADDRESS(1,1,1,0,"KeySet"),0),":","""",valueMaker!A568,"""")</f>
        <v>kainBangou:"TD10567"</v>
      </c>
      <c r="B568" t="str" cm="1">
        <f t="array" aca="1" ref="B568" ca="1">CONCATENATE(INDIRECT(ADDRESS(1,2,1,0,"KeySet"),0),":","""",valueMaker!B568,"""")</f>
        <v>kainMeiKanji:"宋網聰"</v>
      </c>
      <c r="C568" t="str" cm="1">
        <f t="array" aca="1" ref="C568" ca="1">CONCATENATE(INDIRECT(ADDRESS(1,3,1,0,"KeySet"),0),":","""",valueMaker!C568,"""")</f>
        <v>kainMeiKana:"ｿｰﾝ ﾜｰﾝ ｯｵｰﾝ"</v>
      </c>
      <c r="D568" t="str" cm="1">
        <f t="array" aca="1" ref="D568" ca="1">CONCATENATE(INDIRECT(ADDRESS(1,4,1,0,"KeySet"),0),":","""",valueMaker!D568,"""")</f>
        <v>kainMeiEn:"Song Wang Cong"</v>
      </c>
      <c r="E568" t="str" cm="1">
        <f t="array" aca="1" ref="E568" ca="1">CONCATENATE(INDIRECT(ADDRESS(1,5,1,0,"KeySet"),0),":","""",valueMaker!E568,"""")</f>
        <v>kainGender:"女性"</v>
      </c>
      <c r="F568" t="str" cm="1">
        <f t="array" aca="1" ref="F568" ca="1">CONCATENATE(INDIRECT(ADDRESS(1,6,1,0,"KeySet"),0),":","""",TEXT(valueMaker!F568,"yyyy/m/d"),"""")</f>
        <v>tanjyoubi:"2002/1/25"</v>
      </c>
      <c r="G568" t="str" cm="1">
        <f t="array" aca="1" ref="G568" ca="1">CONCATENATE(INDIRECT(ADDRESS(1,6,1,0,"KeySet"),0),":","""",TEXT(valueMaker!G568,"yyyy/m/d"),"""")</f>
        <v>tanjyoubi:"2020/6/22"</v>
      </c>
      <c r="H568" t="str" cm="1">
        <f t="array" aca="1" ref="H568" ca="1">CONCATENATE(INDIRECT(ADDRESS(1,6,1,0,"KeySet"),0),":","""",TEXT(valueMaker!H568,"yyyy/m/d"),"""")</f>
        <v>tanjyoubi:"2021/6/22"</v>
      </c>
      <c r="I568" t="str" cm="1">
        <f t="array" aca="1" ref="I568" ca="1">CONCATENATE(INDIRECT(ADDRESS(1,9,1,0,"KeySet"),0),":","""",valueMaker!I568,"""")</f>
        <v>denwaBangou:"080-5986-7063"</v>
      </c>
      <c r="J568" t="str" cm="1">
        <f t="array" aca="1" ref="J568" ca="1">CONCATENATE(INDIRECT(ADDRESS(1,10,1,0,"KeySet"),0),":","""",valueMaker!J568,"""")</f>
        <v>mailAddress:"Song_Wang_Cong_44004@outlook.jp.co"</v>
      </c>
      <c r="K568" t="str" cm="1">
        <f t="array" aca="1" ref="K568" ca="1">CONCATENATE(INDIRECT(ADDRESS(1,11,1,0,"KeySet"),0),":","""",valueMaker!K568,"""")</f>
        <v>kaninSyubetu:"高級"</v>
      </c>
      <c r="L568" t="str" cm="1">
        <f t="array" aca="1" ref="L568" ca="1">CONCATENATE(INDIRECT(ADDRESS(1,12,1,0,"KeySet"),0),":","""",valueMaker!L568,"""")</f>
        <v>kaninKengenWB:"有り"</v>
      </c>
      <c r="M568" t="str" cm="1">
        <f t="array" aca="1" ref="M568" ca="1">CONCATENATE(INDIRECT(ADDRESS(1,13,1,0,"KeySet"),0),":","""",valueMaker!M568,"""")</f>
        <v>wakibiri:"10%"</v>
      </c>
      <c r="N568" t="str" cm="1">
        <f t="array" aca="1" ref="N568" ca="1">CONCATENATE(INDIRECT(ADDRESS(1,14,1,0,"KeySet"),0),":","""",valueMaker!N568,"""")</f>
        <v>kaninKengenPoint:"-"</v>
      </c>
      <c r="O568" t="str" cm="1">
        <f t="array" aca="1" ref="O568" ca="1">CONCATENATE(INDIRECT(ADDRESS(1,15,1,0,"KeySet"),0),":","""",valueMaker!O568,"""")</f>
        <v>point:"-"</v>
      </c>
      <c r="P568" t="str" cm="1">
        <f t="array" aca="1" ref="P568" ca="1">CONCATENATE(INDIRECT(ADDRESS(1,16,1,0,"KeySet"),0),":","""",valueMaker!P568,"""")</f>
        <v>bikou:""</v>
      </c>
    </row>
    <row r="569" spans="1:16">
      <c r="A569" t="str" cm="1">
        <f t="array" aca="1" ref="A569" ca="1">CONCATENATE(INDIRECT(ADDRESS(1,1,1,0,"KeySet"),0),":","""",valueMaker!A569,"""")</f>
        <v>kainBangou:"TD10568"</v>
      </c>
      <c r="B569" t="str" cm="1">
        <f t="array" aca="1" ref="B569" ca="1">CONCATENATE(INDIRECT(ADDRESS(1,2,1,0,"KeySet"),0),":","""",valueMaker!B569,"""")</f>
        <v>kainMeiKanji:"馬金訊"</v>
      </c>
      <c r="C569" t="str" cm="1">
        <f t="array" aca="1" ref="C569" ca="1">CONCATENATE(INDIRECT(ADDRESS(1,3,1,0,"KeySet"),0),":","""",valueMaker!C569,"""")</f>
        <v>kainMeiKana:"ﾏｰ ｼﾞﾝ ｼｭｲﾝ"</v>
      </c>
      <c r="D569" t="str" cm="1">
        <f t="array" aca="1" ref="D569" ca="1">CONCATENATE(INDIRECT(ADDRESS(1,4,1,0,"KeySet"),0),":","""",valueMaker!D569,"""")</f>
        <v>kainMeiEn:"Ma Jin Xun"</v>
      </c>
      <c r="E569" t="str" cm="1">
        <f t="array" aca="1" ref="E569" ca="1">CONCATENATE(INDIRECT(ADDRESS(1,5,1,0,"KeySet"),0),":","""",valueMaker!E569,"""")</f>
        <v>kainGender:"女性"</v>
      </c>
      <c r="F569" t="str" cm="1">
        <f t="array" aca="1" ref="F569" ca="1">CONCATENATE(INDIRECT(ADDRESS(1,6,1,0,"KeySet"),0),":","""",TEXT(valueMaker!F569,"yyyy/m/d"),"""")</f>
        <v>tanjyoubi:"1984/10/26"</v>
      </c>
      <c r="G569" t="str" cm="1">
        <f t="array" aca="1" ref="G569" ca="1">CONCATENATE(INDIRECT(ADDRESS(1,6,1,0,"KeySet"),0),":","""",TEXT(valueMaker!G569,"yyyy/m/d"),"""")</f>
        <v>tanjyoubi:"2007/12/23"</v>
      </c>
      <c r="H569" t="str" cm="1">
        <f t="array" aca="1" ref="H569" ca="1">CONCATENATE(INDIRECT(ADDRESS(1,6,1,0,"KeySet"),0),":","""",TEXT(valueMaker!H569,"yyyy/m/d"),"""")</f>
        <v>tanjyoubi:"2009/12/22"</v>
      </c>
      <c r="I569" t="str" cm="1">
        <f t="array" aca="1" ref="I569" ca="1">CONCATENATE(INDIRECT(ADDRESS(1,9,1,0,"KeySet"),0),":","""",valueMaker!I569,"""")</f>
        <v>denwaBangou:"090-5425-0948"</v>
      </c>
      <c r="J569" t="str" cm="1">
        <f t="array" aca="1" ref="J569" ca="1">CONCATENATE(INDIRECT(ADDRESS(1,10,1,0,"KeySet"),0),":","""",valueMaker!J569,"""")</f>
        <v>mailAddress:"Ma_Jin_Xun_39439@outlook.jp.co"</v>
      </c>
      <c r="K569" t="str" cm="1">
        <f t="array" aca="1" ref="K569" ca="1">CONCATENATE(INDIRECT(ADDRESS(1,11,1,0,"KeySet"),0),":","""",valueMaker!K569,"""")</f>
        <v>kaninSyubetu:"普通"</v>
      </c>
      <c r="L569" t="str" cm="1">
        <f t="array" aca="1" ref="L569" ca="1">CONCATENATE(INDIRECT(ADDRESS(1,12,1,0,"KeySet"),0),":","""",valueMaker!L569,"""")</f>
        <v>kaninKengenWB:"有り"</v>
      </c>
      <c r="M569" t="str" cm="1">
        <f t="array" aca="1" ref="M569" ca="1">CONCATENATE(INDIRECT(ADDRESS(1,13,1,0,"KeySet"),0),":","""",valueMaker!M569,"""")</f>
        <v>wakibiri:"5%"</v>
      </c>
      <c r="N569" t="str" cm="1">
        <f t="array" aca="1" ref="N569" ca="1">CONCATENATE(INDIRECT(ADDRESS(1,14,1,0,"KeySet"),0),":","""",valueMaker!N569,"""")</f>
        <v>kaninKengenPoint:"有り"</v>
      </c>
      <c r="O569" t="str" cm="1">
        <f t="array" aca="1" ref="O569" ca="1">CONCATENATE(INDIRECT(ADDRESS(1,15,1,0,"KeySet"),0),":","""",valueMaker!O569,"""")</f>
        <v>point:"747"</v>
      </c>
      <c r="P569" t="str" cm="1">
        <f t="array" aca="1" ref="P569" ca="1">CONCATENATE(INDIRECT(ADDRESS(1,16,1,0,"KeySet"),0),":","""",valueMaker!P569,"""")</f>
        <v>bikou:""</v>
      </c>
    </row>
    <row r="570" spans="1:16">
      <c r="A570" t="str" cm="1">
        <f t="array" aca="1" ref="A570" ca="1">CONCATENATE(INDIRECT(ADDRESS(1,1,1,0,"KeySet"),0),":","""",valueMaker!A570,"""")</f>
        <v>kainBangou:"TD10569"</v>
      </c>
      <c r="B570" t="str" cm="1">
        <f t="array" aca="1" ref="B570" ca="1">CONCATENATE(INDIRECT(ADDRESS(1,2,1,0,"KeySet"),0),":","""",valueMaker!B570,"""")</f>
        <v>kainMeiKanji:"胡琪晶"</v>
      </c>
      <c r="C570" t="str" cm="1">
        <f t="array" aca="1" ref="C570" ca="1">CONCATENATE(INDIRECT(ADDRESS(1,3,1,0,"KeySet"),0),":","""",valueMaker!C570,"""")</f>
        <v>kainMeiKana:"ﾎｩ ﾁｲ ｼﾞｰﾝ"</v>
      </c>
      <c r="D570" t="str" cm="1">
        <f t="array" aca="1" ref="D570" ca="1">CONCATENATE(INDIRECT(ADDRESS(1,4,1,0,"KeySet"),0),":","""",valueMaker!D570,"""")</f>
        <v>kainMeiEn:"Hu Qi Jing"</v>
      </c>
      <c r="E570" t="str" cm="1">
        <f t="array" aca="1" ref="E570" ca="1">CONCATENATE(INDIRECT(ADDRESS(1,5,1,0,"KeySet"),0),":","""",valueMaker!E570,"""")</f>
        <v>kainGender:"男性"</v>
      </c>
      <c r="F570" t="str" cm="1">
        <f t="array" aca="1" ref="F570" ca="1">CONCATENATE(INDIRECT(ADDRESS(1,6,1,0,"KeySet"),0),":","""",TEXT(valueMaker!F570,"yyyy/m/d"),"""")</f>
        <v>tanjyoubi:"1964/6/9"</v>
      </c>
      <c r="G570" t="str" cm="1">
        <f t="array" aca="1" ref="G570" ca="1">CONCATENATE(INDIRECT(ADDRESS(1,6,1,0,"KeySet"),0),":","""",TEXT(valueMaker!G570,"yyyy/m/d"),"""")</f>
        <v>tanjyoubi:"1996/4/26"</v>
      </c>
      <c r="H570" t="str" cm="1">
        <f t="array" aca="1" ref="H570" ca="1">CONCATENATE(INDIRECT(ADDRESS(1,6,1,0,"KeySet"),0),":","""",TEXT(valueMaker!H570,"yyyy/m/d"),"""")</f>
        <v>tanjyoubi:"1999/4/26"</v>
      </c>
      <c r="I570" t="str" cm="1">
        <f t="array" aca="1" ref="I570" ca="1">CONCATENATE(INDIRECT(ADDRESS(1,9,1,0,"KeySet"),0),":","""",valueMaker!I570,"""")</f>
        <v>denwaBangou:"090-8660-3069"</v>
      </c>
      <c r="J570" t="str" cm="1">
        <f t="array" aca="1" ref="J570" ca="1">CONCATENATE(INDIRECT(ADDRESS(1,10,1,0,"KeySet"),0),":","""",valueMaker!J570,"""")</f>
        <v>mailAddress:"Hu_Qi_Jing_35181@outlook.jp.co"</v>
      </c>
      <c r="K570" t="str" cm="1">
        <f t="array" aca="1" ref="K570" ca="1">CONCATENATE(INDIRECT(ADDRESS(1,11,1,0,"KeySet"),0),":","""",valueMaker!K570,"""")</f>
        <v>kaninSyubetu:"高級"</v>
      </c>
      <c r="L570" t="str" cm="1">
        <f t="array" aca="1" ref="L570" ca="1">CONCATENATE(INDIRECT(ADDRESS(1,12,1,0,"KeySet"),0),":","""",valueMaker!L570,"""")</f>
        <v>kaninKengenWB:"有り"</v>
      </c>
      <c r="M570" t="str" cm="1">
        <f t="array" aca="1" ref="M570" ca="1">CONCATENATE(INDIRECT(ADDRESS(1,13,1,0,"KeySet"),0),":","""",valueMaker!M570,"""")</f>
        <v>wakibiri:"10%"</v>
      </c>
      <c r="N570" t="str" cm="1">
        <f t="array" aca="1" ref="N570" ca="1">CONCATENATE(INDIRECT(ADDRESS(1,14,1,0,"KeySet"),0),":","""",valueMaker!N570,"""")</f>
        <v>kaninKengenPoint:"有り"</v>
      </c>
      <c r="O570" t="str" cm="1">
        <f t="array" aca="1" ref="O570" ca="1">CONCATENATE(INDIRECT(ADDRESS(1,15,1,0,"KeySet"),0),":","""",valueMaker!O570,"""")</f>
        <v>point:"965"</v>
      </c>
      <c r="P570" t="str" cm="1">
        <f t="array" aca="1" ref="P570" ca="1">CONCATENATE(INDIRECT(ADDRESS(1,16,1,0,"KeySet"),0),":","""",valueMaker!P570,"""")</f>
        <v>bikou:""</v>
      </c>
    </row>
    <row r="571" spans="1:16">
      <c r="A571" t="str" cm="1">
        <f t="array" aca="1" ref="A571" ca="1">CONCATENATE(INDIRECT(ADDRESS(1,1,1,0,"KeySet"),0),":","""",valueMaker!A571,"""")</f>
        <v>kainBangou:"TD10570"</v>
      </c>
      <c r="B571" t="str" cm="1">
        <f t="array" aca="1" ref="B571" ca="1">CONCATENATE(INDIRECT(ADDRESS(1,2,1,0,"KeySet"),0),":","""",valueMaker!B571,"""")</f>
        <v>kainMeiKanji:"李木納"</v>
      </c>
      <c r="C571" t="str" cm="1">
        <f t="array" aca="1" ref="C571" ca="1">CONCATENATE(INDIRECT(ADDRESS(1,3,1,0,"KeySet"),0),":","""",valueMaker!C571,"""")</f>
        <v>kainMeiKana:"ﾘｰ ﾑｩ ﾅｰ"</v>
      </c>
      <c r="D571" t="str" cm="1">
        <f t="array" aca="1" ref="D571" ca="1">CONCATENATE(INDIRECT(ADDRESS(1,4,1,0,"KeySet"),0),":","""",valueMaker!D571,"""")</f>
        <v>kainMeiEn:"Li Mu Na"</v>
      </c>
      <c r="E571" t="str" cm="1">
        <f t="array" aca="1" ref="E571" ca="1">CONCATENATE(INDIRECT(ADDRESS(1,5,1,0,"KeySet"),0),":","""",valueMaker!E571,"""")</f>
        <v>kainGender:"女性"</v>
      </c>
      <c r="F571" t="str" cm="1">
        <f t="array" aca="1" ref="F571" ca="1">CONCATENATE(INDIRECT(ADDRESS(1,6,1,0,"KeySet"),0),":","""",TEXT(valueMaker!F571,"yyyy/m/d"),"""")</f>
        <v>tanjyoubi:"1968/3/10"</v>
      </c>
      <c r="G571" t="str" cm="1">
        <f t="array" aca="1" ref="G571" ca="1">CONCATENATE(INDIRECT(ADDRESS(1,6,1,0,"KeySet"),0),":","""",TEXT(valueMaker!G571,"yyyy/m/d"),"""")</f>
        <v>tanjyoubi:"1986/6/20"</v>
      </c>
      <c r="H571" t="str" cm="1">
        <f t="array" aca="1" ref="H571" ca="1">CONCATENATE(INDIRECT(ADDRESS(1,6,1,0,"KeySet"),0),":","""",TEXT(valueMaker!H571,"yyyy/m/d"),"""")</f>
        <v>tanjyoubi:"1987/6/20"</v>
      </c>
      <c r="I571" t="str" cm="1">
        <f t="array" aca="1" ref="I571" ca="1">CONCATENATE(INDIRECT(ADDRESS(1,9,1,0,"KeySet"),0),":","""",valueMaker!I571,"""")</f>
        <v>denwaBangou:"090-1723-1860"</v>
      </c>
      <c r="J571" t="str" cm="1">
        <f t="array" aca="1" ref="J571" ca="1">CONCATENATE(INDIRECT(ADDRESS(1,10,1,0,"KeySet"),0),":","""",valueMaker!J571,"""")</f>
        <v>mailAddress:"Li_Mu_Na_31583@outlook.jp.co"</v>
      </c>
      <c r="K571" t="str" cm="1">
        <f t="array" aca="1" ref="K571" ca="1">CONCATENATE(INDIRECT(ADDRESS(1,11,1,0,"KeySet"),0),":","""",valueMaker!K571,"""")</f>
        <v>kaninSyubetu:"普通"</v>
      </c>
      <c r="L571" t="str" cm="1">
        <f t="array" aca="1" ref="L571" ca="1">CONCATENATE(INDIRECT(ADDRESS(1,12,1,0,"KeySet"),0),":","""",valueMaker!L571,"""")</f>
        <v>kaninKengenWB:"有り"</v>
      </c>
      <c r="M571" t="str" cm="1">
        <f t="array" aca="1" ref="M571" ca="1">CONCATENATE(INDIRECT(ADDRESS(1,13,1,0,"KeySet"),0),":","""",valueMaker!M571,"""")</f>
        <v>wakibiri:"5%"</v>
      </c>
      <c r="N571" t="str" cm="1">
        <f t="array" aca="1" ref="N571" ca="1">CONCATENATE(INDIRECT(ADDRESS(1,14,1,0,"KeySet"),0),":","""",valueMaker!N571,"""")</f>
        <v>kaninKengenPoint:"-"</v>
      </c>
      <c r="O571" t="str" cm="1">
        <f t="array" aca="1" ref="O571" ca="1">CONCATENATE(INDIRECT(ADDRESS(1,15,1,0,"KeySet"),0),":","""",valueMaker!O571,"""")</f>
        <v>point:"-"</v>
      </c>
      <c r="P571" t="str" cm="1">
        <f t="array" aca="1" ref="P571" ca="1">CONCATENATE(INDIRECT(ADDRESS(1,16,1,0,"KeySet"),0),":","""",valueMaker!P571,"""")</f>
        <v>bikou:""</v>
      </c>
    </row>
    <row r="572" spans="1:16">
      <c r="A572" t="str" cm="1">
        <f t="array" aca="1" ref="A572" ca="1">CONCATENATE(INDIRECT(ADDRESS(1,1,1,0,"KeySet"),0),":","""",valueMaker!A572,"""")</f>
        <v>kainBangou:"TD10571"</v>
      </c>
      <c r="B572" t="str" cm="1">
        <f t="array" aca="1" ref="B572" ca="1">CONCATENATE(INDIRECT(ADDRESS(1,2,1,0,"KeySet"),0),":","""",valueMaker!B572,"""")</f>
        <v>kainMeiKanji:"郭娜亞"</v>
      </c>
      <c r="C572" t="str" cm="1">
        <f t="array" aca="1" ref="C572" ca="1">CONCATENATE(INDIRECT(ADDRESS(1,3,1,0,"KeySet"),0),":","""",valueMaker!C572,"""")</f>
        <v>kainMeiKana:"ｸﾞｵ ﾅｰ ﾔｰ"</v>
      </c>
      <c r="D572" t="str" cm="1">
        <f t="array" aca="1" ref="D572" ca="1">CONCATENATE(INDIRECT(ADDRESS(1,4,1,0,"KeySet"),0),":","""",valueMaker!D572,"""")</f>
        <v>kainMeiEn:"Guo Na Ya"</v>
      </c>
      <c r="E572" t="str" cm="1">
        <f t="array" aca="1" ref="E572" ca="1">CONCATENATE(INDIRECT(ADDRESS(1,5,1,0,"KeySet"),0),":","""",valueMaker!E572,"""")</f>
        <v>kainGender:"女性"</v>
      </c>
      <c r="F572" t="str" cm="1">
        <f t="array" aca="1" ref="F572" ca="1">CONCATENATE(INDIRECT(ADDRESS(1,6,1,0,"KeySet"),0),":","""",TEXT(valueMaker!F572,"yyyy/m/d"),"""")</f>
        <v>tanjyoubi:"1990/7/15"</v>
      </c>
      <c r="G572" t="str" cm="1">
        <f t="array" aca="1" ref="G572" ca="1">CONCATENATE(INDIRECT(ADDRESS(1,6,1,0,"KeySet"),0),":","""",TEXT(valueMaker!G572,"yyyy/m/d"),"""")</f>
        <v>tanjyoubi:"2019/12/18"</v>
      </c>
      <c r="H572" t="str" cm="1">
        <f t="array" aca="1" ref="H572" ca="1">CONCATENATE(INDIRECT(ADDRESS(1,6,1,0,"KeySet"),0),":","""",TEXT(valueMaker!H572,"yyyy/m/d"),"""")</f>
        <v>tanjyoubi:"2021/12/17"</v>
      </c>
      <c r="I572" t="str" cm="1">
        <f t="array" aca="1" ref="I572" ca="1">CONCATENATE(INDIRECT(ADDRESS(1,9,1,0,"KeySet"),0),":","""",valueMaker!I572,"""")</f>
        <v>denwaBangou:"090-6351-1915"</v>
      </c>
      <c r="J572" t="str" cm="1">
        <f t="array" aca="1" ref="J572" ca="1">CONCATENATE(INDIRECT(ADDRESS(1,10,1,0,"KeySet"),0),":","""",valueMaker!J572,"""")</f>
        <v>mailAddress:"Guo_Na Ya_43817@outlook.jp.co"</v>
      </c>
      <c r="K572" t="str" cm="1">
        <f t="array" aca="1" ref="K572" ca="1">CONCATENATE(INDIRECT(ADDRESS(1,11,1,0,"KeySet"),0),":","""",valueMaker!K572,"""")</f>
        <v>kaninSyubetu:"高級"</v>
      </c>
      <c r="L572" t="str" cm="1">
        <f t="array" aca="1" ref="L572" ca="1">CONCATENATE(INDIRECT(ADDRESS(1,12,1,0,"KeySet"),0),":","""",valueMaker!L572,"""")</f>
        <v>kaninKengenWB:"-"</v>
      </c>
      <c r="M572" t="str" cm="1">
        <f t="array" aca="1" ref="M572" ca="1">CONCATENATE(INDIRECT(ADDRESS(1,13,1,0,"KeySet"),0),":","""",valueMaker!M572,"""")</f>
        <v>wakibiri:"-"</v>
      </c>
      <c r="N572" t="str" cm="1">
        <f t="array" aca="1" ref="N572" ca="1">CONCATENATE(INDIRECT(ADDRESS(1,14,1,0,"KeySet"),0),":","""",valueMaker!N572,"""")</f>
        <v>kaninKengenPoint:"有り"</v>
      </c>
      <c r="O572" t="str" cm="1">
        <f t="array" aca="1" ref="O572" ca="1">CONCATENATE(INDIRECT(ADDRESS(1,15,1,0,"KeySet"),0),":","""",valueMaker!O572,"""")</f>
        <v>point:"759"</v>
      </c>
      <c r="P572" t="str" cm="1">
        <f t="array" aca="1" ref="P572" ca="1">CONCATENATE(INDIRECT(ADDRESS(1,16,1,0,"KeySet"),0),":","""",valueMaker!P572,"""")</f>
        <v>bikou:""</v>
      </c>
    </row>
    <row r="573" spans="1:16">
      <c r="A573" t="str" cm="1">
        <f t="array" aca="1" ref="A573" ca="1">CONCATENATE(INDIRECT(ADDRESS(1,1,1,0,"KeySet"),0),":","""",valueMaker!A573,"""")</f>
        <v>kainBangou:"TD10572"</v>
      </c>
      <c r="B573" t="str" cm="1">
        <f t="array" aca="1" ref="B573" ca="1">CONCATENATE(INDIRECT(ADDRESS(1,2,1,0,"KeySet"),0),":","""",valueMaker!B573,"""")</f>
        <v>kainMeiKanji:"胡博松"</v>
      </c>
      <c r="C573" t="str" cm="1">
        <f t="array" aca="1" ref="C573" ca="1">CONCATENATE(INDIRECT(ADDRESS(1,3,1,0,"KeySet"),0),":","""",valueMaker!C573,"""")</f>
        <v>kainMeiKana:"ﾎｩ ﾎﾞｰ ｿｰﾝ"</v>
      </c>
      <c r="D573" t="str" cm="1">
        <f t="array" aca="1" ref="D573" ca="1">CONCATENATE(INDIRECT(ADDRESS(1,4,1,0,"KeySet"),0),":","""",valueMaker!D573,"""")</f>
        <v>kainMeiEn:"Hu Bo Song"</v>
      </c>
      <c r="E573" t="str" cm="1">
        <f t="array" aca="1" ref="E573" ca="1">CONCATENATE(INDIRECT(ADDRESS(1,5,1,0,"KeySet"),0),":","""",valueMaker!E573,"""")</f>
        <v>kainGender:"男性"</v>
      </c>
      <c r="F573" t="str" cm="1">
        <f t="array" aca="1" ref="F573" ca="1">CONCATENATE(INDIRECT(ADDRESS(1,6,1,0,"KeySet"),0),":","""",TEXT(valueMaker!F573,"yyyy/m/d"),"""")</f>
        <v>tanjyoubi:"1988/10/1"</v>
      </c>
      <c r="G573" t="str" cm="1">
        <f t="array" aca="1" ref="G573" ca="1">CONCATENATE(INDIRECT(ADDRESS(1,6,1,0,"KeySet"),0),":","""",TEXT(valueMaker!G573,"yyyy/m/d"),"""")</f>
        <v>tanjyoubi:"2014/4/4"</v>
      </c>
      <c r="H573" t="str" cm="1">
        <f t="array" aca="1" ref="H573" ca="1">CONCATENATE(INDIRECT(ADDRESS(1,6,1,0,"KeySet"),0),":","""",TEXT(valueMaker!H573,"yyyy/m/d"),"""")</f>
        <v>tanjyoubi:"2017/4/3"</v>
      </c>
      <c r="I573" t="str" cm="1">
        <f t="array" aca="1" ref="I573" ca="1">CONCATENATE(INDIRECT(ADDRESS(1,9,1,0,"KeySet"),0),":","""",valueMaker!I573,"""")</f>
        <v>denwaBangou:"090-8229-6568"</v>
      </c>
      <c r="J573" t="str" cm="1">
        <f t="array" aca="1" ref="J573" ca="1">CONCATENATE(INDIRECT(ADDRESS(1,10,1,0,"KeySet"),0),":","""",valueMaker!J573,"""")</f>
        <v>mailAddress:"Hu_Bo_Song_41733@outlook.jp.co"</v>
      </c>
      <c r="K573" t="str" cm="1">
        <f t="array" aca="1" ref="K573" ca="1">CONCATENATE(INDIRECT(ADDRESS(1,11,1,0,"KeySet"),0),":","""",valueMaker!K573,"""")</f>
        <v>kaninSyubetu:"高級"</v>
      </c>
      <c r="L573" t="str" cm="1">
        <f t="array" aca="1" ref="L573" ca="1">CONCATENATE(INDIRECT(ADDRESS(1,12,1,0,"KeySet"),0),":","""",valueMaker!L573,"""")</f>
        <v>kaninKengenWB:"有り"</v>
      </c>
      <c r="M573" t="str" cm="1">
        <f t="array" aca="1" ref="M573" ca="1">CONCATENATE(INDIRECT(ADDRESS(1,13,1,0,"KeySet"),0),":","""",valueMaker!M573,"""")</f>
        <v>wakibiri:"10%"</v>
      </c>
      <c r="N573" t="str" cm="1">
        <f t="array" aca="1" ref="N573" ca="1">CONCATENATE(INDIRECT(ADDRESS(1,14,1,0,"KeySet"),0),":","""",valueMaker!N573,"""")</f>
        <v>kaninKengenPoint:"有り"</v>
      </c>
      <c r="O573" t="str" cm="1">
        <f t="array" aca="1" ref="O573" ca="1">CONCATENATE(INDIRECT(ADDRESS(1,15,1,0,"KeySet"),0),":","""",valueMaker!O573,"""")</f>
        <v>point:"85"</v>
      </c>
      <c r="P573" t="str" cm="1">
        <f t="array" aca="1" ref="P573" ca="1">CONCATENATE(INDIRECT(ADDRESS(1,16,1,0,"KeySet"),0),":","""",valueMaker!P573,"""")</f>
        <v>bikou:""</v>
      </c>
    </row>
    <row r="574" spans="1:16">
      <c r="A574" t="str" cm="1">
        <f t="array" aca="1" ref="A574" ca="1">CONCATENATE(INDIRECT(ADDRESS(1,1,1,0,"KeySet"),0),":","""",valueMaker!A574,"""")</f>
        <v>kainBangou:"TD10573"</v>
      </c>
      <c r="B574" t="str" cm="1">
        <f t="array" aca="1" ref="B574" ca="1">CONCATENATE(INDIRECT(ADDRESS(1,2,1,0,"KeySet"),0),":","""",valueMaker!B574,"""")</f>
        <v>kainMeiKanji:"羅忠博"</v>
      </c>
      <c r="C574" t="str" cm="1">
        <f t="array" aca="1" ref="C574" ca="1">CONCATENATE(INDIRECT(ADDRESS(1,3,1,0,"KeySet"),0),":","""",valueMaker!C574,"""")</f>
        <v>kainMeiKana:"ﾙｵ ｼﾞｮｰﾝ ﾎﾞｰ"</v>
      </c>
      <c r="D574" t="str" cm="1">
        <f t="array" aca="1" ref="D574" ca="1">CONCATENATE(INDIRECT(ADDRESS(1,4,1,0,"KeySet"),0),":","""",valueMaker!D574,"""")</f>
        <v>kainMeiEn:"Luo Zhong Bo"</v>
      </c>
      <c r="E574" t="str" cm="1">
        <f t="array" aca="1" ref="E574" ca="1">CONCATENATE(INDIRECT(ADDRESS(1,5,1,0,"KeySet"),0),":","""",valueMaker!E574,"""")</f>
        <v>kainGender:"-"</v>
      </c>
      <c r="F574" t="str" cm="1">
        <f t="array" aca="1" ref="F574" ca="1">CONCATENATE(INDIRECT(ADDRESS(1,6,1,0,"KeySet"),0),":","""",TEXT(valueMaker!F574,"yyyy/m/d"),"""")</f>
        <v>tanjyoubi:"1964/7/26"</v>
      </c>
      <c r="G574" t="str" cm="1">
        <f t="array" aca="1" ref="G574" ca="1">CONCATENATE(INDIRECT(ADDRESS(1,6,1,0,"KeySet"),0),":","""",TEXT(valueMaker!G574,"yyyy/m/d"),"""")</f>
        <v>tanjyoubi:"1990/10/28"</v>
      </c>
      <c r="H574" t="str" cm="1">
        <f t="array" aca="1" ref="H574" ca="1">CONCATENATE(INDIRECT(ADDRESS(1,6,1,0,"KeySet"),0),":","""",TEXT(valueMaker!H574,"yyyy/m/d"),"""")</f>
        <v>tanjyoubi:"1993/10/27"</v>
      </c>
      <c r="I574" t="str" cm="1">
        <f t="array" aca="1" ref="I574" ca="1">CONCATENATE(INDIRECT(ADDRESS(1,9,1,0,"KeySet"),0),":","""",valueMaker!I574,"""")</f>
        <v>denwaBangou:"090-7408-9606"</v>
      </c>
      <c r="J574" t="str" cm="1">
        <f t="array" aca="1" ref="J574" ca="1">CONCATENATE(INDIRECT(ADDRESS(1,10,1,0,"KeySet"),0),":","""",valueMaker!J574,"""")</f>
        <v>mailAddress:"Luo_Zhong_Bo_33174@outlook.jp.co"</v>
      </c>
      <c r="K574" t="str" cm="1">
        <f t="array" aca="1" ref="K574" ca="1">CONCATENATE(INDIRECT(ADDRESS(1,11,1,0,"KeySet"),0),":","""",valueMaker!K574,"""")</f>
        <v>kaninSyubetu:"普通"</v>
      </c>
      <c r="L574" t="str" cm="1">
        <f t="array" aca="1" ref="L574" ca="1">CONCATENATE(INDIRECT(ADDRESS(1,12,1,0,"KeySet"),0),":","""",valueMaker!L574,"""")</f>
        <v>kaninKengenWB:"有り"</v>
      </c>
      <c r="M574" t="str" cm="1">
        <f t="array" aca="1" ref="M574" ca="1">CONCATENATE(INDIRECT(ADDRESS(1,13,1,0,"KeySet"),0),":","""",valueMaker!M574,"""")</f>
        <v>wakibiri:"5%"</v>
      </c>
      <c r="N574" t="str" cm="1">
        <f t="array" aca="1" ref="N574" ca="1">CONCATENATE(INDIRECT(ADDRESS(1,14,1,0,"KeySet"),0),":","""",valueMaker!N574,"""")</f>
        <v>kaninKengenPoint:"-"</v>
      </c>
      <c r="O574" t="str" cm="1">
        <f t="array" aca="1" ref="O574" ca="1">CONCATENATE(INDIRECT(ADDRESS(1,15,1,0,"KeySet"),0),":","""",valueMaker!O574,"""")</f>
        <v>point:"-"</v>
      </c>
      <c r="P574" t="str" cm="1">
        <f t="array" aca="1" ref="P574" ca="1">CONCATENATE(INDIRECT(ADDRESS(1,16,1,0,"KeySet"),0),":","""",valueMaker!P574,"""")</f>
        <v>bikou:""</v>
      </c>
    </row>
    <row r="575" spans="1:16">
      <c r="A575" t="str" cm="1">
        <f t="array" aca="1" ref="A575" ca="1">CONCATENATE(INDIRECT(ADDRESS(1,1,1,0,"KeySet"),0),":","""",valueMaker!A575,"""")</f>
        <v>kainBangou:"TD10574"</v>
      </c>
      <c r="B575" t="str" cm="1">
        <f t="array" aca="1" ref="B575" ca="1">CONCATENATE(INDIRECT(ADDRESS(1,2,1,0,"KeySet"),0),":","""",valueMaker!B575,"""")</f>
        <v>kainMeiKanji:"楊壯臻"</v>
      </c>
      <c r="C575" t="str" cm="1">
        <f t="array" aca="1" ref="C575" ca="1">CONCATENATE(INDIRECT(ADDRESS(1,3,1,0,"KeySet"),0),":","""",valueMaker!C575,"""")</f>
        <v>kainMeiKana:"ﾔｰﾝ ｼﾞｭﾜｰﾝ ｼﾞｪﾝ"</v>
      </c>
      <c r="D575" t="str" cm="1">
        <f t="array" aca="1" ref="D575" ca="1">CONCATENATE(INDIRECT(ADDRESS(1,4,1,0,"KeySet"),0),":","""",valueMaker!D575,"""")</f>
        <v>kainMeiEn:"Yang Zhuang Zhen"</v>
      </c>
      <c r="E575" t="str" cm="1">
        <f t="array" aca="1" ref="E575" ca="1">CONCATENATE(INDIRECT(ADDRESS(1,5,1,0,"KeySet"),0),":","""",valueMaker!E575,"""")</f>
        <v>kainGender:"女性"</v>
      </c>
      <c r="F575" t="str" cm="1">
        <f t="array" aca="1" ref="F575" ca="1">CONCATENATE(INDIRECT(ADDRESS(1,6,1,0,"KeySet"),0),":","""",TEXT(valueMaker!F575,"yyyy/m/d"),"""")</f>
        <v>tanjyoubi:"1988/10/2"</v>
      </c>
      <c r="G575" t="str" cm="1">
        <f t="array" aca="1" ref="G575" ca="1">CONCATENATE(INDIRECT(ADDRESS(1,6,1,0,"KeySet"),0),":","""",TEXT(valueMaker!G575,"yyyy/m/d"),"""")</f>
        <v>tanjyoubi:"2020/2/14"</v>
      </c>
      <c r="H575" t="str" cm="1">
        <f t="array" aca="1" ref="H575" ca="1">CONCATENATE(INDIRECT(ADDRESS(1,6,1,0,"KeySet"),0),":","""",TEXT(valueMaker!H575,"yyyy/m/d"),"""")</f>
        <v>tanjyoubi:"2022/2/13"</v>
      </c>
      <c r="I575" t="str" cm="1">
        <f t="array" aca="1" ref="I575" ca="1">CONCATENATE(INDIRECT(ADDRESS(1,9,1,0,"KeySet"),0),":","""",valueMaker!I575,"""")</f>
        <v>denwaBangou:"080-4943-3800"</v>
      </c>
      <c r="J575" t="str" cm="1">
        <f t="array" aca="1" ref="J575" ca="1">CONCATENATE(INDIRECT(ADDRESS(1,10,1,0,"KeySet"),0),":","""",valueMaker!J575,"""")</f>
        <v>mailAddress:"Yang_Zhuang_Zhen_43875@outlook.jp.co"</v>
      </c>
      <c r="K575" t="str" cm="1">
        <f t="array" aca="1" ref="K575" ca="1">CONCATENATE(INDIRECT(ADDRESS(1,11,1,0,"KeySet"),0),":","""",valueMaker!K575,"""")</f>
        <v>kaninSyubetu:"普通"</v>
      </c>
      <c r="L575" t="str" cm="1">
        <f t="array" aca="1" ref="L575" ca="1">CONCATENATE(INDIRECT(ADDRESS(1,12,1,0,"KeySet"),0),":","""",valueMaker!L575,"""")</f>
        <v>kaninKengenWB:"有り"</v>
      </c>
      <c r="M575" t="str" cm="1">
        <f t="array" aca="1" ref="M575" ca="1">CONCATENATE(INDIRECT(ADDRESS(1,13,1,0,"KeySet"),0),":","""",valueMaker!M575,"""")</f>
        <v>wakibiri:"5%"</v>
      </c>
      <c r="N575" t="str" cm="1">
        <f t="array" aca="1" ref="N575" ca="1">CONCATENATE(INDIRECT(ADDRESS(1,14,1,0,"KeySet"),0),":","""",valueMaker!N575,"""")</f>
        <v>kaninKengenPoint:"有り"</v>
      </c>
      <c r="O575" t="str" cm="1">
        <f t="array" aca="1" ref="O575" ca="1">CONCATENATE(INDIRECT(ADDRESS(1,15,1,0,"KeySet"),0),":","""",valueMaker!O575,"""")</f>
        <v>point:"572"</v>
      </c>
      <c r="P575" t="str" cm="1">
        <f t="array" aca="1" ref="P575" ca="1">CONCATENATE(INDIRECT(ADDRESS(1,16,1,0,"KeySet"),0),":","""",valueMaker!P575,"""")</f>
        <v>bikou:""</v>
      </c>
    </row>
    <row r="576" spans="1:16">
      <c r="A576" t="str" cm="1">
        <f t="array" aca="1" ref="A576" ca="1">CONCATENATE(INDIRECT(ADDRESS(1,1,1,0,"KeySet"),0),":","""",valueMaker!A576,"""")</f>
        <v>kainBangou:"TD10575"</v>
      </c>
      <c r="B576" t="str" cm="1">
        <f t="array" aca="1" ref="B576" ca="1">CONCATENATE(INDIRECT(ADDRESS(1,2,1,0,"KeySet"),0),":","""",valueMaker!B576,"""")</f>
        <v>kainMeiKanji:"謝曙素"</v>
      </c>
      <c r="C576" t="str" cm="1">
        <f t="array" aca="1" ref="C576" ca="1">CONCATENATE(INDIRECT(ADDRESS(1,3,1,0,"KeySet"),0),":","""",valueMaker!C576,"""")</f>
        <v>kainMeiKana:"ｼｴ ｼｭｳ ｽｩ"</v>
      </c>
      <c r="D576" t="str" cm="1">
        <f t="array" aca="1" ref="D576" ca="1">CONCATENATE(INDIRECT(ADDRESS(1,4,1,0,"KeySet"),0),":","""",valueMaker!D576,"""")</f>
        <v>kainMeiEn:"Xie Shu Su"</v>
      </c>
      <c r="E576" t="str" cm="1">
        <f t="array" aca="1" ref="E576" ca="1">CONCATENATE(INDIRECT(ADDRESS(1,5,1,0,"KeySet"),0),":","""",valueMaker!E576,"""")</f>
        <v>kainGender:"男性"</v>
      </c>
      <c r="F576" t="str" cm="1">
        <f t="array" aca="1" ref="F576" ca="1">CONCATENATE(INDIRECT(ADDRESS(1,6,1,0,"KeySet"),0),":","""",TEXT(valueMaker!F576,"yyyy/m/d"),"""")</f>
        <v>tanjyoubi:"1978/8/18"</v>
      </c>
      <c r="G576" t="str" cm="1">
        <f t="array" aca="1" ref="G576" ca="1">CONCATENATE(INDIRECT(ADDRESS(1,6,1,0,"KeySet"),0),":","""",TEXT(valueMaker!G576,"yyyy/m/d"),"""")</f>
        <v>tanjyoubi:"2023/3/31"</v>
      </c>
      <c r="H576" t="str" cm="1">
        <f t="array" aca="1" ref="H576" ca="1">CONCATENATE(INDIRECT(ADDRESS(1,6,1,0,"KeySet"),0),":","""",TEXT(valueMaker!H576,"yyyy/m/d"),"""")</f>
        <v>tanjyoubi:"2024/3/30"</v>
      </c>
      <c r="I576" t="str" cm="1">
        <f t="array" aca="1" ref="I576" ca="1">CONCATENATE(INDIRECT(ADDRESS(1,9,1,0,"KeySet"),0),":","""",valueMaker!I576,"""")</f>
        <v>denwaBangou:"080-8353-0663"</v>
      </c>
      <c r="J576" t="str" cm="1">
        <f t="array" aca="1" ref="J576" ca="1">CONCATENATE(INDIRECT(ADDRESS(1,10,1,0,"KeySet"),0),":","""",valueMaker!J576,"""")</f>
        <v>mailAddress:"Xie_Shu_Su_45016@outlook.jp.co"</v>
      </c>
      <c r="K576" t="str" cm="1">
        <f t="array" aca="1" ref="K576" ca="1">CONCATENATE(INDIRECT(ADDRESS(1,11,1,0,"KeySet"),0),":","""",valueMaker!K576,"""")</f>
        <v>kaninSyubetu:"普通"</v>
      </c>
      <c r="L576" t="str" cm="1">
        <f t="array" aca="1" ref="L576" ca="1">CONCATENATE(INDIRECT(ADDRESS(1,12,1,0,"KeySet"),0),":","""",valueMaker!L576,"""")</f>
        <v>kaninKengenWB:"有り"</v>
      </c>
      <c r="M576" t="str" cm="1">
        <f t="array" aca="1" ref="M576" ca="1">CONCATENATE(INDIRECT(ADDRESS(1,13,1,0,"KeySet"),0),":","""",valueMaker!M576,"""")</f>
        <v>wakibiri:"5%"</v>
      </c>
      <c r="N576" t="str" cm="1">
        <f t="array" aca="1" ref="N576" ca="1">CONCATENATE(INDIRECT(ADDRESS(1,14,1,0,"KeySet"),0),":","""",valueMaker!N576,"""")</f>
        <v>kaninKengenPoint:"有り"</v>
      </c>
      <c r="O576" t="str" cm="1">
        <f t="array" aca="1" ref="O576" ca="1">CONCATENATE(INDIRECT(ADDRESS(1,15,1,0,"KeySet"),0),":","""",valueMaker!O576,"""")</f>
        <v>point:"325"</v>
      </c>
      <c r="P576" t="str" cm="1">
        <f t="array" aca="1" ref="P576" ca="1">CONCATENATE(INDIRECT(ADDRESS(1,16,1,0,"KeySet"),0),":","""",valueMaker!P576,"""")</f>
        <v>bikou:""</v>
      </c>
    </row>
    <row r="577" spans="1:16">
      <c r="A577" t="str" cm="1">
        <f t="array" aca="1" ref="A577" ca="1">CONCATENATE(INDIRECT(ADDRESS(1,1,1,0,"KeySet"),0),":","""",valueMaker!A577,"""")</f>
        <v>kainBangou:"TD10576"</v>
      </c>
      <c r="B577" t="str" cm="1">
        <f t="array" aca="1" ref="B577" ca="1">CONCATENATE(INDIRECT(ADDRESS(1,2,1,0,"KeySet"),0),":","""",valueMaker!B577,"""")</f>
        <v>kainMeiKanji:"于泰聚"</v>
      </c>
      <c r="C577" t="str" cm="1">
        <f t="array" aca="1" ref="C577" ca="1">CONCATENATE(INDIRECT(ADDRESS(1,3,1,0,"KeySet"),0),":","""",valueMaker!C577,"""")</f>
        <v>kainMeiKana:"ﾕｲ ﾀｲ ｼﾞｭｲ"</v>
      </c>
      <c r="D577" t="str" cm="1">
        <f t="array" aca="1" ref="D577" ca="1">CONCATENATE(INDIRECT(ADDRESS(1,4,1,0,"KeySet"),0),":","""",valueMaker!D577,"""")</f>
        <v>kainMeiEn:"Yu Tai Ju"</v>
      </c>
      <c r="E577" t="str" cm="1">
        <f t="array" aca="1" ref="E577" ca="1">CONCATENATE(INDIRECT(ADDRESS(1,5,1,0,"KeySet"),0),":","""",valueMaker!E577,"""")</f>
        <v>kainGender:"女性"</v>
      </c>
      <c r="F577" t="str" cm="1">
        <f t="array" aca="1" ref="F577" ca="1">CONCATENATE(INDIRECT(ADDRESS(1,6,1,0,"KeySet"),0),":","""",TEXT(valueMaker!F577,"yyyy/m/d"),"""")</f>
        <v>tanjyoubi:"1978/3/10"</v>
      </c>
      <c r="G577" t="str" cm="1">
        <f t="array" aca="1" ref="G577" ca="1">CONCATENATE(INDIRECT(ADDRESS(1,6,1,0,"KeySet"),0),":","""",TEXT(valueMaker!G577,"yyyy/m/d"),"""")</f>
        <v>tanjyoubi:"2009/7/21"</v>
      </c>
      <c r="H577" t="str" cm="1">
        <f t="array" aca="1" ref="H577" ca="1">CONCATENATE(INDIRECT(ADDRESS(1,6,1,0,"KeySet"),0),":","""",TEXT(valueMaker!H577,"yyyy/m/d"),"""")</f>
        <v>tanjyoubi:"2011/7/21"</v>
      </c>
      <c r="I577" t="str" cm="1">
        <f t="array" aca="1" ref="I577" ca="1">CONCATENATE(INDIRECT(ADDRESS(1,9,1,0,"KeySet"),0),":","""",valueMaker!I577,"""")</f>
        <v>denwaBangou:"090-2906-4101"</v>
      </c>
      <c r="J577" t="str" cm="1">
        <f t="array" aca="1" ref="J577" ca="1">CONCATENATE(INDIRECT(ADDRESS(1,10,1,0,"KeySet"),0),":","""",valueMaker!J577,"""")</f>
        <v>mailAddress:"Yu_Tai_Ju_40015@outlook.jp.co"</v>
      </c>
      <c r="K577" t="str" cm="1">
        <f t="array" aca="1" ref="K577" ca="1">CONCATENATE(INDIRECT(ADDRESS(1,11,1,0,"KeySet"),0),":","""",valueMaker!K577,"""")</f>
        <v>kaninSyubetu:"高級"</v>
      </c>
      <c r="L577" t="str" cm="1">
        <f t="array" aca="1" ref="L577" ca="1">CONCATENATE(INDIRECT(ADDRESS(1,12,1,0,"KeySet"),0),":","""",valueMaker!L577,"""")</f>
        <v>kaninKengenWB:"有り"</v>
      </c>
      <c r="M577" t="str" cm="1">
        <f t="array" aca="1" ref="M577" ca="1">CONCATENATE(INDIRECT(ADDRESS(1,13,1,0,"KeySet"),0),":","""",valueMaker!M577,"""")</f>
        <v>wakibiri:"10%"</v>
      </c>
      <c r="N577" t="str" cm="1">
        <f t="array" aca="1" ref="N577" ca="1">CONCATENATE(INDIRECT(ADDRESS(1,14,1,0,"KeySet"),0),":","""",valueMaker!N577,"""")</f>
        <v>kaninKengenPoint:"有り"</v>
      </c>
      <c r="O577" t="str" cm="1">
        <f t="array" aca="1" ref="O577" ca="1">CONCATENATE(INDIRECT(ADDRESS(1,15,1,0,"KeySet"),0),":","""",valueMaker!O577,"""")</f>
        <v>point:"613"</v>
      </c>
      <c r="P577" t="str" cm="1">
        <f t="array" aca="1" ref="P577" ca="1">CONCATENATE(INDIRECT(ADDRESS(1,16,1,0,"KeySet"),0),":","""",valueMaker!P577,"""")</f>
        <v>bikou:""</v>
      </c>
    </row>
    <row r="578" spans="1:16">
      <c r="A578" t="str" cm="1">
        <f t="array" aca="1" ref="A578" ca="1">CONCATENATE(INDIRECT(ADDRESS(1,1,1,0,"KeySet"),0),":","""",valueMaker!A578,"""")</f>
        <v>kainBangou:"TD10577"</v>
      </c>
      <c r="B578" t="str" cm="1">
        <f t="array" aca="1" ref="B578" ca="1">CONCATENATE(INDIRECT(ADDRESS(1,2,1,0,"KeySet"),0),":","""",valueMaker!B578,"""")</f>
        <v>kainMeiKanji:"羅超萬"</v>
      </c>
      <c r="C578" t="str" cm="1">
        <f t="array" aca="1" ref="C578" ca="1">CONCATENATE(INDIRECT(ADDRESS(1,3,1,0,"KeySet"),0),":","""",valueMaker!C578,"""")</f>
        <v>kainMeiKana:"ﾙｵ ﾁｬｵ ﾜﾝ"</v>
      </c>
      <c r="D578" t="str" cm="1">
        <f t="array" aca="1" ref="D578" ca="1">CONCATENATE(INDIRECT(ADDRESS(1,4,1,0,"KeySet"),0),":","""",valueMaker!D578,"""")</f>
        <v>kainMeiEn:"Luo Chao Wan"</v>
      </c>
      <c r="E578" t="str" cm="1">
        <f t="array" aca="1" ref="E578" ca="1">CONCATENATE(INDIRECT(ADDRESS(1,5,1,0,"KeySet"),0),":","""",valueMaker!E578,"""")</f>
        <v>kainGender:"女性"</v>
      </c>
      <c r="F578" t="str" cm="1">
        <f t="array" aca="1" ref="F578" ca="1">CONCATENATE(INDIRECT(ADDRESS(1,6,1,0,"KeySet"),0),":","""",TEXT(valueMaker!F578,"yyyy/m/d"),"""")</f>
        <v>tanjyoubi:"1990/5/4"</v>
      </c>
      <c r="G578" t="str" cm="1">
        <f t="array" aca="1" ref="G578" ca="1">CONCATENATE(INDIRECT(ADDRESS(1,6,1,0,"KeySet"),0),":","""",TEXT(valueMaker!G578,"yyyy/m/d"),"""")</f>
        <v>tanjyoubi:"2013/2/16"</v>
      </c>
      <c r="H578" t="str" cm="1">
        <f t="array" aca="1" ref="H578" ca="1">CONCATENATE(INDIRECT(ADDRESS(1,6,1,0,"KeySet"),0),":","""",TEXT(valueMaker!H578,"yyyy/m/d"),"""")</f>
        <v>tanjyoubi:"2016/2/16"</v>
      </c>
      <c r="I578" t="str" cm="1">
        <f t="array" aca="1" ref="I578" ca="1">CONCATENATE(INDIRECT(ADDRESS(1,9,1,0,"KeySet"),0),":","""",valueMaker!I578,"""")</f>
        <v>denwaBangou:"090-7494-5697"</v>
      </c>
      <c r="J578" t="str" cm="1">
        <f t="array" aca="1" ref="J578" ca="1">CONCATENATE(INDIRECT(ADDRESS(1,10,1,0,"KeySet"),0),":","""",valueMaker!J578,"""")</f>
        <v>mailAddress:"Luo_Chao_Wan_41321@outlook.jp.co"</v>
      </c>
      <c r="K578" t="str" cm="1">
        <f t="array" aca="1" ref="K578" ca="1">CONCATENATE(INDIRECT(ADDRESS(1,11,1,0,"KeySet"),0),":","""",valueMaker!K578,"""")</f>
        <v>kaninSyubetu:"普通"</v>
      </c>
      <c r="L578" t="str" cm="1">
        <f t="array" aca="1" ref="L578" ca="1">CONCATENATE(INDIRECT(ADDRESS(1,12,1,0,"KeySet"),0),":","""",valueMaker!L578,"""")</f>
        <v>kaninKengenWB:"有り"</v>
      </c>
      <c r="M578" t="str" cm="1">
        <f t="array" aca="1" ref="M578" ca="1">CONCATENATE(INDIRECT(ADDRESS(1,13,1,0,"KeySet"),0),":","""",valueMaker!M578,"""")</f>
        <v>wakibiri:"5%"</v>
      </c>
      <c r="N578" t="str" cm="1">
        <f t="array" aca="1" ref="N578" ca="1">CONCATENATE(INDIRECT(ADDRESS(1,14,1,0,"KeySet"),0),":","""",valueMaker!N578,"""")</f>
        <v>kaninKengenPoint:"有り"</v>
      </c>
      <c r="O578" t="str" cm="1">
        <f t="array" aca="1" ref="O578" ca="1">CONCATENATE(INDIRECT(ADDRESS(1,15,1,0,"KeySet"),0),":","""",valueMaker!O578,"""")</f>
        <v>point:"491"</v>
      </c>
      <c r="P578" t="str" cm="1">
        <f t="array" aca="1" ref="P578" ca="1">CONCATENATE(INDIRECT(ADDRESS(1,16,1,0,"KeySet"),0),":","""",valueMaker!P578,"""")</f>
        <v>bikou:""</v>
      </c>
    </row>
    <row r="579" spans="1:16">
      <c r="A579" t="str" cm="1">
        <f t="array" aca="1" ref="A579" ca="1">CONCATENATE(INDIRECT(ADDRESS(1,1,1,0,"KeySet"),0),":","""",valueMaker!A579,"""")</f>
        <v>kainBangou:"TD10578"</v>
      </c>
      <c r="B579" t="str" cm="1">
        <f t="array" aca="1" ref="B579" ca="1">CONCATENATE(INDIRECT(ADDRESS(1,2,1,0,"KeySet"),0),":","""",valueMaker!B579,"""")</f>
        <v>kainMeiKanji:"胡芬勁"</v>
      </c>
      <c r="C579" t="str" cm="1">
        <f t="array" aca="1" ref="C579" ca="1">CONCATENATE(INDIRECT(ADDRESS(1,3,1,0,"KeySet"),0),":","""",valueMaker!C579,"""")</f>
        <v>kainMeiKana:"ﾎｩ ﾌｪﾝ ｼﾞﾝ"</v>
      </c>
      <c r="D579" t="str" cm="1">
        <f t="array" aca="1" ref="D579" ca="1">CONCATENATE(INDIRECT(ADDRESS(1,4,1,0,"KeySet"),0),":","""",valueMaker!D579,"""")</f>
        <v>kainMeiEn:"Hu Fen Jin"</v>
      </c>
      <c r="E579" t="str" cm="1">
        <f t="array" aca="1" ref="E579" ca="1">CONCATENATE(INDIRECT(ADDRESS(1,5,1,0,"KeySet"),0),":","""",valueMaker!E579,"""")</f>
        <v>kainGender:"男性"</v>
      </c>
      <c r="F579" t="str" cm="1">
        <f t="array" aca="1" ref="F579" ca="1">CONCATENATE(INDIRECT(ADDRESS(1,6,1,0,"KeySet"),0),":","""",TEXT(valueMaker!F579,"yyyy/m/d"),"""")</f>
        <v>tanjyoubi:"1979/6/4"</v>
      </c>
      <c r="G579" t="str" cm="1">
        <f t="array" aca="1" ref="G579" ca="1">CONCATENATE(INDIRECT(ADDRESS(1,6,1,0,"KeySet"),0),":","""",TEXT(valueMaker!G579,"yyyy/m/d"),"""")</f>
        <v>tanjyoubi:"2008/8/26"</v>
      </c>
      <c r="H579" t="str" cm="1">
        <f t="array" aca="1" ref="H579" ca="1">CONCATENATE(INDIRECT(ADDRESS(1,6,1,0,"KeySet"),0),":","""",TEXT(valueMaker!H579,"yyyy/m/d"),"""")</f>
        <v>tanjyoubi:"2009/8/26"</v>
      </c>
      <c r="I579" t="str" cm="1">
        <f t="array" aca="1" ref="I579" ca="1">CONCATENATE(INDIRECT(ADDRESS(1,9,1,0,"KeySet"),0),":","""",valueMaker!I579,"""")</f>
        <v>denwaBangou:"080-7903-7903"</v>
      </c>
      <c r="J579" t="str" cm="1">
        <f t="array" aca="1" ref="J579" ca="1">CONCATENATE(INDIRECT(ADDRESS(1,10,1,0,"KeySet"),0),":","""",valueMaker!J579,"""")</f>
        <v>mailAddress:"Hu_Fen Jin_39686@outlook.jp.co"</v>
      </c>
      <c r="K579" t="str" cm="1">
        <f t="array" aca="1" ref="K579" ca="1">CONCATENATE(INDIRECT(ADDRESS(1,11,1,0,"KeySet"),0),":","""",valueMaker!K579,"""")</f>
        <v>kaninSyubetu:"高級"</v>
      </c>
      <c r="L579" t="str" cm="1">
        <f t="array" aca="1" ref="L579" ca="1">CONCATENATE(INDIRECT(ADDRESS(1,12,1,0,"KeySet"),0),":","""",valueMaker!L579,"""")</f>
        <v>kaninKengenWB:"有り"</v>
      </c>
      <c r="M579" t="str" cm="1">
        <f t="array" aca="1" ref="M579" ca="1">CONCATENATE(INDIRECT(ADDRESS(1,13,1,0,"KeySet"),0),":","""",valueMaker!M579,"""")</f>
        <v>wakibiri:"10%"</v>
      </c>
      <c r="N579" t="str" cm="1">
        <f t="array" aca="1" ref="N579" ca="1">CONCATENATE(INDIRECT(ADDRESS(1,14,1,0,"KeySet"),0),":","""",valueMaker!N579,"""")</f>
        <v>kaninKengenPoint:"-"</v>
      </c>
      <c r="O579" t="str" cm="1">
        <f t="array" aca="1" ref="O579" ca="1">CONCATENATE(INDIRECT(ADDRESS(1,15,1,0,"KeySet"),0),":","""",valueMaker!O579,"""")</f>
        <v>point:"-"</v>
      </c>
      <c r="P579" t="str" cm="1">
        <f t="array" aca="1" ref="P579" ca="1">CONCATENATE(INDIRECT(ADDRESS(1,16,1,0,"KeySet"),0),":","""",valueMaker!P579,"""")</f>
        <v>bikou:""</v>
      </c>
    </row>
    <row r="580" spans="1:16">
      <c r="A580" t="str" cm="1">
        <f t="array" aca="1" ref="A580" ca="1">CONCATENATE(INDIRECT(ADDRESS(1,1,1,0,"KeySet"),0),":","""",valueMaker!A580,"""")</f>
        <v>kainBangou:"TD10579"</v>
      </c>
      <c r="B580" t="str" cm="1">
        <f t="array" aca="1" ref="B580" ca="1">CONCATENATE(INDIRECT(ADDRESS(1,2,1,0,"KeySet"),0),":","""",valueMaker!B580,"""")</f>
        <v>kainMeiKanji:"宋寧金"</v>
      </c>
      <c r="C580" t="str" cm="1">
        <f t="array" aca="1" ref="C580" ca="1">CONCATENATE(INDIRECT(ADDRESS(1,3,1,0,"KeySet"),0),":","""",valueMaker!C580,"""")</f>
        <v>kainMeiKana:"ｿｰﾝ ﾆｰﾝ ｼﾞﾝ"</v>
      </c>
      <c r="D580" t="str" cm="1">
        <f t="array" aca="1" ref="D580" ca="1">CONCATENATE(INDIRECT(ADDRESS(1,4,1,0,"KeySet"),0),":","""",valueMaker!D580,"""")</f>
        <v>kainMeiEn:"Song Ning Jin"</v>
      </c>
      <c r="E580" t="str" cm="1">
        <f t="array" aca="1" ref="E580" ca="1">CONCATENATE(INDIRECT(ADDRESS(1,5,1,0,"KeySet"),0),":","""",valueMaker!E580,"""")</f>
        <v>kainGender:"男性"</v>
      </c>
      <c r="F580" t="str" cm="1">
        <f t="array" aca="1" ref="F580" ca="1">CONCATENATE(INDIRECT(ADDRESS(1,6,1,0,"KeySet"),0),":","""",TEXT(valueMaker!F580,"yyyy/m/d"),"""")</f>
        <v>tanjyoubi:"1975/5/6"</v>
      </c>
      <c r="G580" t="str" cm="1">
        <f t="array" aca="1" ref="G580" ca="1">CONCATENATE(INDIRECT(ADDRESS(1,6,1,0,"KeySet"),0),":","""",TEXT(valueMaker!G580,"yyyy/m/d"),"""")</f>
        <v>tanjyoubi:"2008/4/26"</v>
      </c>
      <c r="H580" t="str" cm="1">
        <f t="array" aca="1" ref="H580" ca="1">CONCATENATE(INDIRECT(ADDRESS(1,6,1,0,"KeySet"),0),":","""",TEXT(valueMaker!H580,"yyyy/m/d"),"""")</f>
        <v>tanjyoubi:"2011/4/26"</v>
      </c>
      <c r="I580" t="str" cm="1">
        <f t="array" aca="1" ref="I580" ca="1">CONCATENATE(INDIRECT(ADDRESS(1,9,1,0,"KeySet"),0),":","""",valueMaker!I580,"""")</f>
        <v>denwaBangou:"080-7949-1408"</v>
      </c>
      <c r="J580" t="str" cm="1">
        <f t="array" aca="1" ref="J580" ca="1">CONCATENATE(INDIRECT(ADDRESS(1,10,1,0,"KeySet"),0),":","""",valueMaker!J580,"""")</f>
        <v>mailAddress:"Song_Ning_Jin_39564@outlook.jp.co"</v>
      </c>
      <c r="K580" t="str" cm="1">
        <f t="array" aca="1" ref="K580" ca="1">CONCATENATE(INDIRECT(ADDRESS(1,11,1,0,"KeySet"),0),":","""",valueMaker!K580,"""")</f>
        <v>kaninSyubetu:"高級"</v>
      </c>
      <c r="L580" t="str" cm="1">
        <f t="array" aca="1" ref="L580" ca="1">CONCATENATE(INDIRECT(ADDRESS(1,12,1,0,"KeySet"),0),":","""",valueMaker!L580,"""")</f>
        <v>kaninKengenWB:"有り"</v>
      </c>
      <c r="M580" t="str" cm="1">
        <f t="array" aca="1" ref="M580" ca="1">CONCATENATE(INDIRECT(ADDRESS(1,13,1,0,"KeySet"),0),":","""",valueMaker!M580,"""")</f>
        <v>wakibiri:"10%"</v>
      </c>
      <c r="N580" t="str" cm="1">
        <f t="array" aca="1" ref="N580" ca="1">CONCATENATE(INDIRECT(ADDRESS(1,14,1,0,"KeySet"),0),":","""",valueMaker!N580,"""")</f>
        <v>kaninKengenPoint:"有り"</v>
      </c>
      <c r="O580" t="str" cm="1">
        <f t="array" aca="1" ref="O580" ca="1">CONCATENATE(INDIRECT(ADDRESS(1,15,1,0,"KeySet"),0),":","""",valueMaker!O580,"""")</f>
        <v>point:"785"</v>
      </c>
      <c r="P580" t="str" cm="1">
        <f t="array" aca="1" ref="P580" ca="1">CONCATENATE(INDIRECT(ADDRESS(1,16,1,0,"KeySet"),0),":","""",valueMaker!P580,"""")</f>
        <v>bikou:""</v>
      </c>
    </row>
    <row r="581" spans="1:16">
      <c r="A581" t="str" cm="1">
        <f t="array" aca="1" ref="A581" ca="1">CONCATENATE(INDIRECT(ADDRESS(1,1,1,0,"KeySet"),0),":","""",valueMaker!A581,"""")</f>
        <v>kainBangou:"TD10580"</v>
      </c>
      <c r="B581" t="str" cm="1">
        <f t="array" aca="1" ref="B581" ca="1">CONCATENATE(INDIRECT(ADDRESS(1,2,1,0,"KeySet"),0),":","""",valueMaker!B581,"""")</f>
        <v>kainMeiKanji:"楊慕頻"</v>
      </c>
      <c r="C581" t="str" cm="1">
        <f t="array" aca="1" ref="C581" ca="1">CONCATENATE(INDIRECT(ADDRESS(1,3,1,0,"KeySet"),0),":","""",valueMaker!C581,"""")</f>
        <v>kainMeiKana:"ﾔｰﾝ ﾑｩ ﾋﾟﾝ"</v>
      </c>
      <c r="D581" t="str" cm="1">
        <f t="array" aca="1" ref="D581" ca="1">CONCATENATE(INDIRECT(ADDRESS(1,4,1,0,"KeySet"),0),":","""",valueMaker!D581,"""")</f>
        <v>kainMeiEn:"Yang Mu Pin"</v>
      </c>
      <c r="E581" t="str" cm="1">
        <f t="array" aca="1" ref="E581" ca="1">CONCATENATE(INDIRECT(ADDRESS(1,5,1,0,"KeySet"),0),":","""",valueMaker!E581,"""")</f>
        <v>kainGender:"女性"</v>
      </c>
      <c r="F581" t="str" cm="1">
        <f t="array" aca="1" ref="F581" ca="1">CONCATENATE(INDIRECT(ADDRESS(1,6,1,0,"KeySet"),0),":","""",TEXT(valueMaker!F581,"yyyy/m/d"),"""")</f>
        <v>tanjyoubi:"1977/6/9"</v>
      </c>
      <c r="G581" t="str" cm="1">
        <f t="array" aca="1" ref="G581" ca="1">CONCATENATE(INDIRECT(ADDRESS(1,6,1,0,"KeySet"),0),":","""",TEXT(valueMaker!G581,"yyyy/m/d"),"""")</f>
        <v>tanjyoubi:"2019/7/1"</v>
      </c>
      <c r="H581" t="str" cm="1">
        <f t="array" aca="1" ref="H581" ca="1">CONCATENATE(INDIRECT(ADDRESS(1,6,1,0,"KeySet"),0),":","""",TEXT(valueMaker!H581,"yyyy/m/d"),"""")</f>
        <v>tanjyoubi:"2020/6/30"</v>
      </c>
      <c r="I581" t="str" cm="1">
        <f t="array" aca="1" ref="I581" ca="1">CONCATENATE(INDIRECT(ADDRESS(1,9,1,0,"KeySet"),0),":","""",valueMaker!I581,"""")</f>
        <v>denwaBangou:"080-8076-9331"</v>
      </c>
      <c r="J581" t="str" cm="1">
        <f t="array" aca="1" ref="J581" ca="1">CONCATENATE(INDIRECT(ADDRESS(1,10,1,0,"KeySet"),0),":","""",valueMaker!J581,"""")</f>
        <v>mailAddress:"Yang_Mu_Pin_43647@outlook.jp.co"</v>
      </c>
      <c r="K581" t="str" cm="1">
        <f t="array" aca="1" ref="K581" ca="1">CONCATENATE(INDIRECT(ADDRESS(1,11,1,0,"KeySet"),0),":","""",valueMaker!K581,"""")</f>
        <v>kaninSyubetu:"普通"</v>
      </c>
      <c r="L581" t="str" cm="1">
        <f t="array" aca="1" ref="L581" ca="1">CONCATENATE(INDIRECT(ADDRESS(1,12,1,0,"KeySet"),0),":","""",valueMaker!L581,"""")</f>
        <v>kaninKengenWB:"有り"</v>
      </c>
      <c r="M581" t="str" cm="1">
        <f t="array" aca="1" ref="M581" ca="1">CONCATENATE(INDIRECT(ADDRESS(1,13,1,0,"KeySet"),0),":","""",valueMaker!M581,"""")</f>
        <v>wakibiri:"5%"</v>
      </c>
      <c r="N581" t="str" cm="1">
        <f t="array" aca="1" ref="N581" ca="1">CONCATENATE(INDIRECT(ADDRESS(1,14,1,0,"KeySet"),0),":","""",valueMaker!N581,"""")</f>
        <v>kaninKengenPoint:"有り"</v>
      </c>
      <c r="O581" t="str" cm="1">
        <f t="array" aca="1" ref="O581" ca="1">CONCATENATE(INDIRECT(ADDRESS(1,15,1,0,"KeySet"),0),":","""",valueMaker!O581,"""")</f>
        <v>point:"938"</v>
      </c>
      <c r="P581" t="str" cm="1">
        <f t="array" aca="1" ref="P581" ca="1">CONCATENATE(INDIRECT(ADDRESS(1,16,1,0,"KeySet"),0),":","""",valueMaker!P581,"""")</f>
        <v>bikou:""</v>
      </c>
    </row>
    <row r="582" spans="1:16">
      <c r="A582" t="str" cm="1">
        <f t="array" aca="1" ref="A582" ca="1">CONCATENATE(INDIRECT(ADDRESS(1,1,1,0,"KeySet"),0),":","""",valueMaker!A582,"""")</f>
        <v>kainBangou:"TD10581"</v>
      </c>
      <c r="B582" t="str" cm="1">
        <f t="array" aca="1" ref="B582" ca="1">CONCATENATE(INDIRECT(ADDRESS(1,2,1,0,"KeySet"),0),":","""",valueMaker!B582,"""")</f>
        <v>kainMeiKanji:"羅臻倫"</v>
      </c>
      <c r="C582" t="str" cm="1">
        <f t="array" aca="1" ref="C582" ca="1">CONCATENATE(INDIRECT(ADDRESS(1,3,1,0,"KeySet"),0),":","""",valueMaker!C582,"""")</f>
        <v>kainMeiKana:"ﾙｵ ｼﾞｪﾝ ﾙﾝ"</v>
      </c>
      <c r="D582" t="str" cm="1">
        <f t="array" aca="1" ref="D582" ca="1">CONCATENATE(INDIRECT(ADDRESS(1,4,1,0,"KeySet"),0),":","""",valueMaker!D582,"""")</f>
        <v>kainMeiEn:"Luo Zhen Lun"</v>
      </c>
      <c r="E582" t="str" cm="1">
        <f t="array" aca="1" ref="E582" ca="1">CONCATENATE(INDIRECT(ADDRESS(1,5,1,0,"KeySet"),0),":","""",valueMaker!E582,"""")</f>
        <v>kainGender:"女性"</v>
      </c>
      <c r="F582" t="str" cm="1">
        <f t="array" aca="1" ref="F582" ca="1">CONCATENATE(INDIRECT(ADDRESS(1,6,1,0,"KeySet"),0),":","""",TEXT(valueMaker!F582,"yyyy/m/d"),"""")</f>
        <v>tanjyoubi:"1973/10/16"</v>
      </c>
      <c r="G582" t="str" cm="1">
        <f t="array" aca="1" ref="G582" ca="1">CONCATENATE(INDIRECT(ADDRESS(1,6,1,0,"KeySet"),0),":","""",TEXT(valueMaker!G582,"yyyy/m/d"),"""")</f>
        <v>tanjyoubi:"2016/7/1"</v>
      </c>
      <c r="H582" t="str" cm="1">
        <f t="array" aca="1" ref="H582" ca="1">CONCATENATE(INDIRECT(ADDRESS(1,6,1,0,"KeySet"),0),":","""",TEXT(valueMaker!H582,"yyyy/m/d"),"""")</f>
        <v>tanjyoubi:"2017/7/1"</v>
      </c>
      <c r="I582" t="str" cm="1">
        <f t="array" aca="1" ref="I582" ca="1">CONCATENATE(INDIRECT(ADDRESS(1,9,1,0,"KeySet"),0),":","""",valueMaker!I582,"""")</f>
        <v>denwaBangou:"090-0307-4062"</v>
      </c>
      <c r="J582" t="str" cm="1">
        <f t="array" aca="1" ref="J582" ca="1">CONCATENATE(INDIRECT(ADDRESS(1,10,1,0,"KeySet"),0),":","""",valueMaker!J582,"""")</f>
        <v>mailAddress:"Luo_Zhen_Lun_42552@outlook.jp.co"</v>
      </c>
      <c r="K582" t="str" cm="1">
        <f t="array" aca="1" ref="K582" ca="1">CONCATENATE(INDIRECT(ADDRESS(1,11,1,0,"KeySet"),0),":","""",valueMaker!K582,"""")</f>
        <v>kaninSyubetu:"高級"</v>
      </c>
      <c r="L582" t="str" cm="1">
        <f t="array" aca="1" ref="L582" ca="1">CONCATENATE(INDIRECT(ADDRESS(1,12,1,0,"KeySet"),0),":","""",valueMaker!L582,"""")</f>
        <v>kaninKengenWB:"有り"</v>
      </c>
      <c r="M582" t="str" cm="1">
        <f t="array" aca="1" ref="M582" ca="1">CONCATENATE(INDIRECT(ADDRESS(1,13,1,0,"KeySet"),0),":","""",valueMaker!M582,"""")</f>
        <v>wakibiri:"10%"</v>
      </c>
      <c r="N582" t="str" cm="1">
        <f t="array" aca="1" ref="N582" ca="1">CONCATENATE(INDIRECT(ADDRESS(1,14,1,0,"KeySet"),0),":","""",valueMaker!N582,"""")</f>
        <v>kaninKengenPoint:"-"</v>
      </c>
      <c r="O582" t="str" cm="1">
        <f t="array" aca="1" ref="O582" ca="1">CONCATENATE(INDIRECT(ADDRESS(1,15,1,0,"KeySet"),0),":","""",valueMaker!O582,"""")</f>
        <v>point:"-"</v>
      </c>
      <c r="P582" t="str" cm="1">
        <f t="array" aca="1" ref="P582" ca="1">CONCATENATE(INDIRECT(ADDRESS(1,16,1,0,"KeySet"),0),":","""",valueMaker!P582,"""")</f>
        <v>bikou:""</v>
      </c>
    </row>
    <row r="583" spans="1:16">
      <c r="A583" t="str" cm="1">
        <f t="array" aca="1" ref="A583" ca="1">CONCATENATE(INDIRECT(ADDRESS(1,1,1,0,"KeySet"),0),":","""",valueMaker!A583,"""")</f>
        <v>kainBangou:"TD10582"</v>
      </c>
      <c r="B583" t="str" cm="1">
        <f t="array" aca="1" ref="B583" ca="1">CONCATENATE(INDIRECT(ADDRESS(1,2,1,0,"KeySet"),0),":","""",valueMaker!B583,"""")</f>
        <v>kainMeiKanji:"朱雅雪"</v>
      </c>
      <c r="C583" t="str" cm="1">
        <f t="array" aca="1" ref="C583" ca="1">CONCATENATE(INDIRECT(ADDRESS(1,3,1,0,"KeySet"),0),":","""",valueMaker!C583,"""")</f>
        <v>kainMeiKana:"ｼﾞｭｳ ﾔｰ ｼｭｴ"</v>
      </c>
      <c r="D583" t="str" cm="1">
        <f t="array" aca="1" ref="D583" ca="1">CONCATENATE(INDIRECT(ADDRESS(1,4,1,0,"KeySet"),0),":","""",valueMaker!D583,"""")</f>
        <v>kainMeiEn:"Zhu Ya Xue"</v>
      </c>
      <c r="E583" t="str" cm="1">
        <f t="array" aca="1" ref="E583" ca="1">CONCATENATE(INDIRECT(ADDRESS(1,5,1,0,"KeySet"),0),":","""",valueMaker!E583,"""")</f>
        <v>kainGender:"男性"</v>
      </c>
      <c r="F583" t="str" cm="1">
        <f t="array" aca="1" ref="F583" ca="1">CONCATENATE(INDIRECT(ADDRESS(1,6,1,0,"KeySet"),0),":","""",TEXT(valueMaker!F583,"yyyy/m/d"),"""")</f>
        <v>tanjyoubi:"1961/3/30"</v>
      </c>
      <c r="G583" t="str" cm="1">
        <f t="array" aca="1" ref="G583" ca="1">CONCATENATE(INDIRECT(ADDRESS(1,6,1,0,"KeySet"),0),":","""",TEXT(valueMaker!G583,"yyyy/m/d"),"""")</f>
        <v>tanjyoubi:"1994/7/20"</v>
      </c>
      <c r="H583" t="str" cm="1">
        <f t="array" aca="1" ref="H583" ca="1">CONCATENATE(INDIRECT(ADDRESS(1,6,1,0,"KeySet"),0),":","""",TEXT(valueMaker!H583,"yyyy/m/d"),"""")</f>
        <v>tanjyoubi:"1996/7/19"</v>
      </c>
      <c r="I583" t="str" cm="1">
        <f t="array" aca="1" ref="I583" ca="1">CONCATENATE(INDIRECT(ADDRESS(1,9,1,0,"KeySet"),0),":","""",valueMaker!I583,"""")</f>
        <v>denwaBangou:"090-7349-5493"</v>
      </c>
      <c r="J583" t="str" cm="1">
        <f t="array" aca="1" ref="J583" ca="1">CONCATENATE(INDIRECT(ADDRESS(1,10,1,0,"KeySet"),0),":","""",valueMaker!J583,"""")</f>
        <v>mailAddress:"Zhu_Ya_Xue_34535@outlook.jp.co"</v>
      </c>
      <c r="K583" t="str" cm="1">
        <f t="array" aca="1" ref="K583" ca="1">CONCATENATE(INDIRECT(ADDRESS(1,11,1,0,"KeySet"),0),":","""",valueMaker!K583,"""")</f>
        <v>kaninSyubetu:"普通"</v>
      </c>
      <c r="L583" t="str" cm="1">
        <f t="array" aca="1" ref="L583" ca="1">CONCATENATE(INDIRECT(ADDRESS(1,12,1,0,"KeySet"),0),":","""",valueMaker!L583,"""")</f>
        <v>kaninKengenWB:"有り"</v>
      </c>
      <c r="M583" t="str" cm="1">
        <f t="array" aca="1" ref="M583" ca="1">CONCATENATE(INDIRECT(ADDRESS(1,13,1,0,"KeySet"),0),":","""",valueMaker!M583,"""")</f>
        <v>wakibiri:"5%"</v>
      </c>
      <c r="N583" t="str" cm="1">
        <f t="array" aca="1" ref="N583" ca="1">CONCATENATE(INDIRECT(ADDRESS(1,14,1,0,"KeySet"),0),":","""",valueMaker!N583,"""")</f>
        <v>kaninKengenPoint:"有り"</v>
      </c>
      <c r="O583" t="str" cm="1">
        <f t="array" aca="1" ref="O583" ca="1">CONCATENATE(INDIRECT(ADDRESS(1,15,1,0,"KeySet"),0),":","""",valueMaker!O583,"""")</f>
        <v>point:"522"</v>
      </c>
      <c r="P583" t="str" cm="1">
        <f t="array" aca="1" ref="P583" ca="1">CONCATENATE(INDIRECT(ADDRESS(1,16,1,0,"KeySet"),0),":","""",valueMaker!P583,"""")</f>
        <v>bikou:""</v>
      </c>
    </row>
    <row r="584" spans="1:16">
      <c r="A584" t="str" cm="1">
        <f t="array" aca="1" ref="A584" ca="1">CONCATENATE(INDIRECT(ADDRESS(1,1,1,0,"KeySet"),0),":","""",valueMaker!A584,"""")</f>
        <v>kainBangou:"TD10583"</v>
      </c>
      <c r="B584" t="str" cm="1">
        <f t="array" aca="1" ref="B584" ca="1">CONCATENATE(INDIRECT(ADDRESS(1,2,1,0,"KeySet"),0),":","""",valueMaker!B584,"""")</f>
        <v>kainMeiKanji:"徐欽龍"</v>
      </c>
      <c r="C584" t="str" cm="1">
        <f t="array" aca="1" ref="C584" ca="1">CONCATENATE(INDIRECT(ADDRESS(1,3,1,0,"KeySet"),0),":","""",valueMaker!C584,"""")</f>
        <v>kainMeiKana:"ｼｭｲ ﾁﾝ ﾛｰﾝ"</v>
      </c>
      <c r="D584" t="str" cm="1">
        <f t="array" aca="1" ref="D584" ca="1">CONCATENATE(INDIRECT(ADDRESS(1,4,1,0,"KeySet"),0),":","""",valueMaker!D584,"""")</f>
        <v>kainMeiEn:"Xu Qin Long"</v>
      </c>
      <c r="E584" t="str" cm="1">
        <f t="array" aca="1" ref="E584" ca="1">CONCATENATE(INDIRECT(ADDRESS(1,5,1,0,"KeySet"),0),":","""",valueMaker!E584,"""")</f>
        <v>kainGender:"女性"</v>
      </c>
      <c r="F584" t="str" cm="1">
        <f t="array" aca="1" ref="F584" ca="1">CONCATENATE(INDIRECT(ADDRESS(1,6,1,0,"KeySet"),0),":","""",TEXT(valueMaker!F584,"yyyy/m/d"),"""")</f>
        <v>tanjyoubi:"1995/12/18"</v>
      </c>
      <c r="G584" t="str" cm="1">
        <f t="array" aca="1" ref="G584" ca="1">CONCATENATE(INDIRECT(ADDRESS(1,6,1,0,"KeySet"),0),":","""",TEXT(valueMaker!G584,"yyyy/m/d"),"""")</f>
        <v>tanjyoubi:"2019/5/7"</v>
      </c>
      <c r="H584" t="str" cm="1">
        <f t="array" aca="1" ref="H584" ca="1">CONCATENATE(INDIRECT(ADDRESS(1,6,1,0,"KeySet"),0),":","""",TEXT(valueMaker!H584,"yyyy/m/d"),"""")</f>
        <v>tanjyoubi:"2020/5/6"</v>
      </c>
      <c r="I584" t="str" cm="1">
        <f t="array" aca="1" ref="I584" ca="1">CONCATENATE(INDIRECT(ADDRESS(1,9,1,0,"KeySet"),0),":","""",valueMaker!I584,"""")</f>
        <v>denwaBangou:"080-5834-1578"</v>
      </c>
      <c r="J584" t="str" cm="1">
        <f t="array" aca="1" ref="J584" ca="1">CONCATENATE(INDIRECT(ADDRESS(1,10,1,0,"KeySet"),0),":","""",valueMaker!J584,"""")</f>
        <v>mailAddress:"Xu_Qin_Long_43592@outlook.jp.co"</v>
      </c>
      <c r="K584" t="str" cm="1">
        <f t="array" aca="1" ref="K584" ca="1">CONCATENATE(INDIRECT(ADDRESS(1,11,1,0,"KeySet"),0),":","""",valueMaker!K584,"""")</f>
        <v>kaninSyubetu:"高級"</v>
      </c>
      <c r="L584" t="str" cm="1">
        <f t="array" aca="1" ref="L584" ca="1">CONCATENATE(INDIRECT(ADDRESS(1,12,1,0,"KeySet"),0),":","""",valueMaker!L584,"""")</f>
        <v>kaninKengenWB:"有り"</v>
      </c>
      <c r="M584" t="str" cm="1">
        <f t="array" aca="1" ref="M584" ca="1">CONCATENATE(INDIRECT(ADDRESS(1,13,1,0,"KeySet"),0),":","""",valueMaker!M584,"""")</f>
        <v>wakibiri:"10%"</v>
      </c>
      <c r="N584" t="str" cm="1">
        <f t="array" aca="1" ref="N584" ca="1">CONCATENATE(INDIRECT(ADDRESS(1,14,1,0,"KeySet"),0),":","""",valueMaker!N584,"""")</f>
        <v>kaninKengenPoint:"有り"</v>
      </c>
      <c r="O584" t="str" cm="1">
        <f t="array" aca="1" ref="O584" ca="1">CONCATENATE(INDIRECT(ADDRESS(1,15,1,0,"KeySet"),0),":","""",valueMaker!O584,"""")</f>
        <v>point:"701"</v>
      </c>
      <c r="P584" t="str" cm="1">
        <f t="array" aca="1" ref="P584" ca="1">CONCATENATE(INDIRECT(ADDRESS(1,16,1,0,"KeySet"),0),":","""",valueMaker!P584,"""")</f>
        <v>bikou:""</v>
      </c>
    </row>
    <row r="585" spans="1:16">
      <c r="A585" t="str" cm="1">
        <f t="array" aca="1" ref="A585" ca="1">CONCATENATE(INDIRECT(ADDRESS(1,1,1,0,"KeySet"),0),":","""",valueMaker!A585,"""")</f>
        <v>kainBangou:"TD10584"</v>
      </c>
      <c r="B585" t="str" cm="1">
        <f t="array" aca="1" ref="B585" ca="1">CONCATENATE(INDIRECT(ADDRESS(1,2,1,0,"KeySet"),0),":","""",valueMaker!B585,"""")</f>
        <v>kainMeiKanji:"陳藍尚"</v>
      </c>
      <c r="C585" t="str" cm="1">
        <f t="array" aca="1" ref="C585" ca="1">CONCATENATE(INDIRECT(ADDRESS(1,3,1,0,"KeySet"),0),":","""",valueMaker!C585,"""")</f>
        <v>kainMeiKana:"ﾁｪﾝ ﾗﾝ ｼｬｰﾝ"</v>
      </c>
      <c r="D585" t="str" cm="1">
        <f t="array" aca="1" ref="D585" ca="1">CONCATENATE(INDIRECT(ADDRESS(1,4,1,0,"KeySet"),0),":","""",valueMaker!D585,"""")</f>
        <v>kainMeiEn:"Chen Lan Shang"</v>
      </c>
      <c r="E585" t="str" cm="1">
        <f t="array" aca="1" ref="E585" ca="1">CONCATENATE(INDIRECT(ADDRESS(1,5,1,0,"KeySet"),0),":","""",valueMaker!E585,"""")</f>
        <v>kainGender:"男性"</v>
      </c>
      <c r="F585" t="str" cm="1">
        <f t="array" aca="1" ref="F585" ca="1">CONCATENATE(INDIRECT(ADDRESS(1,6,1,0,"KeySet"),0),":","""",TEXT(valueMaker!F585,"yyyy/m/d"),"""")</f>
        <v>tanjyoubi:"1972/12/13"</v>
      </c>
      <c r="G585" t="str" cm="1">
        <f t="array" aca="1" ref="G585" ca="1">CONCATENATE(INDIRECT(ADDRESS(1,6,1,0,"KeySet"),0),":","""",TEXT(valueMaker!G585,"yyyy/m/d"),"""")</f>
        <v>tanjyoubi:"2017/5/18"</v>
      </c>
      <c r="H585" t="str" cm="1">
        <f t="array" aca="1" ref="H585" ca="1">CONCATENATE(INDIRECT(ADDRESS(1,6,1,0,"KeySet"),0),":","""",TEXT(valueMaker!H585,"yyyy/m/d"),"""")</f>
        <v>tanjyoubi:"2018/5/18"</v>
      </c>
      <c r="I585" t="str" cm="1">
        <f t="array" aca="1" ref="I585" ca="1">CONCATENATE(INDIRECT(ADDRESS(1,9,1,0,"KeySet"),0),":","""",valueMaker!I585,"""")</f>
        <v>denwaBangou:"090-2037-2387"</v>
      </c>
      <c r="J585" t="str" cm="1">
        <f t="array" aca="1" ref="J585" ca="1">CONCATENATE(INDIRECT(ADDRESS(1,10,1,0,"KeySet"),0),":","""",valueMaker!J585,"""")</f>
        <v>mailAddress:"Chen_Lan_Shang_42873@outlook.jp.co"</v>
      </c>
      <c r="K585" t="str" cm="1">
        <f t="array" aca="1" ref="K585" ca="1">CONCATENATE(INDIRECT(ADDRESS(1,11,1,0,"KeySet"),0),":","""",valueMaker!K585,"""")</f>
        <v>kaninSyubetu:"普通"</v>
      </c>
      <c r="L585" t="str" cm="1">
        <f t="array" aca="1" ref="L585" ca="1">CONCATENATE(INDIRECT(ADDRESS(1,12,1,0,"KeySet"),0),":","""",valueMaker!L585,"""")</f>
        <v>kaninKengenWB:"有り"</v>
      </c>
      <c r="M585" t="str" cm="1">
        <f t="array" aca="1" ref="M585" ca="1">CONCATENATE(INDIRECT(ADDRESS(1,13,1,0,"KeySet"),0),":","""",valueMaker!M585,"""")</f>
        <v>wakibiri:"5%"</v>
      </c>
      <c r="N585" t="str" cm="1">
        <f t="array" aca="1" ref="N585" ca="1">CONCATENATE(INDIRECT(ADDRESS(1,14,1,0,"KeySet"),0),":","""",valueMaker!N585,"""")</f>
        <v>kaninKengenPoint:"有り"</v>
      </c>
      <c r="O585" t="str" cm="1">
        <f t="array" aca="1" ref="O585" ca="1">CONCATENATE(INDIRECT(ADDRESS(1,15,1,0,"KeySet"),0),":","""",valueMaker!O585,"""")</f>
        <v>point:"992"</v>
      </c>
      <c r="P585" t="str" cm="1">
        <f t="array" aca="1" ref="P585" ca="1">CONCATENATE(INDIRECT(ADDRESS(1,16,1,0,"KeySet"),0),":","""",valueMaker!P585,"""")</f>
        <v>bikou:""</v>
      </c>
    </row>
    <row r="586" spans="1:16">
      <c r="A586" t="str" cm="1">
        <f t="array" aca="1" ref="A586" ca="1">CONCATENATE(INDIRECT(ADDRESS(1,1,1,0,"KeySet"),0),":","""",valueMaker!A586,"""")</f>
        <v>kainBangou:"TD10585"</v>
      </c>
      <c r="B586" t="str" cm="1">
        <f t="array" aca="1" ref="B586" ca="1">CONCATENATE(INDIRECT(ADDRESS(1,2,1,0,"KeySet"),0),":","""",valueMaker!B586,"""")</f>
        <v>kainMeiKanji:"劉創淺"</v>
      </c>
      <c r="C586" t="str" cm="1">
        <f t="array" aca="1" ref="C586" ca="1">CONCATENATE(INDIRECT(ADDRESS(1,3,1,0,"KeySet"),0),":","""",valueMaker!C586,"""")</f>
        <v>kainMeiKana:"ﾘｳ ﾁｭﾜｰﾝ ﾁｴﾝ"</v>
      </c>
      <c r="D586" t="str" cm="1">
        <f t="array" aca="1" ref="D586" ca="1">CONCATENATE(INDIRECT(ADDRESS(1,4,1,0,"KeySet"),0),":","""",valueMaker!D586,"""")</f>
        <v>kainMeiEn:"Liu Chuang Qian"</v>
      </c>
      <c r="E586" t="str" cm="1">
        <f t="array" aca="1" ref="E586" ca="1">CONCATENATE(INDIRECT(ADDRESS(1,5,1,0,"KeySet"),0),":","""",valueMaker!E586,"""")</f>
        <v>kainGender:"男性"</v>
      </c>
      <c r="F586" t="str" cm="1">
        <f t="array" aca="1" ref="F586" ca="1">CONCATENATE(INDIRECT(ADDRESS(1,6,1,0,"KeySet"),0),":","""",TEXT(valueMaker!F586,"yyyy/m/d"),"""")</f>
        <v>tanjyoubi:"1986/5/24"</v>
      </c>
      <c r="G586" t="str" cm="1">
        <f t="array" aca="1" ref="G586" ca="1">CONCATENATE(INDIRECT(ADDRESS(1,6,1,0,"KeySet"),0),":","""",TEXT(valueMaker!G586,"yyyy/m/d"),"""")</f>
        <v>tanjyoubi:"2016/2/22"</v>
      </c>
      <c r="H586" t="str" cm="1">
        <f t="array" aca="1" ref="H586" ca="1">CONCATENATE(INDIRECT(ADDRESS(1,6,1,0,"KeySet"),0),":","""",TEXT(valueMaker!H586,"yyyy/m/d"),"""")</f>
        <v>tanjyoubi:"2018/2/21"</v>
      </c>
      <c r="I586" t="str" cm="1">
        <f t="array" aca="1" ref="I586" ca="1">CONCATENATE(INDIRECT(ADDRESS(1,9,1,0,"KeySet"),0),":","""",valueMaker!I586,"""")</f>
        <v>denwaBangou:"090-0347-6390"</v>
      </c>
      <c r="J586" t="str" cm="1">
        <f t="array" aca="1" ref="J586" ca="1">CONCATENATE(INDIRECT(ADDRESS(1,10,1,0,"KeySet"),0),":","""",valueMaker!J586,"""")</f>
        <v>mailAddress:"Liu_Chuang Qian_42422@outlook.jp.co"</v>
      </c>
      <c r="K586" t="str" cm="1">
        <f t="array" aca="1" ref="K586" ca="1">CONCATENATE(INDIRECT(ADDRESS(1,11,1,0,"KeySet"),0),":","""",valueMaker!K586,"""")</f>
        <v>kaninSyubetu:"普通"</v>
      </c>
      <c r="L586" t="str" cm="1">
        <f t="array" aca="1" ref="L586" ca="1">CONCATENATE(INDIRECT(ADDRESS(1,12,1,0,"KeySet"),0),":","""",valueMaker!L586,"""")</f>
        <v>kaninKengenWB:"有り"</v>
      </c>
      <c r="M586" t="str" cm="1">
        <f t="array" aca="1" ref="M586" ca="1">CONCATENATE(INDIRECT(ADDRESS(1,13,1,0,"KeySet"),0),":","""",valueMaker!M586,"""")</f>
        <v>wakibiri:"5%"</v>
      </c>
      <c r="N586" t="str" cm="1">
        <f t="array" aca="1" ref="N586" ca="1">CONCATENATE(INDIRECT(ADDRESS(1,14,1,0,"KeySet"),0),":","""",valueMaker!N586,"""")</f>
        <v>kaninKengenPoint:"有り"</v>
      </c>
      <c r="O586" t="str" cm="1">
        <f t="array" aca="1" ref="O586" ca="1">CONCATENATE(INDIRECT(ADDRESS(1,15,1,0,"KeySet"),0),":","""",valueMaker!O586,"""")</f>
        <v>point:"371"</v>
      </c>
      <c r="P586" t="str" cm="1">
        <f t="array" aca="1" ref="P586" ca="1">CONCATENATE(INDIRECT(ADDRESS(1,16,1,0,"KeySet"),0),":","""",valueMaker!P586,"""")</f>
        <v>bikou:""</v>
      </c>
    </row>
    <row r="587" spans="1:16">
      <c r="A587" t="str" cm="1">
        <f t="array" aca="1" ref="A587" ca="1">CONCATENATE(INDIRECT(ADDRESS(1,1,1,0,"KeySet"),0),":","""",valueMaker!A587,"""")</f>
        <v>kainBangou:"TD10586"</v>
      </c>
      <c r="B587" t="str" cm="1">
        <f t="array" aca="1" ref="B587" ca="1">CONCATENATE(INDIRECT(ADDRESS(1,2,1,0,"KeySet"),0),":","""",valueMaker!B587,"""")</f>
        <v>kainMeiKanji:"宋壯臻"</v>
      </c>
      <c r="C587" t="str" cm="1">
        <f t="array" aca="1" ref="C587" ca="1">CONCATENATE(INDIRECT(ADDRESS(1,3,1,0,"KeySet"),0),":","""",valueMaker!C587,"""")</f>
        <v>kainMeiKana:"ｿｰﾝ ｼﾞｭﾜｰﾝ ｼﾞｪﾝ"</v>
      </c>
      <c r="D587" t="str" cm="1">
        <f t="array" aca="1" ref="D587" ca="1">CONCATENATE(INDIRECT(ADDRESS(1,4,1,0,"KeySet"),0),":","""",valueMaker!D587,"""")</f>
        <v>kainMeiEn:"Song Zhuang Zhen"</v>
      </c>
      <c r="E587" t="str" cm="1">
        <f t="array" aca="1" ref="E587" ca="1">CONCATENATE(INDIRECT(ADDRESS(1,5,1,0,"KeySet"),0),":","""",valueMaker!E587,"""")</f>
        <v>kainGender:"男性"</v>
      </c>
      <c r="F587" t="str" cm="1">
        <f t="array" aca="1" ref="F587" ca="1">CONCATENATE(INDIRECT(ADDRESS(1,6,1,0,"KeySet"),0),":","""",TEXT(valueMaker!F587,"yyyy/m/d"),"""")</f>
        <v>tanjyoubi:"1988/11/3"</v>
      </c>
      <c r="G587" t="str" cm="1">
        <f t="array" aca="1" ref="G587" ca="1">CONCATENATE(INDIRECT(ADDRESS(1,6,1,0,"KeySet"),0),":","""",TEXT(valueMaker!G587,"yyyy/m/d"),"""")</f>
        <v>tanjyoubi:"2021/5/20"</v>
      </c>
      <c r="H587" t="str" cm="1">
        <f t="array" aca="1" ref="H587" ca="1">CONCATENATE(INDIRECT(ADDRESS(1,6,1,0,"KeySet"),0),":","""",TEXT(valueMaker!H587,"yyyy/m/d"),"""")</f>
        <v>tanjyoubi:"2022/5/20"</v>
      </c>
      <c r="I587" t="str" cm="1">
        <f t="array" aca="1" ref="I587" ca="1">CONCATENATE(INDIRECT(ADDRESS(1,9,1,0,"KeySet"),0),":","""",valueMaker!I587,"""")</f>
        <v>denwaBangou:"080-6681-4152"</v>
      </c>
      <c r="J587" t="str" cm="1">
        <f t="array" aca="1" ref="J587" ca="1">CONCATENATE(INDIRECT(ADDRESS(1,10,1,0,"KeySet"),0),":","""",valueMaker!J587,"""")</f>
        <v>mailAddress:"Song_Zhuang_Zhen_44336@outlook.jp.co"</v>
      </c>
      <c r="K587" t="str" cm="1">
        <f t="array" aca="1" ref="K587" ca="1">CONCATENATE(INDIRECT(ADDRESS(1,11,1,0,"KeySet"),0),":","""",valueMaker!K587,"""")</f>
        <v>kaninSyubetu:"高級"</v>
      </c>
      <c r="L587" t="str" cm="1">
        <f t="array" aca="1" ref="L587" ca="1">CONCATENATE(INDIRECT(ADDRESS(1,12,1,0,"KeySet"),0),":","""",valueMaker!L587,"""")</f>
        <v>kaninKengenWB:"有り"</v>
      </c>
      <c r="M587" t="str" cm="1">
        <f t="array" aca="1" ref="M587" ca="1">CONCATENATE(INDIRECT(ADDRESS(1,13,1,0,"KeySet"),0),":","""",valueMaker!M587,"""")</f>
        <v>wakibiri:"10%"</v>
      </c>
      <c r="N587" t="str" cm="1">
        <f t="array" aca="1" ref="N587" ca="1">CONCATENATE(INDIRECT(ADDRESS(1,14,1,0,"KeySet"),0),":","""",valueMaker!N587,"""")</f>
        <v>kaninKengenPoint:"有り"</v>
      </c>
      <c r="O587" t="str" cm="1">
        <f t="array" aca="1" ref="O587" ca="1">CONCATENATE(INDIRECT(ADDRESS(1,15,1,0,"KeySet"),0),":","""",valueMaker!O587,"""")</f>
        <v>point:"644"</v>
      </c>
      <c r="P587" t="str" cm="1">
        <f t="array" aca="1" ref="P587" ca="1">CONCATENATE(INDIRECT(ADDRESS(1,16,1,0,"KeySet"),0),":","""",valueMaker!P587,"""")</f>
        <v>bikou:""</v>
      </c>
    </row>
    <row r="588" spans="1:16">
      <c r="A588" t="str" cm="1">
        <f t="array" aca="1" ref="A588" ca="1">CONCATENATE(INDIRECT(ADDRESS(1,1,1,0,"KeySet"),0),":","""",valueMaker!A588,"""")</f>
        <v>kainBangou:"TD10587"</v>
      </c>
      <c r="B588" t="str" cm="1">
        <f t="array" aca="1" ref="B588" ca="1">CONCATENATE(INDIRECT(ADDRESS(1,2,1,0,"KeySet"),0),":","""",valueMaker!B588,"""")</f>
        <v>kainMeiKanji:"謝皇特"</v>
      </c>
      <c r="C588" t="str" cm="1">
        <f t="array" aca="1" ref="C588" ca="1">CONCATENATE(INDIRECT(ADDRESS(1,3,1,0,"KeySet"),0),":","""",valueMaker!C588,"""")</f>
        <v>kainMeiKana:"ｼｴ ﾎﾜｰﾝ ﾄｰｧ"</v>
      </c>
      <c r="D588" t="str" cm="1">
        <f t="array" aca="1" ref="D588" ca="1">CONCATENATE(INDIRECT(ADDRESS(1,4,1,0,"KeySet"),0),":","""",valueMaker!D588,"""")</f>
        <v>kainMeiEn:"Xie Huang Te"</v>
      </c>
      <c r="E588" t="str" cm="1">
        <f t="array" aca="1" ref="E588" ca="1">CONCATENATE(INDIRECT(ADDRESS(1,5,1,0,"KeySet"),0),":","""",valueMaker!E588,"""")</f>
        <v>kainGender:"男性"</v>
      </c>
      <c r="F588" t="str" cm="1">
        <f t="array" aca="1" ref="F588" ca="1">CONCATENATE(INDIRECT(ADDRESS(1,6,1,0,"KeySet"),0),":","""",TEXT(valueMaker!F588,"yyyy/m/d"),"""")</f>
        <v>tanjyoubi:"1981/2/26"</v>
      </c>
      <c r="G588" t="str" cm="1">
        <f t="array" aca="1" ref="G588" ca="1">CONCATENATE(INDIRECT(ADDRESS(1,6,1,0,"KeySet"),0),":","""",TEXT(valueMaker!G588,"yyyy/m/d"),"""")</f>
        <v>tanjyoubi:"2018/2/13"</v>
      </c>
      <c r="H588" t="str" cm="1">
        <f t="array" aca="1" ref="H588" ca="1">CONCATENATE(INDIRECT(ADDRESS(1,6,1,0,"KeySet"),0),":","""",TEXT(valueMaker!H588,"yyyy/m/d"),"""")</f>
        <v>tanjyoubi:"2020/2/13"</v>
      </c>
      <c r="I588" t="str" cm="1">
        <f t="array" aca="1" ref="I588" ca="1">CONCATENATE(INDIRECT(ADDRESS(1,9,1,0,"KeySet"),0),":","""",valueMaker!I588,"""")</f>
        <v>denwaBangou:"090-7250-1082"</v>
      </c>
      <c r="J588" t="str" cm="1">
        <f t="array" aca="1" ref="J588" ca="1">CONCATENATE(INDIRECT(ADDRESS(1,10,1,0,"KeySet"),0),":","""",valueMaker!J588,"""")</f>
        <v>mailAddress:"Xie_Huang_Te_43144@outlook.jp.co"</v>
      </c>
      <c r="K588" t="str" cm="1">
        <f t="array" aca="1" ref="K588" ca="1">CONCATENATE(INDIRECT(ADDRESS(1,11,1,0,"KeySet"),0),":","""",valueMaker!K588,"""")</f>
        <v>kaninSyubetu:"普通"</v>
      </c>
      <c r="L588" t="str" cm="1">
        <f t="array" aca="1" ref="L588" ca="1">CONCATENATE(INDIRECT(ADDRESS(1,12,1,0,"KeySet"),0),":","""",valueMaker!L588,"""")</f>
        <v>kaninKengenWB:"有り"</v>
      </c>
      <c r="M588" t="str" cm="1">
        <f t="array" aca="1" ref="M588" ca="1">CONCATENATE(INDIRECT(ADDRESS(1,13,1,0,"KeySet"),0),":","""",valueMaker!M588,"""")</f>
        <v>wakibiri:"5%"</v>
      </c>
      <c r="N588" t="str" cm="1">
        <f t="array" aca="1" ref="N588" ca="1">CONCATENATE(INDIRECT(ADDRESS(1,14,1,0,"KeySet"),0),":","""",valueMaker!N588,"""")</f>
        <v>kaninKengenPoint:"有り"</v>
      </c>
      <c r="O588" t="str" cm="1">
        <f t="array" aca="1" ref="O588" ca="1">CONCATENATE(INDIRECT(ADDRESS(1,15,1,0,"KeySet"),0),":","""",valueMaker!O588,"""")</f>
        <v>point:"973"</v>
      </c>
      <c r="P588" t="str" cm="1">
        <f t="array" aca="1" ref="P588" ca="1">CONCATENATE(INDIRECT(ADDRESS(1,16,1,0,"KeySet"),0),":","""",valueMaker!P588,"""")</f>
        <v>bikou:""</v>
      </c>
    </row>
    <row r="589" spans="1:16">
      <c r="A589" t="str" cm="1">
        <f t="array" aca="1" ref="A589" ca="1">CONCATENATE(INDIRECT(ADDRESS(1,1,1,0,"KeySet"),0),":","""",valueMaker!A589,"""")</f>
        <v>kainBangou:"TD10588"</v>
      </c>
      <c r="B589" t="str" cm="1">
        <f t="array" aca="1" ref="B589" ca="1">CONCATENATE(INDIRECT(ADDRESS(1,2,1,0,"KeySet"),0),":","""",valueMaker!B589,"""")</f>
        <v>kainMeiKanji:"吳慶興"</v>
      </c>
      <c r="C589" t="str" cm="1">
        <f t="array" aca="1" ref="C589" ca="1">CONCATENATE(INDIRECT(ADDRESS(1,3,1,0,"KeySet"),0),":","""",valueMaker!C589,"""")</f>
        <v>kainMeiKana:"ｳｰ ﾁｰﾝ ｼｰﾝ"</v>
      </c>
      <c r="D589" t="str" cm="1">
        <f t="array" aca="1" ref="D589" ca="1">CONCATENATE(INDIRECT(ADDRESS(1,4,1,0,"KeySet"),0),":","""",valueMaker!D589,"""")</f>
        <v>kainMeiEn:"Wu Qing Xing"</v>
      </c>
      <c r="E589" t="str" cm="1">
        <f t="array" aca="1" ref="E589" ca="1">CONCATENATE(INDIRECT(ADDRESS(1,5,1,0,"KeySet"),0),":","""",valueMaker!E589,"""")</f>
        <v>kainGender:"男性"</v>
      </c>
      <c r="F589" t="str" cm="1">
        <f t="array" aca="1" ref="F589" ca="1">CONCATENATE(INDIRECT(ADDRESS(1,6,1,0,"KeySet"),0),":","""",TEXT(valueMaker!F589,"yyyy/m/d"),"""")</f>
        <v>tanjyoubi:"1977/2/20"</v>
      </c>
      <c r="G589" t="str" cm="1">
        <f t="array" aca="1" ref="G589" ca="1">CONCATENATE(INDIRECT(ADDRESS(1,6,1,0,"KeySet"),0),":","""",TEXT(valueMaker!G589,"yyyy/m/d"),"""")</f>
        <v>tanjyoubi:"2011/3/1"</v>
      </c>
      <c r="H589" t="str" cm="1">
        <f t="array" aca="1" ref="H589" ca="1">CONCATENATE(INDIRECT(ADDRESS(1,6,1,0,"KeySet"),0),":","""",TEXT(valueMaker!H589,"yyyy/m/d"),"""")</f>
        <v>tanjyoubi:"2012/2/29"</v>
      </c>
      <c r="I589" t="str" cm="1">
        <f t="array" aca="1" ref="I589" ca="1">CONCATENATE(INDIRECT(ADDRESS(1,9,1,0,"KeySet"),0),":","""",valueMaker!I589,"""")</f>
        <v>denwaBangou:"080-0526-7661"</v>
      </c>
      <c r="J589" t="str" cm="1">
        <f t="array" aca="1" ref="J589" ca="1">CONCATENATE(INDIRECT(ADDRESS(1,10,1,0,"KeySet"),0),":","""",valueMaker!J589,"""")</f>
        <v>mailAddress:"Wu_Qing_Xing_40603@outlook.jp.co"</v>
      </c>
      <c r="K589" t="str" cm="1">
        <f t="array" aca="1" ref="K589" ca="1">CONCATENATE(INDIRECT(ADDRESS(1,11,1,0,"KeySet"),0),":","""",valueMaker!K589,"""")</f>
        <v>kaninSyubetu:"高級"</v>
      </c>
      <c r="L589" t="str" cm="1">
        <f t="array" aca="1" ref="L589" ca="1">CONCATENATE(INDIRECT(ADDRESS(1,12,1,0,"KeySet"),0),":","""",valueMaker!L589,"""")</f>
        <v>kaninKengenWB:"有り"</v>
      </c>
      <c r="M589" t="str" cm="1">
        <f t="array" aca="1" ref="M589" ca="1">CONCATENATE(INDIRECT(ADDRESS(1,13,1,0,"KeySet"),0),":","""",valueMaker!M589,"""")</f>
        <v>wakibiri:"10%"</v>
      </c>
      <c r="N589" t="str" cm="1">
        <f t="array" aca="1" ref="N589" ca="1">CONCATENATE(INDIRECT(ADDRESS(1,14,1,0,"KeySet"),0),":","""",valueMaker!N589,"""")</f>
        <v>kaninKengenPoint:"-"</v>
      </c>
      <c r="O589" t="str" cm="1">
        <f t="array" aca="1" ref="O589" ca="1">CONCATENATE(INDIRECT(ADDRESS(1,15,1,0,"KeySet"),0),":","""",valueMaker!O589,"""")</f>
        <v>point:"-"</v>
      </c>
      <c r="P589" t="str" cm="1">
        <f t="array" aca="1" ref="P589" ca="1">CONCATENATE(INDIRECT(ADDRESS(1,16,1,0,"KeySet"),0),":","""",valueMaker!P589,"""")</f>
        <v>bikou:""</v>
      </c>
    </row>
    <row r="590" spans="1:16">
      <c r="A590" t="str" cm="1">
        <f t="array" aca="1" ref="A590" ca="1">CONCATENATE(INDIRECT(ADDRESS(1,1,1,0,"KeySet"),0),":","""",valueMaker!A590,"""")</f>
        <v>kainBangou:"TD10589"</v>
      </c>
      <c r="B590" t="str" cm="1">
        <f t="array" aca="1" ref="B590" ca="1">CONCATENATE(INDIRECT(ADDRESS(1,2,1,0,"KeySet"),0),":","""",valueMaker!B590,"""")</f>
        <v>kainMeiKanji:"王譽昌"</v>
      </c>
      <c r="C590" t="str" cm="1">
        <f t="array" aca="1" ref="C590" ca="1">CONCATENATE(INDIRECT(ADDRESS(1,3,1,0,"KeySet"),0),":","""",valueMaker!C590,"""")</f>
        <v>kainMeiKana:"ﾜｰﾝ ﾕｲ ﾁｬｰﾝ"</v>
      </c>
      <c r="D590" t="str" cm="1">
        <f t="array" aca="1" ref="D590" ca="1">CONCATENATE(INDIRECT(ADDRESS(1,4,1,0,"KeySet"),0),":","""",valueMaker!D590,"""")</f>
        <v>kainMeiEn:"Wang Yu Chang"</v>
      </c>
      <c r="E590" t="str" cm="1">
        <f t="array" aca="1" ref="E590" ca="1">CONCATENATE(INDIRECT(ADDRESS(1,5,1,0,"KeySet"),0),":","""",valueMaker!E590,"""")</f>
        <v>kainGender:"男性"</v>
      </c>
      <c r="F590" t="str" cm="1">
        <f t="array" aca="1" ref="F590" ca="1">CONCATENATE(INDIRECT(ADDRESS(1,6,1,0,"KeySet"),0),":","""",TEXT(valueMaker!F590,"yyyy/m/d"),"""")</f>
        <v>tanjyoubi:"1968/11/7"</v>
      </c>
      <c r="G590" t="str" cm="1">
        <f t="array" aca="1" ref="G590" ca="1">CONCATENATE(INDIRECT(ADDRESS(1,6,1,0,"KeySet"),0),":","""",TEXT(valueMaker!G590,"yyyy/m/d"),"""")</f>
        <v>tanjyoubi:"1988/5/22"</v>
      </c>
      <c r="H590" t="str" cm="1">
        <f t="array" aca="1" ref="H590" ca="1">CONCATENATE(INDIRECT(ADDRESS(1,6,1,0,"KeySet"),0),":","""",TEXT(valueMaker!H590,"yyyy/m/d"),"""")</f>
        <v>tanjyoubi:"1991/5/22"</v>
      </c>
      <c r="I590" t="str" cm="1">
        <f t="array" aca="1" ref="I590" ca="1">CONCATENATE(INDIRECT(ADDRESS(1,9,1,0,"KeySet"),0),":","""",valueMaker!I590,"""")</f>
        <v>denwaBangou:"080-3536-7037"</v>
      </c>
      <c r="J590" t="str" cm="1">
        <f t="array" aca="1" ref="J590" ca="1">CONCATENATE(INDIRECT(ADDRESS(1,10,1,0,"KeySet"),0),":","""",valueMaker!J590,"""")</f>
        <v>mailAddress:"Wang_Yu_Chang_32285@outlook.jp.co"</v>
      </c>
      <c r="K590" t="str" cm="1">
        <f t="array" aca="1" ref="K590" ca="1">CONCATENATE(INDIRECT(ADDRESS(1,11,1,0,"KeySet"),0),":","""",valueMaker!K590,"""")</f>
        <v>kaninSyubetu:"普通"</v>
      </c>
      <c r="L590" t="str" cm="1">
        <f t="array" aca="1" ref="L590" ca="1">CONCATENATE(INDIRECT(ADDRESS(1,12,1,0,"KeySet"),0),":","""",valueMaker!L590,"""")</f>
        <v>kaninKengenWB:"有り"</v>
      </c>
      <c r="M590" t="str" cm="1">
        <f t="array" aca="1" ref="M590" ca="1">CONCATENATE(INDIRECT(ADDRESS(1,13,1,0,"KeySet"),0),":","""",valueMaker!M590,"""")</f>
        <v>wakibiri:"5%"</v>
      </c>
      <c r="N590" t="str" cm="1">
        <f t="array" aca="1" ref="N590" ca="1">CONCATENATE(INDIRECT(ADDRESS(1,14,1,0,"KeySet"),0),":","""",valueMaker!N590,"""")</f>
        <v>kaninKengenPoint:"有り"</v>
      </c>
      <c r="O590" t="str" cm="1">
        <f t="array" aca="1" ref="O590" ca="1">CONCATENATE(INDIRECT(ADDRESS(1,15,1,0,"KeySet"),0),":","""",valueMaker!O590,"""")</f>
        <v>point:"222"</v>
      </c>
      <c r="P590" t="str" cm="1">
        <f t="array" aca="1" ref="P590" ca="1">CONCATENATE(INDIRECT(ADDRESS(1,16,1,0,"KeySet"),0),":","""",valueMaker!P590,"""")</f>
        <v>bikou:""</v>
      </c>
    </row>
    <row r="591" spans="1:16">
      <c r="A591" t="str" cm="1">
        <f t="array" aca="1" ref="A591" ca="1">CONCATENATE(INDIRECT(ADDRESS(1,1,1,0,"KeySet"),0),":","""",valueMaker!A591,"""")</f>
        <v>kainBangou:"TD10590"</v>
      </c>
      <c r="B591" t="str" cm="1">
        <f t="array" aca="1" ref="B591" ca="1">CONCATENATE(INDIRECT(ADDRESS(1,2,1,0,"KeySet"),0),":","""",valueMaker!B591,"""")</f>
        <v>kainMeiKanji:"馬赫佑"</v>
      </c>
      <c r="C591" t="str" cm="1">
        <f t="array" aca="1" ref="C591" ca="1">CONCATENATE(INDIRECT(ADDRESS(1,3,1,0,"KeySet"),0),":","""",valueMaker!C591,"""")</f>
        <v>kainMeiKana:"ﾏｰ ﾎｰｧ ﾖｳ"</v>
      </c>
      <c r="D591" t="str" cm="1">
        <f t="array" aca="1" ref="D591" ca="1">CONCATENATE(INDIRECT(ADDRESS(1,4,1,0,"KeySet"),0),":","""",valueMaker!D591,"""")</f>
        <v>kainMeiEn:"Ma He You"</v>
      </c>
      <c r="E591" t="str" cm="1">
        <f t="array" aca="1" ref="E591" ca="1">CONCATENATE(INDIRECT(ADDRESS(1,5,1,0,"KeySet"),0),":","""",valueMaker!E591,"""")</f>
        <v>kainGender:"男性"</v>
      </c>
      <c r="F591" t="str" cm="1">
        <f t="array" aca="1" ref="F591" ca="1">CONCATENATE(INDIRECT(ADDRESS(1,6,1,0,"KeySet"),0),":","""",TEXT(valueMaker!F591,"yyyy/m/d"),"""")</f>
        <v>tanjyoubi:"1972/8/19"</v>
      </c>
      <c r="G591" t="str" cm="1">
        <f t="array" aca="1" ref="G591" ca="1">CONCATENATE(INDIRECT(ADDRESS(1,6,1,0,"KeySet"),0),":","""",TEXT(valueMaker!G591,"yyyy/m/d"),"""")</f>
        <v>tanjyoubi:"1994/10/1"</v>
      </c>
      <c r="H591" t="str" cm="1">
        <f t="array" aca="1" ref="H591" ca="1">CONCATENATE(INDIRECT(ADDRESS(1,6,1,0,"KeySet"),0),":","""",TEXT(valueMaker!H591,"yyyy/m/d"),"""")</f>
        <v>tanjyoubi:"1996/9/30"</v>
      </c>
      <c r="I591" t="str" cm="1">
        <f t="array" aca="1" ref="I591" ca="1">CONCATENATE(INDIRECT(ADDRESS(1,9,1,0,"KeySet"),0),":","""",valueMaker!I591,"""")</f>
        <v>denwaBangou:"080-0006-3752"</v>
      </c>
      <c r="J591" t="str" cm="1">
        <f t="array" aca="1" ref="J591" ca="1">CONCATENATE(INDIRECT(ADDRESS(1,10,1,0,"KeySet"),0),":","""",valueMaker!J591,"""")</f>
        <v>mailAddress:"Ma_He_You_34608@outlook.jp.co"</v>
      </c>
      <c r="K591" t="str" cm="1">
        <f t="array" aca="1" ref="K591" ca="1">CONCATENATE(INDIRECT(ADDRESS(1,11,1,0,"KeySet"),0),":","""",valueMaker!K591,"""")</f>
        <v>kaninSyubetu:"高級"</v>
      </c>
      <c r="L591" t="str" cm="1">
        <f t="array" aca="1" ref="L591" ca="1">CONCATENATE(INDIRECT(ADDRESS(1,12,1,0,"KeySet"),0),":","""",valueMaker!L591,"""")</f>
        <v>kaninKengenWB:"-"</v>
      </c>
      <c r="M591" t="str" cm="1">
        <f t="array" aca="1" ref="M591" ca="1">CONCATENATE(INDIRECT(ADDRESS(1,13,1,0,"KeySet"),0),":","""",valueMaker!M591,"""")</f>
        <v>wakibiri:"-"</v>
      </c>
      <c r="N591" t="str" cm="1">
        <f t="array" aca="1" ref="N591" ca="1">CONCATENATE(INDIRECT(ADDRESS(1,14,1,0,"KeySet"),0),":","""",valueMaker!N591,"""")</f>
        <v>kaninKengenPoint:"有り"</v>
      </c>
      <c r="O591" t="str" cm="1">
        <f t="array" aca="1" ref="O591" ca="1">CONCATENATE(INDIRECT(ADDRESS(1,15,1,0,"KeySet"),0),":","""",valueMaker!O591,"""")</f>
        <v>point:"15"</v>
      </c>
      <c r="P591" t="str" cm="1">
        <f t="array" aca="1" ref="P591" ca="1">CONCATENATE(INDIRECT(ADDRESS(1,16,1,0,"KeySet"),0),":","""",valueMaker!P591,"""")</f>
        <v>bikou:""</v>
      </c>
    </row>
    <row r="592" spans="1:16">
      <c r="A592" t="str" cm="1">
        <f t="array" aca="1" ref="A592" ca="1">CONCATENATE(INDIRECT(ADDRESS(1,1,1,0,"KeySet"),0),":","""",valueMaker!A592,"""")</f>
        <v>kainBangou:"TD10591"</v>
      </c>
      <c r="B592" t="str" cm="1">
        <f t="array" aca="1" ref="B592" ca="1">CONCATENATE(INDIRECT(ADDRESS(1,2,1,0,"KeySet"),0),":","""",valueMaker!B592,"""")</f>
        <v>kainMeiKanji:"孫意昌"</v>
      </c>
      <c r="C592" t="str" cm="1">
        <f t="array" aca="1" ref="C592" ca="1">CONCATENATE(INDIRECT(ADDRESS(1,3,1,0,"KeySet"),0),":","""",valueMaker!C592,"""")</f>
        <v>kainMeiKana:"ｽｩﾝ ｲｰ ﾁｬｰﾝ"</v>
      </c>
      <c r="D592" t="str" cm="1">
        <f t="array" aca="1" ref="D592" ca="1">CONCATENATE(INDIRECT(ADDRESS(1,4,1,0,"KeySet"),0),":","""",valueMaker!D592,"""")</f>
        <v>kainMeiEn:"Sun Yi Chang"</v>
      </c>
      <c r="E592" t="str" cm="1">
        <f t="array" aca="1" ref="E592" ca="1">CONCATENATE(INDIRECT(ADDRESS(1,5,1,0,"KeySet"),0),":","""",valueMaker!E592,"""")</f>
        <v>kainGender:"女性"</v>
      </c>
      <c r="F592" t="str" cm="1">
        <f t="array" aca="1" ref="F592" ca="1">CONCATENATE(INDIRECT(ADDRESS(1,6,1,0,"KeySet"),0),":","""",TEXT(valueMaker!F592,"yyyy/m/d"),"""")</f>
        <v>tanjyoubi:"1982/12/16"</v>
      </c>
      <c r="G592" t="str" cm="1">
        <f t="array" aca="1" ref="G592" ca="1">CONCATENATE(INDIRECT(ADDRESS(1,6,1,0,"KeySet"),0),":","""",TEXT(valueMaker!G592,"yyyy/m/d"),"""")</f>
        <v>tanjyoubi:"2010/3/2"</v>
      </c>
      <c r="H592" t="str" cm="1">
        <f t="array" aca="1" ref="H592" ca="1">CONCATENATE(INDIRECT(ADDRESS(1,6,1,0,"KeySet"),0),":","""",TEXT(valueMaker!H592,"yyyy/m/d"),"""")</f>
        <v>tanjyoubi:"2011/3/2"</v>
      </c>
      <c r="I592" t="str" cm="1">
        <f t="array" aca="1" ref="I592" ca="1">CONCATENATE(INDIRECT(ADDRESS(1,9,1,0,"KeySet"),0),":","""",valueMaker!I592,"""")</f>
        <v>denwaBangou:"090-4944-3242"</v>
      </c>
      <c r="J592" t="str" cm="1">
        <f t="array" aca="1" ref="J592" ca="1">CONCATENATE(INDIRECT(ADDRESS(1,10,1,0,"KeySet"),0),":","""",valueMaker!J592,"""")</f>
        <v>mailAddress:"Sun_Yi_Chang_40239@outlook.jp.co"</v>
      </c>
      <c r="K592" t="str" cm="1">
        <f t="array" aca="1" ref="K592" ca="1">CONCATENATE(INDIRECT(ADDRESS(1,11,1,0,"KeySet"),0),":","""",valueMaker!K592,"""")</f>
        <v>kaninSyubetu:"普通"</v>
      </c>
      <c r="L592" t="str" cm="1">
        <f t="array" aca="1" ref="L592" ca="1">CONCATENATE(INDIRECT(ADDRESS(1,12,1,0,"KeySet"),0),":","""",valueMaker!L592,"""")</f>
        <v>kaninKengenWB:"有り"</v>
      </c>
      <c r="M592" t="str" cm="1">
        <f t="array" aca="1" ref="M592" ca="1">CONCATENATE(INDIRECT(ADDRESS(1,13,1,0,"KeySet"),0),":","""",valueMaker!M592,"""")</f>
        <v>wakibiri:"5%"</v>
      </c>
      <c r="N592" t="str" cm="1">
        <f t="array" aca="1" ref="N592" ca="1">CONCATENATE(INDIRECT(ADDRESS(1,14,1,0,"KeySet"),0),":","""",valueMaker!N592,"""")</f>
        <v>kaninKengenPoint:"有り"</v>
      </c>
      <c r="O592" t="str" cm="1">
        <f t="array" aca="1" ref="O592" ca="1">CONCATENATE(INDIRECT(ADDRESS(1,15,1,0,"KeySet"),0),":","""",valueMaker!O592,"""")</f>
        <v>point:"317"</v>
      </c>
      <c r="P592" t="str" cm="1">
        <f t="array" aca="1" ref="P592" ca="1">CONCATENATE(INDIRECT(ADDRESS(1,16,1,0,"KeySet"),0),":","""",valueMaker!P592,"""")</f>
        <v>bikou:""</v>
      </c>
    </row>
    <row r="593" spans="1:16">
      <c r="A593" t="str" cm="1">
        <f t="array" aca="1" ref="A593" ca="1">CONCATENATE(INDIRECT(ADDRESS(1,1,1,0,"KeySet"),0),":","""",valueMaker!A593,"""")</f>
        <v>kainBangou:"TD10592"</v>
      </c>
      <c r="B593" t="str" cm="1">
        <f t="array" aca="1" ref="B593" ca="1">CONCATENATE(INDIRECT(ADDRESS(1,2,1,0,"KeySet"),0),":","""",valueMaker!B593,"""")</f>
        <v>kainMeiKanji:"何登寧"</v>
      </c>
      <c r="C593" t="str" cm="1">
        <f t="array" aca="1" ref="C593" ca="1">CONCATENATE(INDIRECT(ADDRESS(1,3,1,0,"KeySet"),0),":","""",valueMaker!C593,"""")</f>
        <v>kainMeiKana:"ﾎｰｧ ﾄﾞｩｵﾝ ﾆｰﾝ"</v>
      </c>
      <c r="D593" t="str" cm="1">
        <f t="array" aca="1" ref="D593" ca="1">CONCATENATE(INDIRECT(ADDRESS(1,4,1,0,"KeySet"),0),":","""",valueMaker!D593,"""")</f>
        <v>kainMeiEn:"He Deng Ning"</v>
      </c>
      <c r="E593" t="str" cm="1">
        <f t="array" aca="1" ref="E593" ca="1">CONCATENATE(INDIRECT(ADDRESS(1,5,1,0,"KeySet"),0),":","""",valueMaker!E593,"""")</f>
        <v>kainGender:"男性"</v>
      </c>
      <c r="F593" t="str" cm="1">
        <f t="array" aca="1" ref="F593" ca="1">CONCATENATE(INDIRECT(ADDRESS(1,6,1,0,"KeySet"),0),":","""",TEXT(valueMaker!F593,"yyyy/m/d"),"""")</f>
        <v>tanjyoubi:"1965/6/24"</v>
      </c>
      <c r="G593" t="str" cm="1">
        <f t="array" aca="1" ref="G593" ca="1">CONCATENATE(INDIRECT(ADDRESS(1,6,1,0,"KeySet"),0),":","""",TEXT(valueMaker!G593,"yyyy/m/d"),"""")</f>
        <v>tanjyoubi:"2007/10/21"</v>
      </c>
      <c r="H593" t="str" cm="1">
        <f t="array" aca="1" ref="H593" ca="1">CONCATENATE(INDIRECT(ADDRESS(1,6,1,0,"KeySet"),0),":","""",TEXT(valueMaker!H593,"yyyy/m/d"),"""")</f>
        <v>tanjyoubi:"2010/10/20"</v>
      </c>
      <c r="I593" t="str" cm="1">
        <f t="array" aca="1" ref="I593" ca="1">CONCATENATE(INDIRECT(ADDRESS(1,9,1,0,"KeySet"),0),":","""",valueMaker!I593,"""")</f>
        <v>denwaBangou:"090-1063-2899"</v>
      </c>
      <c r="J593" t="str" cm="1">
        <f t="array" aca="1" ref="J593" ca="1">CONCATENATE(INDIRECT(ADDRESS(1,10,1,0,"KeySet"),0),":","""",valueMaker!J593,"""")</f>
        <v>mailAddress:"He_Deng_Ning_39376@outlook.jp.co"</v>
      </c>
      <c r="K593" t="str" cm="1">
        <f t="array" aca="1" ref="K593" ca="1">CONCATENATE(INDIRECT(ADDRESS(1,11,1,0,"KeySet"),0),":","""",valueMaker!K593,"""")</f>
        <v>kaninSyubetu:"高級"</v>
      </c>
      <c r="L593" t="str" cm="1">
        <f t="array" aca="1" ref="L593" ca="1">CONCATENATE(INDIRECT(ADDRESS(1,12,1,0,"KeySet"),0),":","""",valueMaker!L593,"""")</f>
        <v>kaninKengenWB:"有り"</v>
      </c>
      <c r="M593" t="str" cm="1">
        <f t="array" aca="1" ref="M593" ca="1">CONCATENATE(INDIRECT(ADDRESS(1,13,1,0,"KeySet"),0),":","""",valueMaker!M593,"""")</f>
        <v>wakibiri:"10%"</v>
      </c>
      <c r="N593" t="str" cm="1">
        <f t="array" aca="1" ref="N593" ca="1">CONCATENATE(INDIRECT(ADDRESS(1,14,1,0,"KeySet"),0),":","""",valueMaker!N593,"""")</f>
        <v>kaninKengenPoint:"有り"</v>
      </c>
      <c r="O593" t="str" cm="1">
        <f t="array" aca="1" ref="O593" ca="1">CONCATENATE(INDIRECT(ADDRESS(1,15,1,0,"KeySet"),0),":","""",valueMaker!O593,"""")</f>
        <v>point:"958"</v>
      </c>
      <c r="P593" t="str" cm="1">
        <f t="array" aca="1" ref="P593" ca="1">CONCATENATE(INDIRECT(ADDRESS(1,16,1,0,"KeySet"),0),":","""",valueMaker!P593,"""")</f>
        <v>bikou:""</v>
      </c>
    </row>
    <row r="594" spans="1:16">
      <c r="A594" t="str" cm="1">
        <f t="array" aca="1" ref="A594" ca="1">CONCATENATE(INDIRECT(ADDRESS(1,1,1,0,"KeySet"),0),":","""",valueMaker!A594,"""")</f>
        <v>kainBangou:"TD10593"</v>
      </c>
      <c r="B594" t="str" cm="1">
        <f t="array" aca="1" ref="B594" ca="1">CONCATENATE(INDIRECT(ADDRESS(1,2,1,0,"KeySet"),0),":","""",valueMaker!B594,"""")</f>
        <v>kainMeiKanji:"楊複仟"</v>
      </c>
      <c r="C594" t="str" cm="1">
        <f t="array" aca="1" ref="C594" ca="1">CONCATENATE(INDIRECT(ADDRESS(1,3,1,0,"KeySet"),0),":","""",valueMaker!C594,"""")</f>
        <v>kainMeiKana:"ﾔｰﾝ ﾌｩ ﾁｴﾝ"</v>
      </c>
      <c r="D594" t="str" cm="1">
        <f t="array" aca="1" ref="D594" ca="1">CONCATENATE(INDIRECT(ADDRESS(1,4,1,0,"KeySet"),0),":","""",valueMaker!D594,"""")</f>
        <v>kainMeiEn:"Yang Fu Qian"</v>
      </c>
      <c r="E594" t="str" cm="1">
        <f t="array" aca="1" ref="E594" ca="1">CONCATENATE(INDIRECT(ADDRESS(1,5,1,0,"KeySet"),0),":","""",valueMaker!E594,"""")</f>
        <v>kainGender:"女性"</v>
      </c>
      <c r="F594" t="str" cm="1">
        <f t="array" aca="1" ref="F594" ca="1">CONCATENATE(INDIRECT(ADDRESS(1,6,1,0,"KeySet"),0),":","""",TEXT(valueMaker!F594,"yyyy/m/d"),"""")</f>
        <v>tanjyoubi:"1961/1/25"</v>
      </c>
      <c r="G594" t="str" cm="1">
        <f t="array" aca="1" ref="G594" ca="1">CONCATENATE(INDIRECT(ADDRESS(1,6,1,0,"KeySet"),0),":","""",TEXT(valueMaker!G594,"yyyy/m/d"),"""")</f>
        <v>tanjyoubi:"1998/5/8"</v>
      </c>
      <c r="H594" t="str" cm="1">
        <f t="array" aca="1" ref="H594" ca="1">CONCATENATE(INDIRECT(ADDRESS(1,6,1,0,"KeySet"),0),":","""",TEXT(valueMaker!H594,"yyyy/m/d"),"""")</f>
        <v>tanjyoubi:"2000/5/7"</v>
      </c>
      <c r="I594" t="str" cm="1">
        <f t="array" aca="1" ref="I594" ca="1">CONCATENATE(INDIRECT(ADDRESS(1,9,1,0,"KeySet"),0),":","""",valueMaker!I594,"""")</f>
        <v>denwaBangou:"080-3393-4980"</v>
      </c>
      <c r="J594" t="str" cm="1">
        <f t="array" aca="1" ref="J594" ca="1">CONCATENATE(INDIRECT(ADDRESS(1,10,1,0,"KeySet"),0),":","""",valueMaker!J594,"""")</f>
        <v>mailAddress:"Yang_Fu_Qian_35923@outlook.jp.co"</v>
      </c>
      <c r="K594" t="str" cm="1">
        <f t="array" aca="1" ref="K594" ca="1">CONCATENATE(INDIRECT(ADDRESS(1,11,1,0,"KeySet"),0),":","""",valueMaker!K594,"""")</f>
        <v>kaninSyubetu:"普通"</v>
      </c>
      <c r="L594" t="str" cm="1">
        <f t="array" aca="1" ref="L594" ca="1">CONCATENATE(INDIRECT(ADDRESS(1,12,1,0,"KeySet"),0),":","""",valueMaker!L594,"""")</f>
        <v>kaninKengenWB:"有り"</v>
      </c>
      <c r="M594" t="str" cm="1">
        <f t="array" aca="1" ref="M594" ca="1">CONCATENATE(INDIRECT(ADDRESS(1,13,1,0,"KeySet"),0),":","""",valueMaker!M594,"""")</f>
        <v>wakibiri:"5%"</v>
      </c>
      <c r="N594" t="str" cm="1">
        <f t="array" aca="1" ref="N594" ca="1">CONCATENATE(INDIRECT(ADDRESS(1,14,1,0,"KeySet"),0),":","""",valueMaker!N594,"""")</f>
        <v>kaninKengenPoint:"有り"</v>
      </c>
      <c r="O594" t="str" cm="1">
        <f t="array" aca="1" ref="O594" ca="1">CONCATENATE(INDIRECT(ADDRESS(1,15,1,0,"KeySet"),0),":","""",valueMaker!O594,"""")</f>
        <v>point:"570"</v>
      </c>
      <c r="P594" t="str" cm="1">
        <f t="array" aca="1" ref="P594" ca="1">CONCATENATE(INDIRECT(ADDRESS(1,16,1,0,"KeySet"),0),":","""",valueMaker!P594,"""")</f>
        <v>bikou:""</v>
      </c>
    </row>
    <row r="595" spans="1:16">
      <c r="A595" t="str" cm="1">
        <f t="array" aca="1" ref="A595" ca="1">CONCATENATE(INDIRECT(ADDRESS(1,1,1,0,"KeySet"),0),":","""",valueMaker!A595,"""")</f>
        <v>kainBangou:"TD10594"</v>
      </c>
      <c r="B595" t="str" cm="1">
        <f t="array" aca="1" ref="B595" ca="1">CONCATENATE(INDIRECT(ADDRESS(1,2,1,0,"KeySet"),0),":","""",valueMaker!B595,"""")</f>
        <v>kainMeiKanji:"唐蓮聞"</v>
      </c>
      <c r="C595" t="str" cm="1">
        <f t="array" aca="1" ref="C595" ca="1">CONCATENATE(INDIRECT(ADDRESS(1,3,1,0,"KeySet"),0),":","""",valueMaker!C595,"""")</f>
        <v>kainMeiKana:"ﾀｰﾝ ﾘｴﾝ ｳｴﾝ"</v>
      </c>
      <c r="D595" t="str" cm="1">
        <f t="array" aca="1" ref="D595" ca="1">CONCATENATE(INDIRECT(ADDRESS(1,4,1,0,"KeySet"),0),":","""",valueMaker!D595,"""")</f>
        <v>kainMeiEn:"Tang Lian Wen"</v>
      </c>
      <c r="E595" t="str" cm="1">
        <f t="array" aca="1" ref="E595" ca="1">CONCATENATE(INDIRECT(ADDRESS(1,5,1,0,"KeySet"),0),":","""",valueMaker!E595,"""")</f>
        <v>kainGender:"男性"</v>
      </c>
      <c r="F595" t="str" cm="1">
        <f t="array" aca="1" ref="F595" ca="1">CONCATENATE(INDIRECT(ADDRESS(1,6,1,0,"KeySet"),0),":","""",TEXT(valueMaker!F595,"yyyy/m/d"),"""")</f>
        <v>tanjyoubi:"1966/2/6"</v>
      </c>
      <c r="G595" t="str" cm="1">
        <f t="array" aca="1" ref="G595" ca="1">CONCATENATE(INDIRECT(ADDRESS(1,6,1,0,"KeySet"),0),":","""",TEXT(valueMaker!G595,"yyyy/m/d"),"""")</f>
        <v>tanjyoubi:"1987/10/9"</v>
      </c>
      <c r="H595" t="str" cm="1">
        <f t="array" aca="1" ref="H595" ca="1">CONCATENATE(INDIRECT(ADDRESS(1,6,1,0,"KeySet"),0),":","""",TEXT(valueMaker!H595,"yyyy/m/d"),"""")</f>
        <v>tanjyoubi:"1989/10/8"</v>
      </c>
      <c r="I595" t="str" cm="1">
        <f t="array" aca="1" ref="I595" ca="1">CONCATENATE(INDIRECT(ADDRESS(1,9,1,0,"KeySet"),0),":","""",valueMaker!I595,"""")</f>
        <v>denwaBangou:"090-4328-5339"</v>
      </c>
      <c r="J595" t="str" cm="1">
        <f t="array" aca="1" ref="J595" ca="1">CONCATENATE(INDIRECT(ADDRESS(1,10,1,0,"KeySet"),0),":","""",valueMaker!J595,"""")</f>
        <v>mailAddress:"Tang_Lian_Wen_32059@outlook.jp.co"</v>
      </c>
      <c r="K595" t="str" cm="1">
        <f t="array" aca="1" ref="K595" ca="1">CONCATENATE(INDIRECT(ADDRESS(1,11,1,0,"KeySet"),0),":","""",valueMaker!K595,"""")</f>
        <v>kaninSyubetu:"普通"</v>
      </c>
      <c r="L595" t="str" cm="1">
        <f t="array" aca="1" ref="L595" ca="1">CONCATENATE(INDIRECT(ADDRESS(1,12,1,0,"KeySet"),0),":","""",valueMaker!L595,"""")</f>
        <v>kaninKengenWB:"有り"</v>
      </c>
      <c r="M595" t="str" cm="1">
        <f t="array" aca="1" ref="M595" ca="1">CONCATENATE(INDIRECT(ADDRESS(1,13,1,0,"KeySet"),0),":","""",valueMaker!M595,"""")</f>
        <v>wakibiri:"5%"</v>
      </c>
      <c r="N595" t="str" cm="1">
        <f t="array" aca="1" ref="N595" ca="1">CONCATENATE(INDIRECT(ADDRESS(1,14,1,0,"KeySet"),0),":","""",valueMaker!N595,"""")</f>
        <v>kaninKengenPoint:"有り"</v>
      </c>
      <c r="O595" t="str" cm="1">
        <f t="array" aca="1" ref="O595" ca="1">CONCATENATE(INDIRECT(ADDRESS(1,15,1,0,"KeySet"),0),":","""",valueMaker!O595,"""")</f>
        <v>point:"884"</v>
      </c>
      <c r="P595" t="str" cm="1">
        <f t="array" aca="1" ref="P595" ca="1">CONCATENATE(INDIRECT(ADDRESS(1,16,1,0,"KeySet"),0),":","""",valueMaker!P595,"""")</f>
        <v>bikou:""</v>
      </c>
    </row>
    <row r="596" spans="1:16">
      <c r="A596" t="str" cm="1">
        <f t="array" aca="1" ref="A596" ca="1">CONCATENATE(INDIRECT(ADDRESS(1,1,1,0,"KeySet"),0),":","""",valueMaker!A596,"""")</f>
        <v>kainBangou:"TD10595"</v>
      </c>
      <c r="B596" t="str" cm="1">
        <f t="array" aca="1" ref="B596" ca="1">CONCATENATE(INDIRECT(ADDRESS(1,2,1,0,"KeySet"),0),":","""",valueMaker!B596,"""")</f>
        <v>kainMeiKanji:"梁壯臻"</v>
      </c>
      <c r="C596" t="str" cm="1">
        <f t="array" aca="1" ref="C596" ca="1">CONCATENATE(INDIRECT(ADDRESS(1,3,1,0,"KeySet"),0),":","""",valueMaker!C596,"""")</f>
        <v>kainMeiKana:"ﾘﾔｰﾝ ｼﾞｭﾜｰﾝ ｼﾞｪﾝ"</v>
      </c>
      <c r="D596" t="str" cm="1">
        <f t="array" aca="1" ref="D596" ca="1">CONCATENATE(INDIRECT(ADDRESS(1,4,1,0,"KeySet"),0),":","""",valueMaker!D596,"""")</f>
        <v>kainMeiEn:"Liang Zhuang Zhen"</v>
      </c>
      <c r="E596" t="str" cm="1">
        <f t="array" aca="1" ref="E596" ca="1">CONCATENATE(INDIRECT(ADDRESS(1,5,1,0,"KeySet"),0),":","""",valueMaker!E596,"""")</f>
        <v>kainGender:"男性"</v>
      </c>
      <c r="F596" t="str" cm="1">
        <f t="array" aca="1" ref="F596" ca="1">CONCATENATE(INDIRECT(ADDRESS(1,6,1,0,"KeySet"),0),":","""",TEXT(valueMaker!F596,"yyyy/m/d"),"""")</f>
        <v>tanjyoubi:"1995/8/30"</v>
      </c>
      <c r="G596" t="str" cm="1">
        <f t="array" aca="1" ref="G596" ca="1">CONCATENATE(INDIRECT(ADDRESS(1,6,1,0,"KeySet"),0),":","""",TEXT(valueMaker!G596,"yyyy/m/d"),"""")</f>
        <v>tanjyoubi:"2019/1/29"</v>
      </c>
      <c r="H596" t="str" cm="1">
        <f t="array" aca="1" ref="H596" ca="1">CONCATENATE(INDIRECT(ADDRESS(1,6,1,0,"KeySet"),0),":","""",TEXT(valueMaker!H596,"yyyy/m/d"),"""")</f>
        <v>tanjyoubi:"2020/1/29"</v>
      </c>
      <c r="I596" t="str" cm="1">
        <f t="array" aca="1" ref="I596" ca="1">CONCATENATE(INDIRECT(ADDRESS(1,9,1,0,"KeySet"),0),":","""",valueMaker!I596,"""")</f>
        <v>denwaBangou:"090-3117-3793"</v>
      </c>
      <c r="J596" t="str" cm="1">
        <f t="array" aca="1" ref="J596" ca="1">CONCATENATE(INDIRECT(ADDRESS(1,10,1,0,"KeySet"),0),":","""",valueMaker!J596,"""")</f>
        <v>mailAddress:"Liang_Zhuang_Zhen_43494@outlook.jp.co"</v>
      </c>
      <c r="K596" t="str" cm="1">
        <f t="array" aca="1" ref="K596" ca="1">CONCATENATE(INDIRECT(ADDRESS(1,11,1,0,"KeySet"),0),":","""",valueMaker!K596,"""")</f>
        <v>kaninSyubetu:"高級"</v>
      </c>
      <c r="L596" t="str" cm="1">
        <f t="array" aca="1" ref="L596" ca="1">CONCATENATE(INDIRECT(ADDRESS(1,12,1,0,"KeySet"),0),":","""",valueMaker!L596,"""")</f>
        <v>kaninKengenWB:"有り"</v>
      </c>
      <c r="M596" t="str" cm="1">
        <f t="array" aca="1" ref="M596" ca="1">CONCATENATE(INDIRECT(ADDRESS(1,13,1,0,"KeySet"),0),":","""",valueMaker!M596,"""")</f>
        <v>wakibiri:"10%"</v>
      </c>
      <c r="N596" t="str" cm="1">
        <f t="array" aca="1" ref="N596" ca="1">CONCATENATE(INDIRECT(ADDRESS(1,14,1,0,"KeySet"),0),":","""",valueMaker!N596,"""")</f>
        <v>kaninKengenPoint:"有り"</v>
      </c>
      <c r="O596" t="str" cm="1">
        <f t="array" aca="1" ref="O596" ca="1">CONCATENATE(INDIRECT(ADDRESS(1,15,1,0,"KeySet"),0),":","""",valueMaker!O596,"""")</f>
        <v>point:"648"</v>
      </c>
      <c r="P596" t="str" cm="1">
        <f t="array" aca="1" ref="P596" ca="1">CONCATENATE(INDIRECT(ADDRESS(1,16,1,0,"KeySet"),0),":","""",valueMaker!P596,"""")</f>
        <v>bikou:""</v>
      </c>
    </row>
    <row r="597" spans="1:16">
      <c r="A597" t="str" cm="1">
        <f t="array" aca="1" ref="A597" ca="1">CONCATENATE(INDIRECT(ADDRESS(1,1,1,0,"KeySet"),0),":","""",valueMaker!A597,"""")</f>
        <v>kainBangou:"TD10596"</v>
      </c>
      <c r="B597" t="str" cm="1">
        <f t="array" aca="1" ref="B597" ca="1">CONCATENATE(INDIRECT(ADDRESS(1,2,1,0,"KeySet"),0),":","""",valueMaker!B597,"""")</f>
        <v>kainMeiKanji:"馬冰夢"</v>
      </c>
      <c r="C597" t="str" cm="1">
        <f t="array" aca="1" ref="C597" ca="1">CONCATENATE(INDIRECT(ADDRESS(1,3,1,0,"KeySet"),0),":","""",valueMaker!C597,"""")</f>
        <v>kainMeiKana:"ﾏｰ ﾋﾞｰﾝ ﾑｵﾝ"</v>
      </c>
      <c r="D597" t="str" cm="1">
        <f t="array" aca="1" ref="D597" ca="1">CONCATENATE(INDIRECT(ADDRESS(1,4,1,0,"KeySet"),0),":","""",valueMaker!D597,"""")</f>
        <v>kainMeiEn:"Ma Bing Meng"</v>
      </c>
      <c r="E597" t="str" cm="1">
        <f t="array" aca="1" ref="E597" ca="1">CONCATENATE(INDIRECT(ADDRESS(1,5,1,0,"KeySet"),0),":","""",valueMaker!E597,"""")</f>
        <v>kainGender:"男性"</v>
      </c>
      <c r="F597" t="str" cm="1">
        <f t="array" aca="1" ref="F597" ca="1">CONCATENATE(INDIRECT(ADDRESS(1,6,1,0,"KeySet"),0),":","""",TEXT(valueMaker!F597,"yyyy/m/d"),"""")</f>
        <v>tanjyoubi:"1978/10/25"</v>
      </c>
      <c r="G597" t="str" cm="1">
        <f t="array" aca="1" ref="G597" ca="1">CONCATENATE(INDIRECT(ADDRESS(1,6,1,0,"KeySet"),0),":","""",TEXT(valueMaker!G597,"yyyy/m/d"),"""")</f>
        <v>tanjyoubi:"2013/2/21"</v>
      </c>
      <c r="H597" t="str" cm="1">
        <f t="array" aca="1" ref="H597" ca="1">CONCATENATE(INDIRECT(ADDRESS(1,6,1,0,"KeySet"),0),":","""",TEXT(valueMaker!H597,"yyyy/m/d"),"""")</f>
        <v>tanjyoubi:"2015/2/21"</v>
      </c>
      <c r="I597" t="str" cm="1">
        <f t="array" aca="1" ref="I597" ca="1">CONCATENATE(INDIRECT(ADDRESS(1,9,1,0,"KeySet"),0),":","""",valueMaker!I597,"""")</f>
        <v>denwaBangou:"080-6364-5648"</v>
      </c>
      <c r="J597" t="str" cm="1">
        <f t="array" aca="1" ref="J597" ca="1">CONCATENATE(INDIRECT(ADDRESS(1,10,1,0,"KeySet"),0),":","""",valueMaker!J597,"""")</f>
        <v>mailAddress:"Ma_Bing_Meng_41326@outlook.jp.co"</v>
      </c>
      <c r="K597" t="str" cm="1">
        <f t="array" aca="1" ref="K597" ca="1">CONCATENATE(INDIRECT(ADDRESS(1,11,1,0,"KeySet"),0),":","""",valueMaker!K597,"""")</f>
        <v>kaninSyubetu:"普通"</v>
      </c>
      <c r="L597" t="str" cm="1">
        <f t="array" aca="1" ref="L597" ca="1">CONCATENATE(INDIRECT(ADDRESS(1,12,1,0,"KeySet"),0),":","""",valueMaker!L597,"""")</f>
        <v>kaninKengenWB:"有り"</v>
      </c>
      <c r="M597" t="str" cm="1">
        <f t="array" aca="1" ref="M597" ca="1">CONCATENATE(INDIRECT(ADDRESS(1,13,1,0,"KeySet"),0),":","""",valueMaker!M597,"""")</f>
        <v>wakibiri:"5%"</v>
      </c>
      <c r="N597" t="str" cm="1">
        <f t="array" aca="1" ref="N597" ca="1">CONCATENATE(INDIRECT(ADDRESS(1,14,1,0,"KeySet"),0),":","""",valueMaker!N597,"""")</f>
        <v>kaninKengenPoint:"有り"</v>
      </c>
      <c r="O597" t="str" cm="1">
        <f t="array" aca="1" ref="O597" ca="1">CONCATENATE(INDIRECT(ADDRESS(1,15,1,0,"KeySet"),0),":","""",valueMaker!O597,"""")</f>
        <v>point:"804"</v>
      </c>
      <c r="P597" t="str" cm="1">
        <f t="array" aca="1" ref="P597" ca="1">CONCATENATE(INDIRECT(ADDRESS(1,16,1,0,"KeySet"),0),":","""",valueMaker!P597,"""")</f>
        <v>bikou:""</v>
      </c>
    </row>
    <row r="598" spans="1:16">
      <c r="A598" t="str" cm="1">
        <f t="array" aca="1" ref="A598" ca="1">CONCATENATE(INDIRECT(ADDRESS(1,1,1,0,"KeySet"),0),":","""",valueMaker!A598,"""")</f>
        <v>kainBangou:"TD10597"</v>
      </c>
      <c r="B598" t="str" cm="1">
        <f t="array" aca="1" ref="B598" ca="1">CONCATENATE(INDIRECT(ADDRESS(1,2,1,0,"KeySet"),0),":","""",valueMaker!B598,"""")</f>
        <v>kainMeiKanji:"林蓮聞"</v>
      </c>
      <c r="C598" t="str" cm="1">
        <f t="array" aca="1" ref="C598" ca="1">CONCATENATE(INDIRECT(ADDRESS(1,3,1,0,"KeySet"),0),":","""",valueMaker!C598,"""")</f>
        <v>kainMeiKana:"ﾘﾝ ﾘｴﾝ ｳｴﾝ"</v>
      </c>
      <c r="D598" t="str" cm="1">
        <f t="array" aca="1" ref="D598" ca="1">CONCATENATE(INDIRECT(ADDRESS(1,4,1,0,"KeySet"),0),":","""",valueMaker!D598,"""")</f>
        <v>kainMeiEn:"Lin Lian Wen"</v>
      </c>
      <c r="E598" t="str" cm="1">
        <f t="array" aca="1" ref="E598" ca="1">CONCATENATE(INDIRECT(ADDRESS(1,5,1,0,"KeySet"),0),":","""",valueMaker!E598,"""")</f>
        <v>kainGender:"-"</v>
      </c>
      <c r="F598" t="str" cm="1">
        <f t="array" aca="1" ref="F598" ca="1">CONCATENATE(INDIRECT(ADDRESS(1,6,1,0,"KeySet"),0),":","""",TEXT(valueMaker!F598,"yyyy/m/d"),"""")</f>
        <v>tanjyoubi:"1985/5/20"</v>
      </c>
      <c r="G598" t="str" cm="1">
        <f t="array" aca="1" ref="G598" ca="1">CONCATENATE(INDIRECT(ADDRESS(1,6,1,0,"KeySet"),0),":","""",TEXT(valueMaker!G598,"yyyy/m/d"),"""")</f>
        <v>tanjyoubi:"2007/11/4"</v>
      </c>
      <c r="H598" t="str" cm="1">
        <f t="array" aca="1" ref="H598" ca="1">CONCATENATE(INDIRECT(ADDRESS(1,6,1,0,"KeySet"),0),":","""",TEXT(valueMaker!H598,"yyyy/m/d"),"""")</f>
        <v>tanjyoubi:"2009/11/3"</v>
      </c>
      <c r="I598" t="str" cm="1">
        <f t="array" aca="1" ref="I598" ca="1">CONCATENATE(INDIRECT(ADDRESS(1,9,1,0,"KeySet"),0),":","""",valueMaker!I598,"""")</f>
        <v>denwaBangou:"080-6233-3715"</v>
      </c>
      <c r="J598" t="str" cm="1">
        <f t="array" aca="1" ref="J598" ca="1">CONCATENATE(INDIRECT(ADDRESS(1,10,1,0,"KeySet"),0),":","""",valueMaker!J598,"""")</f>
        <v>mailAddress:"Lin_Lian_Wen_39390@outlook.jp.co"</v>
      </c>
      <c r="K598" t="str" cm="1">
        <f t="array" aca="1" ref="K598" ca="1">CONCATENATE(INDIRECT(ADDRESS(1,11,1,0,"KeySet"),0),":","""",valueMaker!K598,"""")</f>
        <v>kaninSyubetu:"普通"</v>
      </c>
      <c r="L598" t="str" cm="1">
        <f t="array" aca="1" ref="L598" ca="1">CONCATENATE(INDIRECT(ADDRESS(1,12,1,0,"KeySet"),0),":","""",valueMaker!L598,"""")</f>
        <v>kaninKengenWB:"-"</v>
      </c>
      <c r="M598" t="str" cm="1">
        <f t="array" aca="1" ref="M598" ca="1">CONCATENATE(INDIRECT(ADDRESS(1,13,1,0,"KeySet"),0),":","""",valueMaker!M598,"""")</f>
        <v>wakibiri:"-"</v>
      </c>
      <c r="N598" t="str" cm="1">
        <f t="array" aca="1" ref="N598" ca="1">CONCATENATE(INDIRECT(ADDRESS(1,14,1,0,"KeySet"),0),":","""",valueMaker!N598,"""")</f>
        <v>kaninKengenPoint:"有り"</v>
      </c>
      <c r="O598" t="str" cm="1">
        <f t="array" aca="1" ref="O598" ca="1">CONCATENATE(INDIRECT(ADDRESS(1,15,1,0,"KeySet"),0),":","""",valueMaker!O598,"""")</f>
        <v>point:"146"</v>
      </c>
      <c r="P598" t="str" cm="1">
        <f t="array" aca="1" ref="P598" ca="1">CONCATENATE(INDIRECT(ADDRESS(1,16,1,0,"KeySet"),0),":","""",valueMaker!P598,"""")</f>
        <v>bikou:""</v>
      </c>
    </row>
    <row r="599" spans="1:16">
      <c r="A599" t="str" cm="1">
        <f t="array" aca="1" ref="A599" ca="1">CONCATENATE(INDIRECT(ADDRESS(1,1,1,0,"KeySet"),0),":","""",valueMaker!A599,"""")</f>
        <v>kainBangou:"TD10598"</v>
      </c>
      <c r="B599" t="str" cm="1">
        <f t="array" aca="1" ref="B599" ca="1">CONCATENATE(INDIRECT(ADDRESS(1,2,1,0,"KeySet"),0),":","""",valueMaker!B599,"""")</f>
        <v>kainMeiKanji:"楊靜耿"</v>
      </c>
      <c r="C599" t="str" cm="1">
        <f t="array" aca="1" ref="C599" ca="1">CONCATENATE(INDIRECT(ADDRESS(1,3,1,0,"KeySet"),0),":","""",valueMaker!C599,"""")</f>
        <v>kainMeiKana:"ﾔｰﾝ ｼﾞｰﾝ ｸﾞｵﾝ"</v>
      </c>
      <c r="D599" t="str" cm="1">
        <f t="array" aca="1" ref="D599" ca="1">CONCATENATE(INDIRECT(ADDRESS(1,4,1,0,"KeySet"),0),":","""",valueMaker!D599,"""")</f>
        <v>kainMeiEn:"Yang Jing Geng"</v>
      </c>
      <c r="E599" t="str" cm="1">
        <f t="array" aca="1" ref="E599" ca="1">CONCATENATE(INDIRECT(ADDRESS(1,5,1,0,"KeySet"),0),":","""",valueMaker!E599,"""")</f>
        <v>kainGender:"男性"</v>
      </c>
      <c r="F599" t="str" cm="1">
        <f t="array" aca="1" ref="F599" ca="1">CONCATENATE(INDIRECT(ADDRESS(1,6,1,0,"KeySet"),0),":","""",TEXT(valueMaker!F599,"yyyy/m/d"),"""")</f>
        <v>tanjyoubi:"1970/6/1"</v>
      </c>
      <c r="G599" t="str" cm="1">
        <f t="array" aca="1" ref="G599" ca="1">CONCATENATE(INDIRECT(ADDRESS(1,6,1,0,"KeySet"),0),":","""",TEXT(valueMaker!G599,"yyyy/m/d"),"""")</f>
        <v>tanjyoubi:"2013/3/10"</v>
      </c>
      <c r="H599" t="str" cm="1">
        <f t="array" aca="1" ref="H599" ca="1">CONCATENATE(INDIRECT(ADDRESS(1,6,1,0,"KeySet"),0),":","""",TEXT(valueMaker!H599,"yyyy/m/d"),"""")</f>
        <v>tanjyoubi:"2014/3/10"</v>
      </c>
      <c r="I599" t="str" cm="1">
        <f t="array" aca="1" ref="I599" ca="1">CONCATENATE(INDIRECT(ADDRESS(1,9,1,0,"KeySet"),0),":","""",valueMaker!I599,"""")</f>
        <v>denwaBangou:"080-7130-4146"</v>
      </c>
      <c r="J599" t="str" cm="1">
        <f t="array" aca="1" ref="J599" ca="1">CONCATENATE(INDIRECT(ADDRESS(1,10,1,0,"KeySet"),0),":","""",valueMaker!J599,"""")</f>
        <v>mailAddress:"Yang_Jing_Geng_41343@outlook.jp.co"</v>
      </c>
      <c r="K599" t="str" cm="1">
        <f t="array" aca="1" ref="K599" ca="1">CONCATENATE(INDIRECT(ADDRESS(1,11,1,0,"KeySet"),0),":","""",valueMaker!K599,"""")</f>
        <v>kaninSyubetu:"普通"</v>
      </c>
      <c r="L599" t="str" cm="1">
        <f t="array" aca="1" ref="L599" ca="1">CONCATENATE(INDIRECT(ADDRESS(1,12,1,0,"KeySet"),0),":","""",valueMaker!L599,"""")</f>
        <v>kaninKengenWB:"有り"</v>
      </c>
      <c r="M599" t="str" cm="1">
        <f t="array" aca="1" ref="M599" ca="1">CONCATENATE(INDIRECT(ADDRESS(1,13,1,0,"KeySet"),0),":","""",valueMaker!M599,"""")</f>
        <v>wakibiri:"5%"</v>
      </c>
      <c r="N599" t="str" cm="1">
        <f t="array" aca="1" ref="N599" ca="1">CONCATENATE(INDIRECT(ADDRESS(1,14,1,0,"KeySet"),0),":","""",valueMaker!N599,"""")</f>
        <v>kaninKengenPoint:"有り"</v>
      </c>
      <c r="O599" t="str" cm="1">
        <f t="array" aca="1" ref="O599" ca="1">CONCATENATE(INDIRECT(ADDRESS(1,15,1,0,"KeySet"),0),":","""",valueMaker!O599,"""")</f>
        <v>point:"527"</v>
      </c>
      <c r="P599" t="str" cm="1">
        <f t="array" aca="1" ref="P599" ca="1">CONCATENATE(INDIRECT(ADDRESS(1,16,1,0,"KeySet"),0),":","""",valueMaker!P599,"""")</f>
        <v>bikou:""</v>
      </c>
    </row>
    <row r="600" spans="1:16">
      <c r="A600" t="str" cm="1">
        <f t="array" aca="1" ref="A600" ca="1">CONCATENATE(INDIRECT(ADDRESS(1,1,1,0,"KeySet"),0),":","""",valueMaker!A600,"""")</f>
        <v>kainBangou:"TD10599"</v>
      </c>
      <c r="B600" t="str" cm="1">
        <f t="array" aca="1" ref="B600" ca="1">CONCATENATE(INDIRECT(ADDRESS(1,2,1,0,"KeySet"),0),":","""",valueMaker!B600,"""")</f>
        <v>kainMeiKanji:"高毅格"</v>
      </c>
      <c r="C600" t="str" cm="1">
        <f t="array" aca="1" ref="C600" ca="1">CONCATENATE(INDIRECT(ADDRESS(1,3,1,0,"KeySet"),0),":","""",valueMaker!C600,"""")</f>
        <v>kainMeiKana:"ｶﾞｵ ｲｰ ｺﾞｰｧ"</v>
      </c>
      <c r="D600" t="str" cm="1">
        <f t="array" aca="1" ref="D600" ca="1">CONCATENATE(INDIRECT(ADDRESS(1,4,1,0,"KeySet"),0),":","""",valueMaker!D600,"""")</f>
        <v>kainMeiEn:"Gao Yi Ge"</v>
      </c>
      <c r="E600" t="str" cm="1">
        <f t="array" aca="1" ref="E600" ca="1">CONCATENATE(INDIRECT(ADDRESS(1,5,1,0,"KeySet"),0),":","""",valueMaker!E600,"""")</f>
        <v>kainGender:"男性"</v>
      </c>
      <c r="F600" t="str" cm="1">
        <f t="array" aca="1" ref="F600" ca="1">CONCATENATE(INDIRECT(ADDRESS(1,6,1,0,"KeySet"),0),":","""",TEXT(valueMaker!F600,"yyyy/m/d"),"""")</f>
        <v>tanjyoubi:"1993/10/12"</v>
      </c>
      <c r="G600" t="str" cm="1">
        <f t="array" aca="1" ref="G600" ca="1">CONCATENATE(INDIRECT(ADDRESS(1,6,1,0,"KeySet"),0),":","""",TEXT(valueMaker!G600,"yyyy/m/d"),"""")</f>
        <v>tanjyoubi:"2017/12/23"</v>
      </c>
      <c r="H600" t="str" cm="1">
        <f t="array" aca="1" ref="H600" ca="1">CONCATENATE(INDIRECT(ADDRESS(1,6,1,0,"KeySet"),0),":","""",TEXT(valueMaker!H600,"yyyy/m/d"),"""")</f>
        <v>tanjyoubi:"2020/12/22"</v>
      </c>
      <c r="I600" t="str" cm="1">
        <f t="array" aca="1" ref="I600" ca="1">CONCATENATE(INDIRECT(ADDRESS(1,9,1,0,"KeySet"),0),":","""",valueMaker!I600,"""")</f>
        <v>denwaBangou:"090-9573-7472"</v>
      </c>
      <c r="J600" t="str" cm="1">
        <f t="array" aca="1" ref="J600" ca="1">CONCATENATE(INDIRECT(ADDRESS(1,10,1,0,"KeySet"),0),":","""",valueMaker!J600,"""")</f>
        <v>mailAddress:"Gao_Yi_Ge_43092@outlook.jp.co"</v>
      </c>
      <c r="K600" t="str" cm="1">
        <f t="array" aca="1" ref="K600" ca="1">CONCATENATE(INDIRECT(ADDRESS(1,11,1,0,"KeySet"),0),":","""",valueMaker!K600,"""")</f>
        <v>kaninSyubetu:"高級"</v>
      </c>
      <c r="L600" t="str" cm="1">
        <f t="array" aca="1" ref="L600" ca="1">CONCATENATE(INDIRECT(ADDRESS(1,12,1,0,"KeySet"),0),":","""",valueMaker!L600,"""")</f>
        <v>kaninKengenWB:"有り"</v>
      </c>
      <c r="M600" t="str" cm="1">
        <f t="array" aca="1" ref="M600" ca="1">CONCATENATE(INDIRECT(ADDRESS(1,13,1,0,"KeySet"),0),":","""",valueMaker!M600,"""")</f>
        <v>wakibiri:"10%"</v>
      </c>
      <c r="N600" t="str" cm="1">
        <f t="array" aca="1" ref="N600" ca="1">CONCATENATE(INDIRECT(ADDRESS(1,14,1,0,"KeySet"),0),":","""",valueMaker!N600,"""")</f>
        <v>kaninKengenPoint:"有り"</v>
      </c>
      <c r="O600" t="str" cm="1">
        <f t="array" aca="1" ref="O600" ca="1">CONCATENATE(INDIRECT(ADDRESS(1,15,1,0,"KeySet"),0),":","""",valueMaker!O600,"""")</f>
        <v>point:"712"</v>
      </c>
      <c r="P600" t="str" cm="1">
        <f t="array" aca="1" ref="P600" ca="1">CONCATENATE(INDIRECT(ADDRESS(1,16,1,0,"KeySet"),0),":","""",valueMaker!P600,"""")</f>
        <v>bikou:""</v>
      </c>
    </row>
    <row r="601" spans="1:16">
      <c r="A601" t="str" cm="1">
        <f t="array" aca="1" ref="A601" ca="1">CONCATENATE(INDIRECT(ADDRESS(1,1,1,0,"KeySet"),0),":","""",valueMaker!A601,"""")</f>
        <v>kainBangou:"TD10600"</v>
      </c>
      <c r="B601" t="str" cm="1">
        <f t="array" aca="1" ref="B601" ca="1">CONCATENATE(INDIRECT(ADDRESS(1,2,1,0,"KeySet"),0),":","""",valueMaker!B601,"""")</f>
        <v>kainMeiKanji:"張騰威"</v>
      </c>
      <c r="C601" t="str" cm="1">
        <f t="array" aca="1" ref="C601" ca="1">CONCATENATE(INDIRECT(ADDRESS(1,3,1,0,"KeySet"),0),":","""",valueMaker!C601,"""")</f>
        <v>kainMeiKana:"ｼﾞｬｰﾝ ﾄｩｵﾝ ｳｴｲ"</v>
      </c>
      <c r="D601" t="str" cm="1">
        <f t="array" aca="1" ref="D601" ca="1">CONCATENATE(INDIRECT(ADDRESS(1,4,1,0,"KeySet"),0),":","""",valueMaker!D601,"""")</f>
        <v>kainMeiEn:"Zhang Teng Wei"</v>
      </c>
      <c r="E601" t="str" cm="1">
        <f t="array" aca="1" ref="E601" ca="1">CONCATENATE(INDIRECT(ADDRESS(1,5,1,0,"KeySet"),0),":","""",valueMaker!E601,"""")</f>
        <v>kainGender:"女性"</v>
      </c>
      <c r="F601" t="str" cm="1">
        <f t="array" aca="1" ref="F601" ca="1">CONCATENATE(INDIRECT(ADDRESS(1,6,1,0,"KeySet"),0),":","""",TEXT(valueMaker!F601,"yyyy/m/d"),"""")</f>
        <v>tanjyoubi:"1960/2/16"</v>
      </c>
      <c r="G601" t="str" cm="1">
        <f t="array" aca="1" ref="G601" ca="1">CONCATENATE(INDIRECT(ADDRESS(1,6,1,0,"KeySet"),0),":","""",TEXT(valueMaker!G601,"yyyy/m/d"),"""")</f>
        <v>tanjyoubi:"1992/12/28"</v>
      </c>
      <c r="H601" t="str" cm="1">
        <f t="array" aca="1" ref="H601" ca="1">CONCATENATE(INDIRECT(ADDRESS(1,6,1,0,"KeySet"),0),":","""",TEXT(valueMaker!H601,"yyyy/m/d"),"""")</f>
        <v>tanjyoubi:"1993/12/28"</v>
      </c>
      <c r="I601" t="str" cm="1">
        <f t="array" aca="1" ref="I601" ca="1">CONCATENATE(INDIRECT(ADDRESS(1,9,1,0,"KeySet"),0),":","""",valueMaker!I601,"""")</f>
        <v>denwaBangou:"080-6532-7510"</v>
      </c>
      <c r="J601" t="str" cm="1">
        <f t="array" aca="1" ref="J601" ca="1">CONCATENATE(INDIRECT(ADDRESS(1,10,1,0,"KeySet"),0),":","""",valueMaker!J601,"""")</f>
        <v>mailAddress:"Zhang_Teng_Wei_33966@outlook.jp.co"</v>
      </c>
      <c r="K601" t="str" cm="1">
        <f t="array" aca="1" ref="K601" ca="1">CONCATENATE(INDIRECT(ADDRESS(1,11,1,0,"KeySet"),0),":","""",valueMaker!K601,"""")</f>
        <v>kaninSyubetu:"高級"</v>
      </c>
      <c r="L601" t="str" cm="1">
        <f t="array" aca="1" ref="L601" ca="1">CONCATENATE(INDIRECT(ADDRESS(1,12,1,0,"KeySet"),0),":","""",valueMaker!L601,"""")</f>
        <v>kaninKengenWB:"有り"</v>
      </c>
      <c r="M601" t="str" cm="1">
        <f t="array" aca="1" ref="M601" ca="1">CONCATENATE(INDIRECT(ADDRESS(1,13,1,0,"KeySet"),0),":","""",valueMaker!M601,"""")</f>
        <v>wakibiri:"10%"</v>
      </c>
      <c r="N601" t="str" cm="1">
        <f t="array" aca="1" ref="N601" ca="1">CONCATENATE(INDIRECT(ADDRESS(1,14,1,0,"KeySet"),0),":","""",valueMaker!N601,"""")</f>
        <v>kaninKengenPoint:"有り"</v>
      </c>
      <c r="O601" t="str" cm="1">
        <f t="array" aca="1" ref="O601" ca="1">CONCATENATE(INDIRECT(ADDRESS(1,15,1,0,"KeySet"),0),":","""",valueMaker!O601,"""")</f>
        <v>point:"791"</v>
      </c>
      <c r="P601" t="str" cm="1">
        <f t="array" aca="1" ref="P601" ca="1">CONCATENATE(INDIRECT(ADDRESS(1,16,1,0,"KeySet"),0),":","""",valueMaker!P601,"""")</f>
        <v>bikou:""</v>
      </c>
    </row>
    <row r="602" spans="1:16">
      <c r="A602" t="str" cm="1">
        <f t="array" aca="1" ref="A602" ca="1">CONCATENATE(INDIRECT(ADDRESS(1,1,1,0,"KeySet"),0),":","""",valueMaker!A602,"""")</f>
        <v>kainBangou:"TD10601"</v>
      </c>
      <c r="B602" t="str" cm="1">
        <f t="array" aca="1" ref="B602" ca="1">CONCATENATE(INDIRECT(ADDRESS(1,2,1,0,"KeySet"),0),":","""",valueMaker!B602,"""")</f>
        <v>kainMeiKanji:"馮長香"</v>
      </c>
      <c r="C602" t="str" cm="1">
        <f t="array" aca="1" ref="C602" ca="1">CONCATENATE(INDIRECT(ADDRESS(1,3,1,0,"KeySet"),0),":","""",valueMaker!C602,"""")</f>
        <v>kainMeiKana:"ﾌｵﾝ ﾁｬｰﾝ ｼｱｰﾝ"</v>
      </c>
      <c r="D602" t="str" cm="1">
        <f t="array" aca="1" ref="D602" ca="1">CONCATENATE(INDIRECT(ADDRESS(1,4,1,0,"KeySet"),0),":","""",valueMaker!D602,"""")</f>
        <v>kainMeiEn:"Feng Chang Xiang"</v>
      </c>
      <c r="E602" t="str" cm="1">
        <f t="array" aca="1" ref="E602" ca="1">CONCATENATE(INDIRECT(ADDRESS(1,5,1,0,"KeySet"),0),":","""",valueMaker!E602,"""")</f>
        <v>kainGender:"女性"</v>
      </c>
      <c r="F602" t="str" cm="1">
        <f t="array" aca="1" ref="F602" ca="1">CONCATENATE(INDIRECT(ADDRESS(1,6,1,0,"KeySet"),0),":","""",TEXT(valueMaker!F602,"yyyy/m/d"),"""")</f>
        <v>tanjyoubi:"1997/12/16"</v>
      </c>
      <c r="G602" t="str" cm="1">
        <f t="array" aca="1" ref="G602" ca="1">CONCATENATE(INDIRECT(ADDRESS(1,6,1,0,"KeySet"),0),":","""",TEXT(valueMaker!G602,"yyyy/m/d"),"""")</f>
        <v>tanjyoubi:"2022/1/31"</v>
      </c>
      <c r="H602" t="str" cm="1">
        <f t="array" aca="1" ref="H602" ca="1">CONCATENATE(INDIRECT(ADDRESS(1,6,1,0,"KeySet"),0),":","""",TEXT(valueMaker!H602,"yyyy/m/d"),"""")</f>
        <v>tanjyoubi:"2023/1/31"</v>
      </c>
      <c r="I602" t="str" cm="1">
        <f t="array" aca="1" ref="I602" ca="1">CONCATENATE(INDIRECT(ADDRESS(1,9,1,0,"KeySet"),0),":","""",valueMaker!I602,"""")</f>
        <v>denwaBangou:"090-3544-5559"</v>
      </c>
      <c r="J602" t="str" cm="1">
        <f t="array" aca="1" ref="J602" ca="1">CONCATENATE(INDIRECT(ADDRESS(1,10,1,0,"KeySet"),0),":","""",valueMaker!J602,"""")</f>
        <v>mailAddress:"Feng_Chang Xiang_44592@outlook.jp.co"</v>
      </c>
      <c r="K602" t="str" cm="1">
        <f t="array" aca="1" ref="K602" ca="1">CONCATENATE(INDIRECT(ADDRESS(1,11,1,0,"KeySet"),0),":","""",valueMaker!K602,"""")</f>
        <v>kaninSyubetu:"普通"</v>
      </c>
      <c r="L602" t="str" cm="1">
        <f t="array" aca="1" ref="L602" ca="1">CONCATENATE(INDIRECT(ADDRESS(1,12,1,0,"KeySet"),0),":","""",valueMaker!L602,"""")</f>
        <v>kaninKengenWB:"有り"</v>
      </c>
      <c r="M602" t="str" cm="1">
        <f t="array" aca="1" ref="M602" ca="1">CONCATENATE(INDIRECT(ADDRESS(1,13,1,0,"KeySet"),0),":","""",valueMaker!M602,"""")</f>
        <v>wakibiri:"5%"</v>
      </c>
      <c r="N602" t="str" cm="1">
        <f t="array" aca="1" ref="N602" ca="1">CONCATENATE(INDIRECT(ADDRESS(1,14,1,0,"KeySet"),0),":","""",valueMaker!N602,"""")</f>
        <v>kaninKengenPoint:"有り"</v>
      </c>
      <c r="O602" t="str" cm="1">
        <f t="array" aca="1" ref="O602" ca="1">CONCATENATE(INDIRECT(ADDRESS(1,15,1,0,"KeySet"),0),":","""",valueMaker!O602,"""")</f>
        <v>point:"344"</v>
      </c>
      <c r="P602" t="str" cm="1">
        <f t="array" aca="1" ref="P602" ca="1">CONCATENATE(INDIRECT(ADDRESS(1,16,1,0,"KeySet"),0),":","""",valueMaker!P602,"""")</f>
        <v>bikou:""</v>
      </c>
    </row>
    <row r="603" spans="1:16">
      <c r="A603" t="str" cm="1">
        <f t="array" aca="1" ref="A603" ca="1">CONCATENATE(INDIRECT(ADDRESS(1,1,1,0,"KeySet"),0),":","""",valueMaker!A603,"""")</f>
        <v>kainBangou:"TD10602"</v>
      </c>
      <c r="B603" t="str" cm="1">
        <f t="array" aca="1" ref="B603" ca="1">CONCATENATE(INDIRECT(ADDRESS(1,2,1,0,"KeySet"),0),":","""",valueMaker!B603,"""")</f>
        <v>kainMeiKanji:"徐厚道"</v>
      </c>
      <c r="C603" t="str" cm="1">
        <f t="array" aca="1" ref="C603" ca="1">CONCATENATE(INDIRECT(ADDRESS(1,3,1,0,"KeySet"),0),":","""",valueMaker!C603,"""")</f>
        <v>kainMeiKana:"ｼｭｲ ﾎｳ ﾀﾞｵ"</v>
      </c>
      <c r="D603" t="str" cm="1">
        <f t="array" aca="1" ref="D603" ca="1">CONCATENATE(INDIRECT(ADDRESS(1,4,1,0,"KeySet"),0),":","""",valueMaker!D603,"""")</f>
        <v>kainMeiEn:"Xu Hou Dao"</v>
      </c>
      <c r="E603" t="str" cm="1">
        <f t="array" aca="1" ref="E603" ca="1">CONCATENATE(INDIRECT(ADDRESS(1,5,1,0,"KeySet"),0),":","""",valueMaker!E603,"""")</f>
        <v>kainGender:"女性"</v>
      </c>
      <c r="F603" t="str" cm="1">
        <f t="array" aca="1" ref="F603" ca="1">CONCATENATE(INDIRECT(ADDRESS(1,6,1,0,"KeySet"),0),":","""",TEXT(valueMaker!F603,"yyyy/m/d"),"""")</f>
        <v>tanjyoubi:"1967/10/21"</v>
      </c>
      <c r="G603" t="str" cm="1">
        <f t="array" aca="1" ref="G603" ca="1">CONCATENATE(INDIRECT(ADDRESS(1,6,1,0,"KeySet"),0),":","""",TEXT(valueMaker!G603,"yyyy/m/d"),"""")</f>
        <v>tanjyoubi:"2017/6/2"</v>
      </c>
      <c r="H603" t="str" cm="1">
        <f t="array" aca="1" ref="H603" ca="1">CONCATENATE(INDIRECT(ADDRESS(1,6,1,0,"KeySet"),0),":","""",TEXT(valueMaker!H603,"yyyy/m/d"),"""")</f>
        <v>tanjyoubi:"2018/6/2"</v>
      </c>
      <c r="I603" t="str" cm="1">
        <f t="array" aca="1" ref="I603" ca="1">CONCATENATE(INDIRECT(ADDRESS(1,9,1,0,"KeySet"),0),":","""",valueMaker!I603,"""")</f>
        <v>denwaBangou:"090-5091-0999"</v>
      </c>
      <c r="J603" t="str" cm="1">
        <f t="array" aca="1" ref="J603" ca="1">CONCATENATE(INDIRECT(ADDRESS(1,10,1,0,"KeySet"),0),":","""",valueMaker!J603,"""")</f>
        <v>mailAddress:"Xu_Hou_Dao_42888@outlook.jp.co"</v>
      </c>
      <c r="K603" t="str" cm="1">
        <f t="array" aca="1" ref="K603" ca="1">CONCATENATE(INDIRECT(ADDRESS(1,11,1,0,"KeySet"),0),":","""",valueMaker!K603,"""")</f>
        <v>kaninSyubetu:"普通"</v>
      </c>
      <c r="L603" t="str" cm="1">
        <f t="array" aca="1" ref="L603" ca="1">CONCATENATE(INDIRECT(ADDRESS(1,12,1,0,"KeySet"),0),":","""",valueMaker!L603,"""")</f>
        <v>kaninKengenWB:"有り"</v>
      </c>
      <c r="M603" t="str" cm="1">
        <f t="array" aca="1" ref="M603" ca="1">CONCATENATE(INDIRECT(ADDRESS(1,13,1,0,"KeySet"),0),":","""",valueMaker!M603,"""")</f>
        <v>wakibiri:"5%"</v>
      </c>
      <c r="N603" t="str" cm="1">
        <f t="array" aca="1" ref="N603" ca="1">CONCATENATE(INDIRECT(ADDRESS(1,14,1,0,"KeySet"),0),":","""",valueMaker!N603,"""")</f>
        <v>kaninKengenPoint:"有り"</v>
      </c>
      <c r="O603" t="str" cm="1">
        <f t="array" aca="1" ref="O603" ca="1">CONCATENATE(INDIRECT(ADDRESS(1,15,1,0,"KeySet"),0),":","""",valueMaker!O603,"""")</f>
        <v>point:"969"</v>
      </c>
      <c r="P603" t="str" cm="1">
        <f t="array" aca="1" ref="P603" ca="1">CONCATENATE(INDIRECT(ADDRESS(1,16,1,0,"KeySet"),0),":","""",valueMaker!P603,"""")</f>
        <v>bikou:""</v>
      </c>
    </row>
    <row r="604" spans="1:16">
      <c r="A604" t="str" cm="1">
        <f t="array" aca="1" ref="A604" ca="1">CONCATENATE(INDIRECT(ADDRESS(1,1,1,0,"KeySet"),0),":","""",valueMaker!A604,"""")</f>
        <v>kainBangou:"TD10603"</v>
      </c>
      <c r="B604" t="str" cm="1">
        <f t="array" aca="1" ref="B604" ca="1">CONCATENATE(INDIRECT(ADDRESS(1,2,1,0,"KeySet"),0),":","""",valueMaker!B604,"""")</f>
        <v>kainMeiKanji:"謝軒荒"</v>
      </c>
      <c r="C604" t="str" cm="1">
        <f t="array" aca="1" ref="C604" ca="1">CONCATENATE(INDIRECT(ADDRESS(1,3,1,0,"KeySet"),0),":","""",valueMaker!C604,"""")</f>
        <v>kainMeiKana:"ｼｴ ｼｭｴﾝ ﾎﾜｰﾝ"</v>
      </c>
      <c r="D604" t="str" cm="1">
        <f t="array" aca="1" ref="D604" ca="1">CONCATENATE(INDIRECT(ADDRESS(1,4,1,0,"KeySet"),0),":","""",valueMaker!D604,"""")</f>
        <v>kainMeiEn:"Xie Xuan Huang"</v>
      </c>
      <c r="E604" t="str" cm="1">
        <f t="array" aca="1" ref="E604" ca="1">CONCATENATE(INDIRECT(ADDRESS(1,5,1,0,"KeySet"),0),":","""",valueMaker!E604,"""")</f>
        <v>kainGender:"女性"</v>
      </c>
      <c r="F604" t="str" cm="1">
        <f t="array" aca="1" ref="F604" ca="1">CONCATENATE(INDIRECT(ADDRESS(1,6,1,0,"KeySet"),0),":","""",TEXT(valueMaker!F604,"yyyy/m/d"),"""")</f>
        <v>tanjyoubi:"1980/11/6"</v>
      </c>
      <c r="G604" t="str" cm="1">
        <f t="array" aca="1" ref="G604" ca="1">CONCATENATE(INDIRECT(ADDRESS(1,6,1,0,"KeySet"),0),":","""",TEXT(valueMaker!G604,"yyyy/m/d"),"""")</f>
        <v>tanjyoubi:"2008/3/5"</v>
      </c>
      <c r="H604" t="str" cm="1">
        <f t="array" aca="1" ref="H604" ca="1">CONCATENATE(INDIRECT(ADDRESS(1,6,1,0,"KeySet"),0),":","""",TEXT(valueMaker!H604,"yyyy/m/d"),"""")</f>
        <v>tanjyoubi:"2011/3/5"</v>
      </c>
      <c r="I604" t="str" cm="1">
        <f t="array" aca="1" ref="I604" ca="1">CONCATENATE(INDIRECT(ADDRESS(1,9,1,0,"KeySet"),0),":","""",valueMaker!I604,"""")</f>
        <v>denwaBangou:"080-0596-6086"</v>
      </c>
      <c r="J604" t="str" cm="1">
        <f t="array" aca="1" ref="J604" ca="1">CONCATENATE(INDIRECT(ADDRESS(1,10,1,0,"KeySet"),0),":","""",valueMaker!J604,"""")</f>
        <v>mailAddress:"Xie_Xuan_Huang_39512@outlook.jp.co"</v>
      </c>
      <c r="K604" t="str" cm="1">
        <f t="array" aca="1" ref="K604" ca="1">CONCATENATE(INDIRECT(ADDRESS(1,11,1,0,"KeySet"),0),":","""",valueMaker!K604,"""")</f>
        <v>kaninSyubetu:"高級"</v>
      </c>
      <c r="L604" t="str" cm="1">
        <f t="array" aca="1" ref="L604" ca="1">CONCATENATE(INDIRECT(ADDRESS(1,12,1,0,"KeySet"),0),":","""",valueMaker!L604,"""")</f>
        <v>kaninKengenWB:"有り"</v>
      </c>
      <c r="M604" t="str" cm="1">
        <f t="array" aca="1" ref="M604" ca="1">CONCATENATE(INDIRECT(ADDRESS(1,13,1,0,"KeySet"),0),":","""",valueMaker!M604,"""")</f>
        <v>wakibiri:"10%"</v>
      </c>
      <c r="N604" t="str" cm="1">
        <f t="array" aca="1" ref="N604" ca="1">CONCATENATE(INDIRECT(ADDRESS(1,14,1,0,"KeySet"),0),":","""",valueMaker!N604,"""")</f>
        <v>kaninKengenPoint:"有り"</v>
      </c>
      <c r="O604" t="str" cm="1">
        <f t="array" aca="1" ref="O604" ca="1">CONCATENATE(INDIRECT(ADDRESS(1,15,1,0,"KeySet"),0),":","""",valueMaker!O604,"""")</f>
        <v>point:"745"</v>
      </c>
      <c r="P604" t="str" cm="1">
        <f t="array" aca="1" ref="P604" ca="1">CONCATENATE(INDIRECT(ADDRESS(1,16,1,0,"KeySet"),0),":","""",valueMaker!P604,"""")</f>
        <v>bikou:""</v>
      </c>
    </row>
    <row r="605" spans="1:16">
      <c r="A605" t="str" cm="1">
        <f t="array" aca="1" ref="A605" ca="1">CONCATENATE(INDIRECT(ADDRESS(1,1,1,0,"KeySet"),0),":","""",valueMaker!A605,"""")</f>
        <v>kainBangou:"TD10604"</v>
      </c>
      <c r="B605" t="str" cm="1">
        <f t="array" aca="1" ref="B605" ca="1">CONCATENATE(INDIRECT(ADDRESS(1,2,1,0,"KeySet"),0),":","""",valueMaker!B605,"""")</f>
        <v>kainMeiKanji:"王碧漢"</v>
      </c>
      <c r="C605" t="str" cm="1">
        <f t="array" aca="1" ref="C605" ca="1">CONCATENATE(INDIRECT(ADDRESS(1,3,1,0,"KeySet"),0),":","""",valueMaker!C605,"""")</f>
        <v>kainMeiKana:"ﾜｰﾝ ﾋﾞｰ ﾊﾝ"</v>
      </c>
      <c r="D605" t="str" cm="1">
        <f t="array" aca="1" ref="D605" ca="1">CONCATENATE(INDIRECT(ADDRESS(1,4,1,0,"KeySet"),0),":","""",valueMaker!D605,"""")</f>
        <v>kainMeiEn:"Wang Bi Han"</v>
      </c>
      <c r="E605" t="str" cm="1">
        <f t="array" aca="1" ref="E605" ca="1">CONCATENATE(INDIRECT(ADDRESS(1,5,1,0,"KeySet"),0),":","""",valueMaker!E605,"""")</f>
        <v>kainGender:"女性"</v>
      </c>
      <c r="F605" t="str" cm="1">
        <f t="array" aca="1" ref="F605" ca="1">CONCATENATE(INDIRECT(ADDRESS(1,6,1,0,"KeySet"),0),":","""",TEXT(valueMaker!F605,"yyyy/m/d"),"""")</f>
        <v>tanjyoubi:"1968/9/8"</v>
      </c>
      <c r="G605" t="str" cm="1">
        <f t="array" aca="1" ref="G605" ca="1">CONCATENATE(INDIRECT(ADDRESS(1,6,1,0,"KeySet"),0),":","""",TEXT(valueMaker!G605,"yyyy/m/d"),"""")</f>
        <v>tanjyoubi:"1998/6/20"</v>
      </c>
      <c r="H605" t="str" cm="1">
        <f t="array" aca="1" ref="H605" ca="1">CONCATENATE(INDIRECT(ADDRESS(1,6,1,0,"KeySet"),0),":","""",TEXT(valueMaker!H605,"yyyy/m/d"),"""")</f>
        <v>tanjyoubi:"2000/6/19"</v>
      </c>
      <c r="I605" t="str" cm="1">
        <f t="array" aca="1" ref="I605" ca="1">CONCATENATE(INDIRECT(ADDRESS(1,9,1,0,"KeySet"),0),":","""",valueMaker!I605,"""")</f>
        <v>denwaBangou:"080-9015-8220"</v>
      </c>
      <c r="J605" t="str" cm="1">
        <f t="array" aca="1" ref="J605" ca="1">CONCATENATE(INDIRECT(ADDRESS(1,10,1,0,"KeySet"),0),":","""",valueMaker!J605,"""")</f>
        <v>mailAddress:"Wang_Bi_Han_35966@outlook.jp.co"</v>
      </c>
      <c r="K605" t="str" cm="1">
        <f t="array" aca="1" ref="K605" ca="1">CONCATENATE(INDIRECT(ADDRESS(1,11,1,0,"KeySet"),0),":","""",valueMaker!K605,"""")</f>
        <v>kaninSyubetu:"普通"</v>
      </c>
      <c r="L605" t="str" cm="1">
        <f t="array" aca="1" ref="L605" ca="1">CONCATENATE(INDIRECT(ADDRESS(1,12,1,0,"KeySet"),0),":","""",valueMaker!L605,"""")</f>
        <v>kaninKengenWB:"有り"</v>
      </c>
      <c r="M605" t="str" cm="1">
        <f t="array" aca="1" ref="M605" ca="1">CONCATENATE(INDIRECT(ADDRESS(1,13,1,0,"KeySet"),0),":","""",valueMaker!M605,"""")</f>
        <v>wakibiri:"5%"</v>
      </c>
      <c r="N605" t="str" cm="1">
        <f t="array" aca="1" ref="N605" ca="1">CONCATENATE(INDIRECT(ADDRESS(1,14,1,0,"KeySet"),0),":","""",valueMaker!N605,"""")</f>
        <v>kaninKengenPoint:"有り"</v>
      </c>
      <c r="O605" t="str" cm="1">
        <f t="array" aca="1" ref="O605" ca="1">CONCATENATE(INDIRECT(ADDRESS(1,15,1,0,"KeySet"),0),":","""",valueMaker!O605,"""")</f>
        <v>point:"726"</v>
      </c>
      <c r="P605" t="str" cm="1">
        <f t="array" aca="1" ref="P605" ca="1">CONCATENATE(INDIRECT(ADDRESS(1,16,1,0,"KeySet"),0),":","""",valueMaker!P605,"""")</f>
        <v>bikou:""</v>
      </c>
    </row>
    <row r="606" spans="1:16">
      <c r="A606" t="str" cm="1">
        <f t="array" aca="1" ref="A606" ca="1">CONCATENATE(INDIRECT(ADDRESS(1,1,1,0,"KeySet"),0),":","""",valueMaker!A606,"""")</f>
        <v>kainBangou:"TD10605"</v>
      </c>
      <c r="B606" t="str" cm="1">
        <f t="array" aca="1" ref="B606" ca="1">CONCATENATE(INDIRECT(ADDRESS(1,2,1,0,"KeySet"),0),":","""",valueMaker!B606,"""")</f>
        <v>kainMeiKanji:"何聯頃"</v>
      </c>
      <c r="C606" t="str" cm="1">
        <f t="array" aca="1" ref="C606" ca="1">CONCATENATE(INDIRECT(ADDRESS(1,3,1,0,"KeySet"),0),":","""",valueMaker!C606,"""")</f>
        <v>kainMeiKana:"ﾎｰｧ ﾘｴﾝ ﾁｰﾝ"</v>
      </c>
      <c r="D606" t="str" cm="1">
        <f t="array" aca="1" ref="D606" ca="1">CONCATENATE(INDIRECT(ADDRESS(1,4,1,0,"KeySet"),0),":","""",valueMaker!D606,"""")</f>
        <v>kainMeiEn:"He Lian Qing"</v>
      </c>
      <c r="E606" t="str" cm="1">
        <f t="array" aca="1" ref="E606" ca="1">CONCATENATE(INDIRECT(ADDRESS(1,5,1,0,"KeySet"),0),":","""",valueMaker!E606,"""")</f>
        <v>kainGender:"男性"</v>
      </c>
      <c r="F606" t="str" cm="1">
        <f t="array" aca="1" ref="F606" ca="1">CONCATENATE(INDIRECT(ADDRESS(1,6,1,0,"KeySet"),0),":","""",TEXT(valueMaker!F606,"yyyy/m/d"),"""")</f>
        <v>tanjyoubi:"1992/1/29"</v>
      </c>
      <c r="G606" t="str" cm="1">
        <f t="array" aca="1" ref="G606" ca="1">CONCATENATE(INDIRECT(ADDRESS(1,6,1,0,"KeySet"),0),":","""",TEXT(valueMaker!G606,"yyyy/m/d"),"""")</f>
        <v>tanjyoubi:"2021/10/21"</v>
      </c>
      <c r="H606" t="str" cm="1">
        <f t="array" aca="1" ref="H606" ca="1">CONCATENATE(INDIRECT(ADDRESS(1,6,1,0,"KeySet"),0),":","""",TEXT(valueMaker!H606,"yyyy/m/d"),"""")</f>
        <v>tanjyoubi:"2024/10/20"</v>
      </c>
      <c r="I606" t="str" cm="1">
        <f t="array" aca="1" ref="I606" ca="1">CONCATENATE(INDIRECT(ADDRESS(1,9,1,0,"KeySet"),0),":","""",valueMaker!I606,"""")</f>
        <v>denwaBangou:"090-1559-0650"</v>
      </c>
      <c r="J606" t="str" cm="1">
        <f t="array" aca="1" ref="J606" ca="1">CONCATENATE(INDIRECT(ADDRESS(1,10,1,0,"KeySet"),0),":","""",valueMaker!J606,"""")</f>
        <v>mailAddress:"He_Lian_Qing_44490@outlook.jp.co"</v>
      </c>
      <c r="K606" t="str" cm="1">
        <f t="array" aca="1" ref="K606" ca="1">CONCATENATE(INDIRECT(ADDRESS(1,11,1,0,"KeySet"),0),":","""",valueMaker!K606,"""")</f>
        <v>kaninSyubetu:"高級"</v>
      </c>
      <c r="L606" t="str" cm="1">
        <f t="array" aca="1" ref="L606" ca="1">CONCATENATE(INDIRECT(ADDRESS(1,12,1,0,"KeySet"),0),":","""",valueMaker!L606,"""")</f>
        <v>kaninKengenWB:"有り"</v>
      </c>
      <c r="M606" t="str" cm="1">
        <f t="array" aca="1" ref="M606" ca="1">CONCATENATE(INDIRECT(ADDRESS(1,13,1,0,"KeySet"),0),":","""",valueMaker!M606,"""")</f>
        <v>wakibiri:"10%"</v>
      </c>
      <c r="N606" t="str" cm="1">
        <f t="array" aca="1" ref="N606" ca="1">CONCATENATE(INDIRECT(ADDRESS(1,14,1,0,"KeySet"),0),":","""",valueMaker!N606,"""")</f>
        <v>kaninKengenPoint:"有り"</v>
      </c>
      <c r="O606" t="str" cm="1">
        <f t="array" aca="1" ref="O606" ca="1">CONCATENATE(INDIRECT(ADDRESS(1,15,1,0,"KeySet"),0),":","""",valueMaker!O606,"""")</f>
        <v>point:"481"</v>
      </c>
      <c r="P606" t="str" cm="1">
        <f t="array" aca="1" ref="P606" ca="1">CONCATENATE(INDIRECT(ADDRESS(1,16,1,0,"KeySet"),0),":","""",valueMaker!P606,"""")</f>
        <v>bikou:""</v>
      </c>
    </row>
    <row r="607" spans="1:16">
      <c r="A607" t="str" cm="1">
        <f t="array" aca="1" ref="A607" ca="1">CONCATENATE(INDIRECT(ADDRESS(1,1,1,0,"KeySet"),0),":","""",valueMaker!A607,"""")</f>
        <v>kainBangou:"TD10606"</v>
      </c>
      <c r="B607" t="str" cm="1">
        <f t="array" aca="1" ref="B607" ca="1">CONCATENATE(INDIRECT(ADDRESS(1,2,1,0,"KeySet"),0),":","""",valueMaker!B607,"""")</f>
        <v>kainMeiKanji:"謝狂帆"</v>
      </c>
      <c r="C607" t="str" cm="1">
        <f t="array" aca="1" ref="C607" ca="1">CONCATENATE(INDIRECT(ADDRESS(1,3,1,0,"KeySet"),0),":","""",valueMaker!C607,"""")</f>
        <v>kainMeiKana:"ｼｴ ｸﾜｰﾝ ﾌｧﾝ"</v>
      </c>
      <c r="D607" t="str" cm="1">
        <f t="array" aca="1" ref="D607" ca="1">CONCATENATE(INDIRECT(ADDRESS(1,4,1,0,"KeySet"),0),":","""",valueMaker!D607,"""")</f>
        <v>kainMeiEn:"Xie Kuang Fan"</v>
      </c>
      <c r="E607" t="str" cm="1">
        <f t="array" aca="1" ref="E607" ca="1">CONCATENATE(INDIRECT(ADDRESS(1,5,1,0,"KeySet"),0),":","""",valueMaker!E607,"""")</f>
        <v>kainGender:"男性"</v>
      </c>
      <c r="F607" t="str" cm="1">
        <f t="array" aca="1" ref="F607" ca="1">CONCATENATE(INDIRECT(ADDRESS(1,6,1,0,"KeySet"),0),":","""",TEXT(valueMaker!F607,"yyyy/m/d"),"""")</f>
        <v>tanjyoubi:"1967/12/10"</v>
      </c>
      <c r="G607" t="str" cm="1">
        <f t="array" aca="1" ref="G607" ca="1">CONCATENATE(INDIRECT(ADDRESS(1,6,1,0,"KeySet"),0),":","""",TEXT(valueMaker!G607,"yyyy/m/d"),"""")</f>
        <v>tanjyoubi:"2001/12/14"</v>
      </c>
      <c r="H607" t="str" cm="1">
        <f t="array" aca="1" ref="H607" ca="1">CONCATENATE(INDIRECT(ADDRESS(1,6,1,0,"KeySet"),0),":","""",TEXT(valueMaker!H607,"yyyy/m/d"),"""")</f>
        <v>tanjyoubi:"2004/12/13"</v>
      </c>
      <c r="I607" t="str" cm="1">
        <f t="array" aca="1" ref="I607" ca="1">CONCATENATE(INDIRECT(ADDRESS(1,9,1,0,"KeySet"),0),":","""",valueMaker!I607,"""")</f>
        <v>denwaBangou:"080-8284-9349"</v>
      </c>
      <c r="J607" t="str" cm="1">
        <f t="array" aca="1" ref="J607" ca="1">CONCATENATE(INDIRECT(ADDRESS(1,10,1,0,"KeySet"),0),":","""",valueMaker!J607,"""")</f>
        <v>mailAddress:"Xie_Kuang_Fan_37239@outlook.jp.co"</v>
      </c>
      <c r="K607" t="str" cm="1">
        <f t="array" aca="1" ref="K607" ca="1">CONCATENATE(INDIRECT(ADDRESS(1,11,1,0,"KeySet"),0),":","""",valueMaker!K607,"""")</f>
        <v>kaninSyubetu:"普通"</v>
      </c>
      <c r="L607" t="str" cm="1">
        <f t="array" aca="1" ref="L607" ca="1">CONCATENATE(INDIRECT(ADDRESS(1,12,1,0,"KeySet"),0),":","""",valueMaker!L607,"""")</f>
        <v>kaninKengenWB:"有り"</v>
      </c>
      <c r="M607" t="str" cm="1">
        <f t="array" aca="1" ref="M607" ca="1">CONCATENATE(INDIRECT(ADDRESS(1,13,1,0,"KeySet"),0),":","""",valueMaker!M607,"""")</f>
        <v>wakibiri:"5%"</v>
      </c>
      <c r="N607" t="str" cm="1">
        <f t="array" aca="1" ref="N607" ca="1">CONCATENATE(INDIRECT(ADDRESS(1,14,1,0,"KeySet"),0),":","""",valueMaker!N607,"""")</f>
        <v>kaninKengenPoint:"有り"</v>
      </c>
      <c r="O607" t="str" cm="1">
        <f t="array" aca="1" ref="O607" ca="1">CONCATENATE(INDIRECT(ADDRESS(1,15,1,0,"KeySet"),0),":","""",valueMaker!O607,"""")</f>
        <v>point:"811"</v>
      </c>
      <c r="P607" t="str" cm="1">
        <f t="array" aca="1" ref="P607" ca="1">CONCATENATE(INDIRECT(ADDRESS(1,16,1,0,"KeySet"),0),":","""",valueMaker!P607,"""")</f>
        <v>bikou:""</v>
      </c>
    </row>
    <row r="608" spans="1:16">
      <c r="A608" t="str" cm="1">
        <f t="array" aca="1" ref="A608" ca="1">CONCATENATE(INDIRECT(ADDRESS(1,1,1,0,"KeySet"),0),":","""",valueMaker!A608,"""")</f>
        <v>kainBangou:"TD10607"</v>
      </c>
      <c r="B608" t="str" cm="1">
        <f t="array" aca="1" ref="B608" ca="1">CONCATENATE(INDIRECT(ADDRESS(1,2,1,0,"KeySet"),0),":","""",valueMaker!B608,"""")</f>
        <v>kainMeiKanji:"陳奧常"</v>
      </c>
      <c r="C608" t="str" cm="1">
        <f t="array" aca="1" ref="C608" ca="1">CONCATENATE(INDIRECT(ADDRESS(1,3,1,0,"KeySet"),0),":","""",valueMaker!C608,"""")</f>
        <v>kainMeiKana:"ﾁｪﾝ ｱｵ ﾁｬｰﾝ"</v>
      </c>
      <c r="D608" t="str" cm="1">
        <f t="array" aca="1" ref="D608" ca="1">CONCATENATE(INDIRECT(ADDRESS(1,4,1,0,"KeySet"),0),":","""",valueMaker!D608,"""")</f>
        <v>kainMeiEn:"Chen Ao Chang"</v>
      </c>
      <c r="E608" t="str" cm="1">
        <f t="array" aca="1" ref="E608" ca="1">CONCATENATE(INDIRECT(ADDRESS(1,5,1,0,"KeySet"),0),":","""",valueMaker!E608,"""")</f>
        <v>kainGender:"女性"</v>
      </c>
      <c r="F608" t="str" cm="1">
        <f t="array" aca="1" ref="F608" ca="1">CONCATENATE(INDIRECT(ADDRESS(1,6,1,0,"KeySet"),0),":","""",TEXT(valueMaker!F608,"yyyy/m/d"),"""")</f>
        <v>tanjyoubi:"1980/5/10"</v>
      </c>
      <c r="G608" t="str" cm="1">
        <f t="array" aca="1" ref="G608" ca="1">CONCATENATE(INDIRECT(ADDRESS(1,6,1,0,"KeySet"),0),":","""",TEXT(valueMaker!G608,"yyyy/m/d"),"""")</f>
        <v>tanjyoubi:"2001/11/2"</v>
      </c>
      <c r="H608" t="str" cm="1">
        <f t="array" aca="1" ref="H608" ca="1">CONCATENATE(INDIRECT(ADDRESS(1,6,1,0,"KeySet"),0),":","""",TEXT(valueMaker!H608,"yyyy/m/d"),"""")</f>
        <v>tanjyoubi:"2003/11/2"</v>
      </c>
      <c r="I608" t="str" cm="1">
        <f t="array" aca="1" ref="I608" ca="1">CONCATENATE(INDIRECT(ADDRESS(1,9,1,0,"KeySet"),0),":","""",valueMaker!I608,"""")</f>
        <v>denwaBangou:"090-7461-5094"</v>
      </c>
      <c r="J608" t="str" cm="1">
        <f t="array" aca="1" ref="J608" ca="1">CONCATENATE(INDIRECT(ADDRESS(1,10,1,0,"KeySet"),0),":","""",valueMaker!J608,"""")</f>
        <v>mailAddress:"Chen_Ao_Chang_37197@outlook.jp.co"</v>
      </c>
      <c r="K608" t="str" cm="1">
        <f t="array" aca="1" ref="K608" ca="1">CONCATENATE(INDIRECT(ADDRESS(1,11,1,0,"KeySet"),0),":","""",valueMaker!K608,"""")</f>
        <v>kaninSyubetu:"普通"</v>
      </c>
      <c r="L608" t="str" cm="1">
        <f t="array" aca="1" ref="L608" ca="1">CONCATENATE(INDIRECT(ADDRESS(1,12,1,0,"KeySet"),0),":","""",valueMaker!L608,"""")</f>
        <v>kaninKengenWB:"有り"</v>
      </c>
      <c r="M608" t="str" cm="1">
        <f t="array" aca="1" ref="M608" ca="1">CONCATENATE(INDIRECT(ADDRESS(1,13,1,0,"KeySet"),0),":","""",valueMaker!M608,"""")</f>
        <v>wakibiri:"5%"</v>
      </c>
      <c r="N608" t="str" cm="1">
        <f t="array" aca="1" ref="N608" ca="1">CONCATENATE(INDIRECT(ADDRESS(1,14,1,0,"KeySet"),0),":","""",valueMaker!N608,"""")</f>
        <v>kaninKengenPoint:"有り"</v>
      </c>
      <c r="O608" t="str" cm="1">
        <f t="array" aca="1" ref="O608" ca="1">CONCATENATE(INDIRECT(ADDRESS(1,15,1,0,"KeySet"),0),":","""",valueMaker!O608,"""")</f>
        <v>point:"200"</v>
      </c>
      <c r="P608" t="str" cm="1">
        <f t="array" aca="1" ref="P608" ca="1">CONCATENATE(INDIRECT(ADDRESS(1,16,1,0,"KeySet"),0),":","""",valueMaker!P608,"""")</f>
        <v>bikou:""</v>
      </c>
    </row>
    <row r="609" spans="1:16">
      <c r="A609" t="str" cm="1">
        <f t="array" aca="1" ref="A609" ca="1">CONCATENATE(INDIRECT(ADDRESS(1,1,1,0,"KeySet"),0),":","""",valueMaker!A609,"""")</f>
        <v>kainBangou:"TD10608"</v>
      </c>
      <c r="B609" t="str" cm="1">
        <f t="array" aca="1" ref="B609" ca="1">CONCATENATE(INDIRECT(ADDRESS(1,2,1,0,"KeySet"),0),":","""",valueMaker!B609,"""")</f>
        <v>kainMeiKanji:"馬亦麥"</v>
      </c>
      <c r="C609" t="str" cm="1">
        <f t="array" aca="1" ref="C609" ca="1">CONCATENATE(INDIRECT(ADDRESS(1,3,1,0,"KeySet"),0),":","""",valueMaker!C609,"""")</f>
        <v>kainMeiKana:"ﾏｰ ｲｰ ﾏｲ"</v>
      </c>
      <c r="D609" t="str" cm="1">
        <f t="array" aca="1" ref="D609" ca="1">CONCATENATE(INDIRECT(ADDRESS(1,4,1,0,"KeySet"),0),":","""",valueMaker!D609,"""")</f>
        <v>kainMeiEn:"Ma Yi Mai"</v>
      </c>
      <c r="E609" t="str" cm="1">
        <f t="array" aca="1" ref="E609" ca="1">CONCATENATE(INDIRECT(ADDRESS(1,5,1,0,"KeySet"),0),":","""",valueMaker!E609,"""")</f>
        <v>kainGender:"女性"</v>
      </c>
      <c r="F609" t="str" cm="1">
        <f t="array" aca="1" ref="F609" ca="1">CONCATENATE(INDIRECT(ADDRESS(1,6,1,0,"KeySet"),0),":","""",TEXT(valueMaker!F609,"yyyy/m/d"),"""")</f>
        <v>tanjyoubi:"1968/5/1"</v>
      </c>
      <c r="G609" t="str" cm="1">
        <f t="array" aca="1" ref="G609" ca="1">CONCATENATE(INDIRECT(ADDRESS(1,6,1,0,"KeySet"),0),":","""",TEXT(valueMaker!G609,"yyyy/m/d"),"""")</f>
        <v>tanjyoubi:"2000/1/7"</v>
      </c>
      <c r="H609" t="str" cm="1">
        <f t="array" aca="1" ref="H609" ca="1">CONCATENATE(INDIRECT(ADDRESS(1,6,1,0,"KeySet"),0),":","""",TEXT(valueMaker!H609,"yyyy/m/d"),"""")</f>
        <v>tanjyoubi:"2003/1/6"</v>
      </c>
      <c r="I609" t="str" cm="1">
        <f t="array" aca="1" ref="I609" ca="1">CONCATENATE(INDIRECT(ADDRESS(1,9,1,0,"KeySet"),0),":","""",valueMaker!I609,"""")</f>
        <v>denwaBangou:"090-1436-3260"</v>
      </c>
      <c r="J609" t="str" cm="1">
        <f t="array" aca="1" ref="J609" ca="1">CONCATENATE(INDIRECT(ADDRESS(1,10,1,0,"KeySet"),0),":","""",valueMaker!J609,"""")</f>
        <v>mailAddress:"Ma_Yi_Mai_36532@outlook.jp.co"</v>
      </c>
      <c r="K609" t="str" cm="1">
        <f t="array" aca="1" ref="K609" ca="1">CONCATENATE(INDIRECT(ADDRESS(1,11,1,0,"KeySet"),0),":","""",valueMaker!K609,"""")</f>
        <v>kaninSyubetu:"普通"</v>
      </c>
      <c r="L609" t="str" cm="1">
        <f t="array" aca="1" ref="L609" ca="1">CONCATENATE(INDIRECT(ADDRESS(1,12,1,0,"KeySet"),0),":","""",valueMaker!L609,"""")</f>
        <v>kaninKengenWB:"有り"</v>
      </c>
      <c r="M609" t="str" cm="1">
        <f t="array" aca="1" ref="M609" ca="1">CONCATENATE(INDIRECT(ADDRESS(1,13,1,0,"KeySet"),0),":","""",valueMaker!M609,"""")</f>
        <v>wakibiri:"5%"</v>
      </c>
      <c r="N609" t="str" cm="1">
        <f t="array" aca="1" ref="N609" ca="1">CONCATENATE(INDIRECT(ADDRESS(1,14,1,0,"KeySet"),0),":","""",valueMaker!N609,"""")</f>
        <v>kaninKengenPoint:"有り"</v>
      </c>
      <c r="O609" t="str" cm="1">
        <f t="array" aca="1" ref="O609" ca="1">CONCATENATE(INDIRECT(ADDRESS(1,15,1,0,"KeySet"),0),":","""",valueMaker!O609,"""")</f>
        <v>point:"272"</v>
      </c>
      <c r="P609" t="str" cm="1">
        <f t="array" aca="1" ref="P609" ca="1">CONCATENATE(INDIRECT(ADDRESS(1,16,1,0,"KeySet"),0),":","""",valueMaker!P609,"""")</f>
        <v>bikou:""</v>
      </c>
    </row>
    <row r="610" spans="1:16">
      <c r="A610" t="str" cm="1">
        <f t="array" aca="1" ref="A610" ca="1">CONCATENATE(INDIRECT(ADDRESS(1,1,1,0,"KeySet"),0),":","""",valueMaker!A610,"""")</f>
        <v>kainBangou:"TD10609"</v>
      </c>
      <c r="B610" t="str" cm="1">
        <f t="array" aca="1" ref="B610" ca="1">CONCATENATE(INDIRECT(ADDRESS(1,2,1,0,"KeySet"),0),":","""",valueMaker!B610,"""")</f>
        <v>kainMeiKanji:"韓綸網"</v>
      </c>
      <c r="C610" t="str" cm="1">
        <f t="array" aca="1" ref="C610" ca="1">CONCATENATE(INDIRECT(ADDRESS(1,3,1,0,"KeySet"),0),":","""",valueMaker!C610,"""")</f>
        <v>kainMeiKana:"ﾊﾝ ﾙﾝ ﾜｰﾝ"</v>
      </c>
      <c r="D610" t="str" cm="1">
        <f t="array" aca="1" ref="D610" ca="1">CONCATENATE(INDIRECT(ADDRESS(1,4,1,0,"KeySet"),0),":","""",valueMaker!D610,"""")</f>
        <v>kainMeiEn:"Han Lun Wang"</v>
      </c>
      <c r="E610" t="str" cm="1">
        <f t="array" aca="1" ref="E610" ca="1">CONCATENATE(INDIRECT(ADDRESS(1,5,1,0,"KeySet"),0),":","""",valueMaker!E610,"""")</f>
        <v>kainGender:"男性"</v>
      </c>
      <c r="F610" t="str" cm="1">
        <f t="array" aca="1" ref="F610" ca="1">CONCATENATE(INDIRECT(ADDRESS(1,6,1,0,"KeySet"),0),":","""",TEXT(valueMaker!F610,"yyyy/m/d"),"""")</f>
        <v>tanjyoubi:"1988/10/27"</v>
      </c>
      <c r="G610" t="str" cm="1">
        <f t="array" aca="1" ref="G610" ca="1">CONCATENATE(INDIRECT(ADDRESS(1,6,1,0,"KeySet"),0),":","""",TEXT(valueMaker!G610,"yyyy/m/d"),"""")</f>
        <v>tanjyoubi:"2021/5/15"</v>
      </c>
      <c r="H610" t="str" cm="1">
        <f t="array" aca="1" ref="H610" ca="1">CONCATENATE(INDIRECT(ADDRESS(1,6,1,0,"KeySet"),0),":","""",TEXT(valueMaker!H610,"yyyy/m/d"),"""")</f>
        <v>tanjyoubi:"2023/5/15"</v>
      </c>
      <c r="I610" t="str" cm="1">
        <f t="array" aca="1" ref="I610" ca="1">CONCATENATE(INDIRECT(ADDRESS(1,9,1,0,"KeySet"),0),":","""",valueMaker!I610,"""")</f>
        <v>denwaBangou:"090-3637-2904"</v>
      </c>
      <c r="J610" t="str" cm="1">
        <f t="array" aca="1" ref="J610" ca="1">CONCATENATE(INDIRECT(ADDRESS(1,10,1,0,"KeySet"),0),":","""",valueMaker!J610,"""")</f>
        <v>mailAddress:"Han_Lun Wang_44331@outlook.jp.co"</v>
      </c>
      <c r="K610" t="str" cm="1">
        <f t="array" aca="1" ref="K610" ca="1">CONCATENATE(INDIRECT(ADDRESS(1,11,1,0,"KeySet"),0),":","""",valueMaker!K610,"""")</f>
        <v>kaninSyubetu:"普通"</v>
      </c>
      <c r="L610" t="str" cm="1">
        <f t="array" aca="1" ref="L610" ca="1">CONCATENATE(INDIRECT(ADDRESS(1,12,1,0,"KeySet"),0),":","""",valueMaker!L610,"""")</f>
        <v>kaninKengenWB:"有り"</v>
      </c>
      <c r="M610" t="str" cm="1">
        <f t="array" aca="1" ref="M610" ca="1">CONCATENATE(INDIRECT(ADDRESS(1,13,1,0,"KeySet"),0),":","""",valueMaker!M610,"""")</f>
        <v>wakibiri:"5%"</v>
      </c>
      <c r="N610" t="str" cm="1">
        <f t="array" aca="1" ref="N610" ca="1">CONCATENATE(INDIRECT(ADDRESS(1,14,1,0,"KeySet"),0),":","""",valueMaker!N610,"""")</f>
        <v>kaninKengenPoint:"-"</v>
      </c>
      <c r="O610" t="str" cm="1">
        <f t="array" aca="1" ref="O610" ca="1">CONCATENATE(INDIRECT(ADDRESS(1,15,1,0,"KeySet"),0),":","""",valueMaker!O610,"""")</f>
        <v>point:"-"</v>
      </c>
      <c r="P610" t="str" cm="1">
        <f t="array" aca="1" ref="P610" ca="1">CONCATENATE(INDIRECT(ADDRESS(1,16,1,0,"KeySet"),0),":","""",valueMaker!P610,"""")</f>
        <v>bikou:""</v>
      </c>
    </row>
    <row r="611" spans="1:16">
      <c r="A611" t="str" cm="1">
        <f t="array" aca="1" ref="A611" ca="1">CONCATENATE(INDIRECT(ADDRESS(1,1,1,0,"KeySet"),0),":","""",valueMaker!A611,"""")</f>
        <v>kainBangou:"TD10610"</v>
      </c>
      <c r="B611" t="str" cm="1">
        <f t="array" aca="1" ref="B611" ca="1">CONCATENATE(INDIRECT(ADDRESS(1,2,1,0,"KeySet"),0),":","""",valueMaker!B611,"""")</f>
        <v>kainMeiKanji:"謝素財"</v>
      </c>
      <c r="C611" t="str" cm="1">
        <f t="array" aca="1" ref="C611" ca="1">CONCATENATE(INDIRECT(ADDRESS(1,3,1,0,"KeySet"),0),":","""",valueMaker!C611,"""")</f>
        <v>kainMeiKana:"ｼｴ ｽｩ ﾂｧｲ"</v>
      </c>
      <c r="D611" t="str" cm="1">
        <f t="array" aca="1" ref="D611" ca="1">CONCATENATE(INDIRECT(ADDRESS(1,4,1,0,"KeySet"),0),":","""",valueMaker!D611,"""")</f>
        <v>kainMeiEn:"Xie Su Cai"</v>
      </c>
      <c r="E611" t="str" cm="1">
        <f t="array" aca="1" ref="E611" ca="1">CONCATENATE(INDIRECT(ADDRESS(1,5,1,0,"KeySet"),0),":","""",valueMaker!E611,"""")</f>
        <v>kainGender:"女性"</v>
      </c>
      <c r="F611" t="str" cm="1">
        <f t="array" aca="1" ref="F611" ca="1">CONCATENATE(INDIRECT(ADDRESS(1,6,1,0,"KeySet"),0),":","""",TEXT(valueMaker!F611,"yyyy/m/d"),"""")</f>
        <v>tanjyoubi:"1971/7/13"</v>
      </c>
      <c r="G611" t="str" cm="1">
        <f t="array" aca="1" ref="G611" ca="1">CONCATENATE(INDIRECT(ADDRESS(1,6,1,0,"KeySet"),0),":","""",TEXT(valueMaker!G611,"yyyy/m/d"),"""")</f>
        <v>tanjyoubi:"2015/1/14"</v>
      </c>
      <c r="H611" t="str" cm="1">
        <f t="array" aca="1" ref="H611" ca="1">CONCATENATE(INDIRECT(ADDRESS(1,6,1,0,"KeySet"),0),":","""",TEXT(valueMaker!H611,"yyyy/m/d"),"""")</f>
        <v>tanjyoubi:"2016/1/14"</v>
      </c>
      <c r="I611" t="str" cm="1">
        <f t="array" aca="1" ref="I611" ca="1">CONCATENATE(INDIRECT(ADDRESS(1,9,1,0,"KeySet"),0),":","""",valueMaker!I611,"""")</f>
        <v>denwaBangou:"090-5971-0875"</v>
      </c>
      <c r="J611" t="str" cm="1">
        <f t="array" aca="1" ref="J611" ca="1">CONCATENATE(INDIRECT(ADDRESS(1,10,1,0,"KeySet"),0),":","""",valueMaker!J611,"""")</f>
        <v>mailAddress:"Xie_Su_Cai_42018@outlook.jp.co"</v>
      </c>
      <c r="K611" t="str" cm="1">
        <f t="array" aca="1" ref="K611" ca="1">CONCATENATE(INDIRECT(ADDRESS(1,11,1,0,"KeySet"),0),":","""",valueMaker!K611,"""")</f>
        <v>kaninSyubetu:"高級"</v>
      </c>
      <c r="L611" t="str" cm="1">
        <f t="array" aca="1" ref="L611" ca="1">CONCATENATE(INDIRECT(ADDRESS(1,12,1,0,"KeySet"),0),":","""",valueMaker!L611,"""")</f>
        <v>kaninKengenWB:"有り"</v>
      </c>
      <c r="M611" t="str" cm="1">
        <f t="array" aca="1" ref="M611" ca="1">CONCATENATE(INDIRECT(ADDRESS(1,13,1,0,"KeySet"),0),":","""",valueMaker!M611,"""")</f>
        <v>wakibiri:"10%"</v>
      </c>
      <c r="N611" t="str" cm="1">
        <f t="array" aca="1" ref="N611" ca="1">CONCATENATE(INDIRECT(ADDRESS(1,14,1,0,"KeySet"),0),":","""",valueMaker!N611,"""")</f>
        <v>kaninKengenPoint:"-"</v>
      </c>
      <c r="O611" t="str" cm="1">
        <f t="array" aca="1" ref="O611" ca="1">CONCATENATE(INDIRECT(ADDRESS(1,15,1,0,"KeySet"),0),":","""",valueMaker!O611,"""")</f>
        <v>point:"-"</v>
      </c>
      <c r="P611" t="str" cm="1">
        <f t="array" aca="1" ref="P611" ca="1">CONCATENATE(INDIRECT(ADDRESS(1,16,1,0,"KeySet"),0),":","""",valueMaker!P611,"""")</f>
        <v>bikou:""</v>
      </c>
    </row>
    <row r="612" spans="1:16">
      <c r="A612" t="str" cm="1">
        <f t="array" aca="1" ref="A612" ca="1">CONCATENATE(INDIRECT(ADDRESS(1,1,1,0,"KeySet"),0),":","""",valueMaker!A612,"""")</f>
        <v>kainBangou:"TD10611"</v>
      </c>
      <c r="B612" t="str" cm="1">
        <f t="array" aca="1" ref="B612" ca="1">CONCATENATE(INDIRECT(ADDRESS(1,2,1,0,"KeySet"),0),":","""",valueMaker!B612,"""")</f>
        <v>kainMeiKanji:"宋貴友"</v>
      </c>
      <c r="C612" t="str" cm="1">
        <f t="array" aca="1" ref="C612" ca="1">CONCATENATE(INDIRECT(ADDRESS(1,3,1,0,"KeySet"),0),":","""",valueMaker!C612,"""")</f>
        <v>kainMeiKana:"ｿｰﾝ ｸﾞｲ ﾖｳ"</v>
      </c>
      <c r="D612" t="str" cm="1">
        <f t="array" aca="1" ref="D612" ca="1">CONCATENATE(INDIRECT(ADDRESS(1,4,1,0,"KeySet"),0),":","""",valueMaker!D612,"""")</f>
        <v>kainMeiEn:"Song Gui You"</v>
      </c>
      <c r="E612" t="str" cm="1">
        <f t="array" aca="1" ref="E612" ca="1">CONCATENATE(INDIRECT(ADDRESS(1,5,1,0,"KeySet"),0),":","""",valueMaker!E612,"""")</f>
        <v>kainGender:"女性"</v>
      </c>
      <c r="F612" t="str" cm="1">
        <f t="array" aca="1" ref="F612" ca="1">CONCATENATE(INDIRECT(ADDRESS(1,6,1,0,"KeySet"),0),":","""",TEXT(valueMaker!F612,"yyyy/m/d"),"""")</f>
        <v>tanjyoubi:"1969/6/13"</v>
      </c>
      <c r="G612" t="str" cm="1">
        <f t="array" aca="1" ref="G612" ca="1">CONCATENATE(INDIRECT(ADDRESS(1,6,1,0,"KeySet"),0),":","""",TEXT(valueMaker!G612,"yyyy/m/d"),"""")</f>
        <v>tanjyoubi:"2000/9/8"</v>
      </c>
      <c r="H612" t="str" cm="1">
        <f t="array" aca="1" ref="H612" ca="1">CONCATENATE(INDIRECT(ADDRESS(1,6,1,0,"KeySet"),0),":","""",TEXT(valueMaker!H612,"yyyy/m/d"),"""")</f>
        <v>tanjyoubi:"2003/9/8"</v>
      </c>
      <c r="I612" t="str" cm="1">
        <f t="array" aca="1" ref="I612" ca="1">CONCATENATE(INDIRECT(ADDRESS(1,9,1,0,"KeySet"),0),":","""",valueMaker!I612,"""")</f>
        <v>denwaBangou:"090-6162-9927"</v>
      </c>
      <c r="J612" t="str" cm="1">
        <f t="array" aca="1" ref="J612" ca="1">CONCATENATE(INDIRECT(ADDRESS(1,10,1,0,"KeySet"),0),":","""",valueMaker!J612,"""")</f>
        <v>mailAddress:"Song_Gui_You_36777@outlook.jp.co"</v>
      </c>
      <c r="K612" t="str" cm="1">
        <f t="array" aca="1" ref="K612" ca="1">CONCATENATE(INDIRECT(ADDRESS(1,11,1,0,"KeySet"),0),":","""",valueMaker!K612,"""")</f>
        <v>kaninSyubetu:"普通"</v>
      </c>
      <c r="L612" t="str" cm="1">
        <f t="array" aca="1" ref="L612" ca="1">CONCATENATE(INDIRECT(ADDRESS(1,12,1,0,"KeySet"),0),":","""",valueMaker!L612,"""")</f>
        <v>kaninKengenWB:"有り"</v>
      </c>
      <c r="M612" t="str" cm="1">
        <f t="array" aca="1" ref="M612" ca="1">CONCATENATE(INDIRECT(ADDRESS(1,13,1,0,"KeySet"),0),":","""",valueMaker!M612,"""")</f>
        <v>wakibiri:"5%"</v>
      </c>
      <c r="N612" t="str" cm="1">
        <f t="array" aca="1" ref="N612" ca="1">CONCATENATE(INDIRECT(ADDRESS(1,14,1,0,"KeySet"),0),":","""",valueMaker!N612,"""")</f>
        <v>kaninKengenPoint:"有り"</v>
      </c>
      <c r="O612" t="str" cm="1">
        <f t="array" aca="1" ref="O612" ca="1">CONCATENATE(INDIRECT(ADDRESS(1,15,1,0,"KeySet"),0),":","""",valueMaker!O612,"""")</f>
        <v>point:"628"</v>
      </c>
      <c r="P612" t="str" cm="1">
        <f t="array" aca="1" ref="P612" ca="1">CONCATENATE(INDIRECT(ADDRESS(1,16,1,0,"KeySet"),0),":","""",valueMaker!P612,"""")</f>
        <v>bikou:""</v>
      </c>
    </row>
    <row r="613" spans="1:16">
      <c r="A613" t="str" cm="1">
        <f t="array" aca="1" ref="A613" ca="1">CONCATENATE(INDIRECT(ADDRESS(1,1,1,0,"KeySet"),0),":","""",valueMaker!A613,"""")</f>
        <v>kainBangou:"TD10612"</v>
      </c>
      <c r="B613" t="str" cm="1">
        <f t="array" aca="1" ref="B613" ca="1">CONCATENATE(INDIRECT(ADDRESS(1,2,1,0,"KeySet"),0),":","""",valueMaker!B613,"""")</f>
        <v>kainMeiKanji:"朱卓芹"</v>
      </c>
      <c r="C613" t="str" cm="1">
        <f t="array" aca="1" ref="C613" ca="1">CONCATENATE(INDIRECT(ADDRESS(1,3,1,0,"KeySet"),0),":","""",valueMaker!C613,"""")</f>
        <v>kainMeiKana:"ｼﾞｭｳ ｼﾞｭｵ ﾁﾝ"</v>
      </c>
      <c r="D613" t="str" cm="1">
        <f t="array" aca="1" ref="D613" ca="1">CONCATENATE(INDIRECT(ADDRESS(1,4,1,0,"KeySet"),0),":","""",valueMaker!D613,"""")</f>
        <v>kainMeiEn:"Zhu Zhuo Qin"</v>
      </c>
      <c r="E613" t="str" cm="1">
        <f t="array" aca="1" ref="E613" ca="1">CONCATENATE(INDIRECT(ADDRESS(1,5,1,0,"KeySet"),0),":","""",valueMaker!E613,"""")</f>
        <v>kainGender:"女性"</v>
      </c>
      <c r="F613" t="str" cm="1">
        <f t="array" aca="1" ref="F613" ca="1">CONCATENATE(INDIRECT(ADDRESS(1,6,1,0,"KeySet"),0),":","""",TEXT(valueMaker!F613,"yyyy/m/d"),"""")</f>
        <v>tanjyoubi:"1982/2/12"</v>
      </c>
      <c r="G613" t="str" cm="1">
        <f t="array" aca="1" ref="G613" ca="1">CONCATENATE(INDIRECT(ADDRESS(1,6,1,0,"KeySet"),0),":","""",TEXT(valueMaker!G613,"yyyy/m/d"),"""")</f>
        <v>tanjyoubi:"2014/4/24"</v>
      </c>
      <c r="H613" t="str" cm="1">
        <f t="array" aca="1" ref="H613" ca="1">CONCATENATE(INDIRECT(ADDRESS(1,6,1,0,"KeySet"),0),":","""",TEXT(valueMaker!H613,"yyyy/m/d"),"""")</f>
        <v>tanjyoubi:"2016/4/23"</v>
      </c>
      <c r="I613" t="str" cm="1">
        <f t="array" aca="1" ref="I613" ca="1">CONCATENATE(INDIRECT(ADDRESS(1,9,1,0,"KeySet"),0),":","""",valueMaker!I613,"""")</f>
        <v>denwaBangou:"090-6403-5331"</v>
      </c>
      <c r="J613" t="str" cm="1">
        <f t="array" aca="1" ref="J613" ca="1">CONCATENATE(INDIRECT(ADDRESS(1,10,1,0,"KeySet"),0),":","""",valueMaker!J613,"""")</f>
        <v>mailAddress:"Zhu_Zhuo_Qin_41753@outlook.jp.co"</v>
      </c>
      <c r="K613" t="str" cm="1">
        <f t="array" aca="1" ref="K613" ca="1">CONCATENATE(INDIRECT(ADDRESS(1,11,1,0,"KeySet"),0),":","""",valueMaker!K613,"""")</f>
        <v>kaninSyubetu:"高級"</v>
      </c>
      <c r="L613" t="str" cm="1">
        <f t="array" aca="1" ref="L613" ca="1">CONCATENATE(INDIRECT(ADDRESS(1,12,1,0,"KeySet"),0),":","""",valueMaker!L613,"""")</f>
        <v>kaninKengenWB:"有り"</v>
      </c>
      <c r="M613" t="str" cm="1">
        <f t="array" aca="1" ref="M613" ca="1">CONCATENATE(INDIRECT(ADDRESS(1,13,1,0,"KeySet"),0),":","""",valueMaker!M613,"""")</f>
        <v>wakibiri:"10%"</v>
      </c>
      <c r="N613" t="str" cm="1">
        <f t="array" aca="1" ref="N613" ca="1">CONCATENATE(INDIRECT(ADDRESS(1,14,1,0,"KeySet"),0),":","""",valueMaker!N613,"""")</f>
        <v>kaninKengenPoint:"-"</v>
      </c>
      <c r="O613" t="str" cm="1">
        <f t="array" aca="1" ref="O613" ca="1">CONCATENATE(INDIRECT(ADDRESS(1,15,1,0,"KeySet"),0),":","""",valueMaker!O613,"""")</f>
        <v>point:"-"</v>
      </c>
      <c r="P613" t="str" cm="1">
        <f t="array" aca="1" ref="P613" ca="1">CONCATENATE(INDIRECT(ADDRESS(1,16,1,0,"KeySet"),0),":","""",valueMaker!P613,"""")</f>
        <v>bikou:""</v>
      </c>
    </row>
    <row r="614" spans="1:16">
      <c r="A614" t="str" cm="1">
        <f t="array" aca="1" ref="A614" ca="1">CONCATENATE(INDIRECT(ADDRESS(1,1,1,0,"KeySet"),0),":","""",valueMaker!A614,"""")</f>
        <v>kainBangou:"TD10613"</v>
      </c>
      <c r="B614" t="str" cm="1">
        <f t="array" aca="1" ref="B614" ca="1">CONCATENATE(INDIRECT(ADDRESS(1,2,1,0,"KeySet"),0),":","""",valueMaker!B614,"""")</f>
        <v>kainMeiKanji:"朱美貿"</v>
      </c>
      <c r="C614" t="str" cm="1">
        <f t="array" aca="1" ref="C614" ca="1">CONCATENATE(INDIRECT(ADDRESS(1,3,1,0,"KeySet"),0),":","""",valueMaker!C614,"""")</f>
        <v>kainMeiKana:"ｼﾞｭｳ ﾒｲ ﾏｵ"</v>
      </c>
      <c r="D614" t="str" cm="1">
        <f t="array" aca="1" ref="D614" ca="1">CONCATENATE(INDIRECT(ADDRESS(1,4,1,0,"KeySet"),0),":","""",valueMaker!D614,"""")</f>
        <v>kainMeiEn:"Zhu Mei Mao"</v>
      </c>
      <c r="E614" t="str" cm="1">
        <f t="array" aca="1" ref="E614" ca="1">CONCATENATE(INDIRECT(ADDRESS(1,5,1,0,"KeySet"),0),":","""",valueMaker!E614,"""")</f>
        <v>kainGender:"男性"</v>
      </c>
      <c r="F614" t="str" cm="1">
        <f t="array" aca="1" ref="F614" ca="1">CONCATENATE(INDIRECT(ADDRESS(1,6,1,0,"KeySet"),0),":","""",TEXT(valueMaker!F614,"yyyy/m/d"),"""")</f>
        <v>tanjyoubi:"1978/4/5"</v>
      </c>
      <c r="G614" t="str" cm="1">
        <f t="array" aca="1" ref="G614" ca="1">CONCATENATE(INDIRECT(ADDRESS(1,6,1,0,"KeySet"),0),":","""",TEXT(valueMaker!G614,"yyyy/m/d"),"""")</f>
        <v>tanjyoubi:"2020/9/30"</v>
      </c>
      <c r="H614" t="str" cm="1">
        <f t="array" aca="1" ref="H614" ca="1">CONCATENATE(INDIRECT(ADDRESS(1,6,1,0,"KeySet"),0),":","""",TEXT(valueMaker!H614,"yyyy/m/d"),"""")</f>
        <v>tanjyoubi:"2021/9/30"</v>
      </c>
      <c r="I614" t="str" cm="1">
        <f t="array" aca="1" ref="I614" ca="1">CONCATENATE(INDIRECT(ADDRESS(1,9,1,0,"KeySet"),0),":","""",valueMaker!I614,"""")</f>
        <v>denwaBangou:"080-4066-7632"</v>
      </c>
      <c r="J614" t="str" cm="1">
        <f t="array" aca="1" ref="J614" ca="1">CONCATENATE(INDIRECT(ADDRESS(1,10,1,0,"KeySet"),0),":","""",valueMaker!J614,"""")</f>
        <v>mailAddress:"Zhu_Mei_Mao_44104@outlook.jp.co"</v>
      </c>
      <c r="K614" t="str" cm="1">
        <f t="array" aca="1" ref="K614" ca="1">CONCATENATE(INDIRECT(ADDRESS(1,11,1,0,"KeySet"),0),":","""",valueMaker!K614,"""")</f>
        <v>kaninSyubetu:"普通"</v>
      </c>
      <c r="L614" t="str" cm="1">
        <f t="array" aca="1" ref="L614" ca="1">CONCATENATE(INDIRECT(ADDRESS(1,12,1,0,"KeySet"),0),":","""",valueMaker!L614,"""")</f>
        <v>kaninKengenWB:"-"</v>
      </c>
      <c r="M614" t="str" cm="1">
        <f t="array" aca="1" ref="M614" ca="1">CONCATENATE(INDIRECT(ADDRESS(1,13,1,0,"KeySet"),0),":","""",valueMaker!M614,"""")</f>
        <v>wakibiri:"-"</v>
      </c>
      <c r="N614" t="str" cm="1">
        <f t="array" aca="1" ref="N614" ca="1">CONCATENATE(INDIRECT(ADDRESS(1,14,1,0,"KeySet"),0),":","""",valueMaker!N614,"""")</f>
        <v>kaninKengenPoint:"有り"</v>
      </c>
      <c r="O614" t="str" cm="1">
        <f t="array" aca="1" ref="O614" ca="1">CONCATENATE(INDIRECT(ADDRESS(1,15,1,0,"KeySet"),0),":","""",valueMaker!O614,"""")</f>
        <v>point:"275"</v>
      </c>
      <c r="P614" t="str" cm="1">
        <f t="array" aca="1" ref="P614" ca="1">CONCATENATE(INDIRECT(ADDRESS(1,16,1,0,"KeySet"),0),":","""",valueMaker!P614,"""")</f>
        <v>bikou:""</v>
      </c>
    </row>
    <row r="615" spans="1:16">
      <c r="A615" t="str" cm="1">
        <f t="array" aca="1" ref="A615" ca="1">CONCATENATE(INDIRECT(ADDRESS(1,1,1,0,"KeySet"),0),":","""",valueMaker!A615,"""")</f>
        <v>kainBangou:"TD10614"</v>
      </c>
      <c r="B615" t="str" cm="1">
        <f t="array" aca="1" ref="B615" ca="1">CONCATENATE(INDIRECT(ADDRESS(1,2,1,0,"KeySet"),0),":","""",valueMaker!B615,"""")</f>
        <v>kainMeiKanji:"陳翠琳"</v>
      </c>
      <c r="C615" t="str" cm="1">
        <f t="array" aca="1" ref="C615" ca="1">CONCATENATE(INDIRECT(ADDRESS(1,3,1,0,"KeySet"),0),":","""",valueMaker!C615,"""")</f>
        <v>kainMeiKana:"ﾁｪﾝ ﾂｩｲ ﾘﾝ"</v>
      </c>
      <c r="D615" t="str" cm="1">
        <f t="array" aca="1" ref="D615" ca="1">CONCATENATE(INDIRECT(ADDRESS(1,4,1,0,"KeySet"),0),":","""",valueMaker!D615,"""")</f>
        <v>kainMeiEn:"Chen Cui Lin"</v>
      </c>
      <c r="E615" t="str" cm="1">
        <f t="array" aca="1" ref="E615" ca="1">CONCATENATE(INDIRECT(ADDRESS(1,5,1,0,"KeySet"),0),":","""",valueMaker!E615,"""")</f>
        <v>kainGender:"女性"</v>
      </c>
      <c r="F615" t="str" cm="1">
        <f t="array" aca="1" ref="F615" ca="1">CONCATENATE(INDIRECT(ADDRESS(1,6,1,0,"KeySet"),0),":","""",TEXT(valueMaker!F615,"yyyy/m/d"),"""")</f>
        <v>tanjyoubi:"1962/5/19"</v>
      </c>
      <c r="G615" t="str" cm="1">
        <f t="array" aca="1" ref="G615" ca="1">CONCATENATE(INDIRECT(ADDRESS(1,6,1,0,"KeySet"),0),":","""",TEXT(valueMaker!G615,"yyyy/m/d"),"""")</f>
        <v>tanjyoubi:"1984/3/28"</v>
      </c>
      <c r="H615" t="str" cm="1">
        <f t="array" aca="1" ref="H615" ca="1">CONCATENATE(INDIRECT(ADDRESS(1,6,1,0,"KeySet"),0),":","""",TEXT(valueMaker!H615,"yyyy/m/d"),"""")</f>
        <v>tanjyoubi:"1987/3/28"</v>
      </c>
      <c r="I615" t="str" cm="1">
        <f t="array" aca="1" ref="I615" ca="1">CONCATENATE(INDIRECT(ADDRESS(1,9,1,0,"KeySet"),0),":","""",valueMaker!I615,"""")</f>
        <v>denwaBangou:"090-0113-2572"</v>
      </c>
      <c r="J615" t="str" cm="1">
        <f t="array" aca="1" ref="J615" ca="1">CONCATENATE(INDIRECT(ADDRESS(1,10,1,0,"KeySet"),0),":","""",valueMaker!J615,"""")</f>
        <v>mailAddress:"Chen_Cui_Lin_30769@outlook.jp.co"</v>
      </c>
      <c r="K615" t="str" cm="1">
        <f t="array" aca="1" ref="K615" ca="1">CONCATENATE(INDIRECT(ADDRESS(1,11,1,0,"KeySet"),0),":","""",valueMaker!K615,"""")</f>
        <v>kaninSyubetu:"普通"</v>
      </c>
      <c r="L615" t="str" cm="1">
        <f t="array" aca="1" ref="L615" ca="1">CONCATENATE(INDIRECT(ADDRESS(1,12,1,0,"KeySet"),0),":","""",valueMaker!L615,"""")</f>
        <v>kaninKengenWB:"有り"</v>
      </c>
      <c r="M615" t="str" cm="1">
        <f t="array" aca="1" ref="M615" ca="1">CONCATENATE(INDIRECT(ADDRESS(1,13,1,0,"KeySet"),0),":","""",valueMaker!M615,"""")</f>
        <v>wakibiri:"5%"</v>
      </c>
      <c r="N615" t="str" cm="1">
        <f t="array" aca="1" ref="N615" ca="1">CONCATENATE(INDIRECT(ADDRESS(1,14,1,0,"KeySet"),0),":","""",valueMaker!N615,"""")</f>
        <v>kaninKengenPoint:"有り"</v>
      </c>
      <c r="O615" t="str" cm="1">
        <f t="array" aca="1" ref="O615" ca="1">CONCATENATE(INDIRECT(ADDRESS(1,15,1,0,"KeySet"),0),":","""",valueMaker!O615,"""")</f>
        <v>point:"68"</v>
      </c>
      <c r="P615" t="str" cm="1">
        <f t="array" aca="1" ref="P615" ca="1">CONCATENATE(INDIRECT(ADDRESS(1,16,1,0,"KeySet"),0),":","""",valueMaker!P615,"""")</f>
        <v>bikou:""</v>
      </c>
    </row>
    <row r="616" spans="1:16">
      <c r="A616" t="str" cm="1">
        <f t="array" aca="1" ref="A616" ca="1">CONCATENATE(INDIRECT(ADDRESS(1,1,1,0,"KeySet"),0),":","""",valueMaker!A616,"""")</f>
        <v>kainBangou:"TD10615"</v>
      </c>
      <c r="B616" t="str" cm="1">
        <f t="array" aca="1" ref="B616" ca="1">CONCATENATE(INDIRECT(ADDRESS(1,2,1,0,"KeySet"),0),":","""",valueMaker!B616,"""")</f>
        <v>kainMeiKanji:"孫綸網"</v>
      </c>
      <c r="C616" t="str" cm="1">
        <f t="array" aca="1" ref="C616" ca="1">CONCATENATE(INDIRECT(ADDRESS(1,3,1,0,"KeySet"),0),":","""",valueMaker!C616,"""")</f>
        <v>kainMeiKana:"ｽｩﾝ ﾙﾝ ﾜｰﾝ"</v>
      </c>
      <c r="D616" t="str" cm="1">
        <f t="array" aca="1" ref="D616" ca="1">CONCATENATE(INDIRECT(ADDRESS(1,4,1,0,"KeySet"),0),":","""",valueMaker!D616,"""")</f>
        <v>kainMeiEn:"Sun Lun Wang"</v>
      </c>
      <c r="E616" t="str" cm="1">
        <f t="array" aca="1" ref="E616" ca="1">CONCATENATE(INDIRECT(ADDRESS(1,5,1,0,"KeySet"),0),":","""",valueMaker!E616,"""")</f>
        <v>kainGender:"男性"</v>
      </c>
      <c r="F616" t="str" cm="1">
        <f t="array" aca="1" ref="F616" ca="1">CONCATENATE(INDIRECT(ADDRESS(1,6,1,0,"KeySet"),0),":","""",TEXT(valueMaker!F616,"yyyy/m/d"),"""")</f>
        <v>tanjyoubi:"1996/5/12"</v>
      </c>
      <c r="G616" t="str" cm="1">
        <f t="array" aca="1" ref="G616" ca="1">CONCATENATE(INDIRECT(ADDRESS(1,6,1,0,"KeySet"),0),":","""",TEXT(valueMaker!G616,"yyyy/m/d"),"""")</f>
        <v>tanjyoubi:"2020/4/30"</v>
      </c>
      <c r="H616" t="str" cm="1">
        <f t="array" aca="1" ref="H616" ca="1">CONCATENATE(INDIRECT(ADDRESS(1,6,1,0,"KeySet"),0),":","""",TEXT(valueMaker!H616,"yyyy/m/d"),"""")</f>
        <v>tanjyoubi:"2022/4/30"</v>
      </c>
      <c r="I616" t="str" cm="1">
        <f t="array" aca="1" ref="I616" ca="1">CONCATENATE(INDIRECT(ADDRESS(1,9,1,0,"KeySet"),0),":","""",valueMaker!I616,"""")</f>
        <v>denwaBangou:"090-4792-4855"</v>
      </c>
      <c r="J616" t="str" cm="1">
        <f t="array" aca="1" ref="J616" ca="1">CONCATENATE(INDIRECT(ADDRESS(1,10,1,0,"KeySet"),0),":","""",valueMaker!J616,"""")</f>
        <v>mailAddress:"Sun_Lun Wang_43951@outlook.jp.co"</v>
      </c>
      <c r="K616" t="str" cm="1">
        <f t="array" aca="1" ref="K616" ca="1">CONCATENATE(INDIRECT(ADDRESS(1,11,1,0,"KeySet"),0),":","""",valueMaker!K616,"""")</f>
        <v>kaninSyubetu:"普通"</v>
      </c>
      <c r="L616" t="str" cm="1">
        <f t="array" aca="1" ref="L616" ca="1">CONCATENATE(INDIRECT(ADDRESS(1,12,1,0,"KeySet"),0),":","""",valueMaker!L616,"""")</f>
        <v>kaninKengenWB:"有り"</v>
      </c>
      <c r="M616" t="str" cm="1">
        <f t="array" aca="1" ref="M616" ca="1">CONCATENATE(INDIRECT(ADDRESS(1,13,1,0,"KeySet"),0),":","""",valueMaker!M616,"""")</f>
        <v>wakibiri:"5%"</v>
      </c>
      <c r="N616" t="str" cm="1">
        <f t="array" aca="1" ref="N616" ca="1">CONCATENATE(INDIRECT(ADDRESS(1,14,1,0,"KeySet"),0),":","""",valueMaker!N616,"""")</f>
        <v>kaninKengenPoint:"有り"</v>
      </c>
      <c r="O616" t="str" cm="1">
        <f t="array" aca="1" ref="O616" ca="1">CONCATENATE(INDIRECT(ADDRESS(1,15,1,0,"KeySet"),0),":","""",valueMaker!O616,"""")</f>
        <v>point:"343"</v>
      </c>
      <c r="P616" t="str" cm="1">
        <f t="array" aca="1" ref="P616" ca="1">CONCATENATE(INDIRECT(ADDRESS(1,16,1,0,"KeySet"),0),":","""",valueMaker!P616,"""")</f>
        <v>bikou:""</v>
      </c>
    </row>
    <row r="617" spans="1:16">
      <c r="A617" t="str" cm="1">
        <f t="array" aca="1" ref="A617" ca="1">CONCATENATE(INDIRECT(ADDRESS(1,1,1,0,"KeySet"),0),":","""",valueMaker!A617,"""")</f>
        <v>kainBangou:"TD10616"</v>
      </c>
      <c r="B617" t="str" cm="1">
        <f t="array" aca="1" ref="B617" ca="1">CONCATENATE(INDIRECT(ADDRESS(1,2,1,0,"KeySet"),0),":","""",valueMaker!B617,"""")</f>
        <v>kainMeiKanji:"謝鳳梅"</v>
      </c>
      <c r="C617" t="str" cm="1">
        <f t="array" aca="1" ref="C617" ca="1">CONCATENATE(INDIRECT(ADDRESS(1,3,1,0,"KeySet"),0),":","""",valueMaker!C617,"""")</f>
        <v>kainMeiKana:"ｼｴ ﾌｵﾝ ﾒｲ"</v>
      </c>
      <c r="D617" t="str" cm="1">
        <f t="array" aca="1" ref="D617" ca="1">CONCATENATE(INDIRECT(ADDRESS(1,4,1,0,"KeySet"),0),":","""",valueMaker!D617,"""")</f>
        <v>kainMeiEn:"Xie Feng Mei"</v>
      </c>
      <c r="E617" t="str" cm="1">
        <f t="array" aca="1" ref="E617" ca="1">CONCATENATE(INDIRECT(ADDRESS(1,5,1,0,"KeySet"),0),":","""",valueMaker!E617,"""")</f>
        <v>kainGender:"女性"</v>
      </c>
      <c r="F617" t="str" cm="1">
        <f t="array" aca="1" ref="F617" ca="1">CONCATENATE(INDIRECT(ADDRESS(1,6,1,0,"KeySet"),0),":","""",TEXT(valueMaker!F617,"yyyy/m/d"),"""")</f>
        <v>tanjyoubi:"2003/2/19"</v>
      </c>
      <c r="G617" t="str" cm="1">
        <f t="array" aca="1" ref="G617" ca="1">CONCATENATE(INDIRECT(ADDRESS(1,6,1,0,"KeySet"),0),":","""",TEXT(valueMaker!G617,"yyyy/m/d"),"""")</f>
        <v>tanjyoubi:"2023/12/30"</v>
      </c>
      <c r="H617" t="str" cm="1">
        <f t="array" aca="1" ref="H617" ca="1">CONCATENATE(INDIRECT(ADDRESS(1,6,1,0,"KeySet"),0),":","""",TEXT(valueMaker!H617,"yyyy/m/d"),"""")</f>
        <v>tanjyoubi:"2024/12/29"</v>
      </c>
      <c r="I617" t="str" cm="1">
        <f t="array" aca="1" ref="I617" ca="1">CONCATENATE(INDIRECT(ADDRESS(1,9,1,0,"KeySet"),0),":","""",valueMaker!I617,"""")</f>
        <v>denwaBangou:"090-4399-6956"</v>
      </c>
      <c r="J617" t="str" cm="1">
        <f t="array" aca="1" ref="J617" ca="1">CONCATENATE(INDIRECT(ADDRESS(1,10,1,0,"KeySet"),0),":","""",valueMaker!J617,"""")</f>
        <v>mailAddress:"Xie_Feng_Mei_45290@outlook.jp.co"</v>
      </c>
      <c r="K617" t="str" cm="1">
        <f t="array" aca="1" ref="K617" ca="1">CONCATENATE(INDIRECT(ADDRESS(1,11,1,0,"KeySet"),0),":","""",valueMaker!K617,"""")</f>
        <v>kaninSyubetu:"高級"</v>
      </c>
      <c r="L617" t="str" cm="1">
        <f t="array" aca="1" ref="L617" ca="1">CONCATENATE(INDIRECT(ADDRESS(1,12,1,0,"KeySet"),0),":","""",valueMaker!L617,"""")</f>
        <v>kaninKengenWB:"-"</v>
      </c>
      <c r="M617" t="str" cm="1">
        <f t="array" aca="1" ref="M617" ca="1">CONCATENATE(INDIRECT(ADDRESS(1,13,1,0,"KeySet"),0),":","""",valueMaker!M617,"""")</f>
        <v>wakibiri:"-"</v>
      </c>
      <c r="N617" t="str" cm="1">
        <f t="array" aca="1" ref="N617" ca="1">CONCATENATE(INDIRECT(ADDRESS(1,14,1,0,"KeySet"),0),":","""",valueMaker!N617,"""")</f>
        <v>kaninKengenPoint:"有り"</v>
      </c>
      <c r="O617" t="str" cm="1">
        <f t="array" aca="1" ref="O617" ca="1">CONCATENATE(INDIRECT(ADDRESS(1,15,1,0,"KeySet"),0),":","""",valueMaker!O617,"""")</f>
        <v>point:"208"</v>
      </c>
      <c r="P617" t="str" cm="1">
        <f t="array" aca="1" ref="P617" ca="1">CONCATENATE(INDIRECT(ADDRESS(1,16,1,0,"KeySet"),0),":","""",valueMaker!P617,"""")</f>
        <v>bikou:""</v>
      </c>
    </row>
    <row r="618" spans="1:16">
      <c r="A618" t="str" cm="1">
        <f t="array" aca="1" ref="A618" ca="1">CONCATENATE(INDIRECT(ADDRESS(1,1,1,0,"KeySet"),0),":","""",valueMaker!A618,"""")</f>
        <v>kainBangou:"TD10617"</v>
      </c>
      <c r="B618" t="str" cm="1">
        <f t="array" aca="1" ref="B618" ca="1">CONCATENATE(INDIRECT(ADDRESS(1,2,1,0,"KeySet"),0),":","""",valueMaker!B618,"""")</f>
        <v>kainMeiKanji:"李麒雪"</v>
      </c>
      <c r="C618" t="str" cm="1">
        <f t="array" aca="1" ref="C618" ca="1">CONCATENATE(INDIRECT(ADDRESS(1,3,1,0,"KeySet"),0),":","""",valueMaker!C618,"""")</f>
        <v>kainMeiKana:"ﾘｰ ﾁｲ ｼｭｴ"</v>
      </c>
      <c r="D618" t="str" cm="1">
        <f t="array" aca="1" ref="D618" ca="1">CONCATENATE(INDIRECT(ADDRESS(1,4,1,0,"KeySet"),0),":","""",valueMaker!D618,"""")</f>
        <v>kainMeiEn:"Li Qi Xue"</v>
      </c>
      <c r="E618" t="str" cm="1">
        <f t="array" aca="1" ref="E618" ca="1">CONCATENATE(INDIRECT(ADDRESS(1,5,1,0,"KeySet"),0),":","""",valueMaker!E618,"""")</f>
        <v>kainGender:"男性"</v>
      </c>
      <c r="F618" t="str" cm="1">
        <f t="array" aca="1" ref="F618" ca="1">CONCATENATE(INDIRECT(ADDRESS(1,6,1,0,"KeySet"),0),":","""",TEXT(valueMaker!F618,"yyyy/m/d"),"""")</f>
        <v>tanjyoubi:"1997/8/18"</v>
      </c>
      <c r="G618" t="str" cm="1">
        <f t="array" aca="1" ref="G618" ca="1">CONCATENATE(INDIRECT(ADDRESS(1,6,1,0,"KeySet"),0),":","""",TEXT(valueMaker!G618,"yyyy/m/d"),"""")</f>
        <v>tanjyoubi:"2017/10/25"</v>
      </c>
      <c r="H618" t="str" cm="1">
        <f t="array" aca="1" ref="H618" ca="1">CONCATENATE(INDIRECT(ADDRESS(1,6,1,0,"KeySet"),0),":","""",TEXT(valueMaker!H618,"yyyy/m/d"),"""")</f>
        <v>tanjyoubi:"2019/10/25"</v>
      </c>
      <c r="I618" t="str" cm="1">
        <f t="array" aca="1" ref="I618" ca="1">CONCATENATE(INDIRECT(ADDRESS(1,9,1,0,"KeySet"),0),":","""",valueMaker!I618,"""")</f>
        <v>denwaBangou:"080-4948-4107"</v>
      </c>
      <c r="J618" t="str" cm="1">
        <f t="array" aca="1" ref="J618" ca="1">CONCATENATE(INDIRECT(ADDRESS(1,10,1,0,"KeySet"),0),":","""",valueMaker!J618,"""")</f>
        <v>mailAddress:"Li_Qi_Xue_43033@outlook.jp.co"</v>
      </c>
      <c r="K618" t="str" cm="1">
        <f t="array" aca="1" ref="K618" ca="1">CONCATENATE(INDIRECT(ADDRESS(1,11,1,0,"KeySet"),0),":","""",valueMaker!K618,"""")</f>
        <v>kaninSyubetu:"普通"</v>
      </c>
      <c r="L618" t="str" cm="1">
        <f t="array" aca="1" ref="L618" ca="1">CONCATENATE(INDIRECT(ADDRESS(1,12,1,0,"KeySet"),0),":","""",valueMaker!L618,"""")</f>
        <v>kaninKengenWB:"-"</v>
      </c>
      <c r="M618" t="str" cm="1">
        <f t="array" aca="1" ref="M618" ca="1">CONCATENATE(INDIRECT(ADDRESS(1,13,1,0,"KeySet"),0),":","""",valueMaker!M618,"""")</f>
        <v>wakibiri:"-"</v>
      </c>
      <c r="N618" t="str" cm="1">
        <f t="array" aca="1" ref="N618" ca="1">CONCATENATE(INDIRECT(ADDRESS(1,14,1,0,"KeySet"),0),":","""",valueMaker!N618,"""")</f>
        <v>kaninKengenPoint:"-"</v>
      </c>
      <c r="O618" t="str" cm="1">
        <f t="array" aca="1" ref="O618" ca="1">CONCATENATE(INDIRECT(ADDRESS(1,15,1,0,"KeySet"),0),":","""",valueMaker!O618,"""")</f>
        <v>point:"-"</v>
      </c>
      <c r="P618" t="str" cm="1">
        <f t="array" aca="1" ref="P618" ca="1">CONCATENATE(INDIRECT(ADDRESS(1,16,1,0,"KeySet"),0),":","""",valueMaker!P618,"""")</f>
        <v>bikou:""</v>
      </c>
    </row>
    <row r="619" spans="1:16">
      <c r="A619" t="str" cm="1">
        <f t="array" aca="1" ref="A619" ca="1">CONCATENATE(INDIRECT(ADDRESS(1,1,1,0,"KeySet"),0),":","""",valueMaker!A619,"""")</f>
        <v>kainBangou:"TD10618"</v>
      </c>
      <c r="B619" t="str" cm="1">
        <f t="array" aca="1" ref="B619" ca="1">CONCATENATE(INDIRECT(ADDRESS(1,2,1,0,"KeySet"),0),":","""",valueMaker!B619,"""")</f>
        <v>kainMeiKanji:"何喜永"</v>
      </c>
      <c r="C619" t="str" cm="1">
        <f t="array" aca="1" ref="C619" ca="1">CONCATENATE(INDIRECT(ADDRESS(1,3,1,0,"KeySet"),0),":","""",valueMaker!C619,"""")</f>
        <v>kainMeiKana:"ﾎｰｧ ｼｲ ﾖｰﾝ"</v>
      </c>
      <c r="D619" t="str" cm="1">
        <f t="array" aca="1" ref="D619" ca="1">CONCATENATE(INDIRECT(ADDRESS(1,4,1,0,"KeySet"),0),":","""",valueMaker!D619,"""")</f>
        <v>kainMeiEn:"He Xi Yong"</v>
      </c>
      <c r="E619" t="str" cm="1">
        <f t="array" aca="1" ref="E619" ca="1">CONCATENATE(INDIRECT(ADDRESS(1,5,1,0,"KeySet"),0),":","""",valueMaker!E619,"""")</f>
        <v>kainGender:"女性"</v>
      </c>
      <c r="F619" t="str" cm="1">
        <f t="array" aca="1" ref="F619" ca="1">CONCATENATE(INDIRECT(ADDRESS(1,6,1,0,"KeySet"),0),":","""",TEXT(valueMaker!F619,"yyyy/m/d"),"""")</f>
        <v>tanjyoubi:"1963/6/16"</v>
      </c>
      <c r="G619" t="str" cm="1">
        <f t="array" aca="1" ref="G619" ca="1">CONCATENATE(INDIRECT(ADDRESS(1,6,1,0,"KeySet"),0),":","""",TEXT(valueMaker!G619,"yyyy/m/d"),"""")</f>
        <v>tanjyoubi:"2009/10/20"</v>
      </c>
      <c r="H619" t="str" cm="1">
        <f t="array" aca="1" ref="H619" ca="1">CONCATENATE(INDIRECT(ADDRESS(1,6,1,0,"KeySet"),0),":","""",TEXT(valueMaker!H619,"yyyy/m/d"),"""")</f>
        <v>tanjyoubi:"2010/10/20"</v>
      </c>
      <c r="I619" t="str" cm="1">
        <f t="array" aca="1" ref="I619" ca="1">CONCATENATE(INDIRECT(ADDRESS(1,9,1,0,"KeySet"),0),":","""",valueMaker!I619,"""")</f>
        <v>denwaBangou:"080-5331-7886"</v>
      </c>
      <c r="J619" t="str" cm="1">
        <f t="array" aca="1" ref="J619" ca="1">CONCATENATE(INDIRECT(ADDRESS(1,10,1,0,"KeySet"),0),":","""",valueMaker!J619,"""")</f>
        <v>mailAddress:"He_Xi_Yong_40106@outlook.jp.co"</v>
      </c>
      <c r="K619" t="str" cm="1">
        <f t="array" aca="1" ref="K619" ca="1">CONCATENATE(INDIRECT(ADDRESS(1,11,1,0,"KeySet"),0),":","""",valueMaker!K619,"""")</f>
        <v>kaninSyubetu:"普通"</v>
      </c>
      <c r="L619" t="str" cm="1">
        <f t="array" aca="1" ref="L619" ca="1">CONCATENATE(INDIRECT(ADDRESS(1,12,1,0,"KeySet"),0),":","""",valueMaker!L619,"""")</f>
        <v>kaninKengenWB:"有り"</v>
      </c>
      <c r="M619" t="str" cm="1">
        <f t="array" aca="1" ref="M619" ca="1">CONCATENATE(INDIRECT(ADDRESS(1,13,1,0,"KeySet"),0),":","""",valueMaker!M619,"""")</f>
        <v>wakibiri:"5%"</v>
      </c>
      <c r="N619" t="str" cm="1">
        <f t="array" aca="1" ref="N619" ca="1">CONCATENATE(INDIRECT(ADDRESS(1,14,1,0,"KeySet"),0),":","""",valueMaker!N619,"""")</f>
        <v>kaninKengenPoint:"有り"</v>
      </c>
      <c r="O619" t="str" cm="1">
        <f t="array" aca="1" ref="O619" ca="1">CONCATENATE(INDIRECT(ADDRESS(1,15,1,0,"KeySet"),0),":","""",valueMaker!O619,"""")</f>
        <v>point:"158"</v>
      </c>
      <c r="P619" t="str" cm="1">
        <f t="array" aca="1" ref="P619" ca="1">CONCATENATE(INDIRECT(ADDRESS(1,16,1,0,"KeySet"),0),":","""",valueMaker!P619,"""")</f>
        <v>bikou:""</v>
      </c>
    </row>
    <row r="620" spans="1:16">
      <c r="A620" t="str" cm="1">
        <f t="array" aca="1" ref="A620" ca="1">CONCATENATE(INDIRECT(ADDRESS(1,1,1,0,"KeySet"),0),":","""",valueMaker!A620,"""")</f>
        <v>kainBangou:"TD10619"</v>
      </c>
      <c r="B620" t="str" cm="1">
        <f t="array" aca="1" ref="B620" ca="1">CONCATENATE(INDIRECT(ADDRESS(1,2,1,0,"KeySet"),0),":","""",valueMaker!B620,"""")</f>
        <v>kainMeiKanji:"趙斌湖"</v>
      </c>
      <c r="C620" t="str" cm="1">
        <f t="array" aca="1" ref="C620" ca="1">CONCATENATE(INDIRECT(ADDRESS(1,3,1,0,"KeySet"),0),":","""",valueMaker!C620,"""")</f>
        <v>kainMeiKana:"ｼﾞｬｵ ﾋﾞﾝ ﾎｩ"</v>
      </c>
      <c r="D620" t="str" cm="1">
        <f t="array" aca="1" ref="D620" ca="1">CONCATENATE(INDIRECT(ADDRESS(1,4,1,0,"KeySet"),0),":","""",valueMaker!D620,"""")</f>
        <v>kainMeiEn:"Zhao Bin Hu"</v>
      </c>
      <c r="E620" t="str" cm="1">
        <f t="array" aca="1" ref="E620" ca="1">CONCATENATE(INDIRECT(ADDRESS(1,5,1,0,"KeySet"),0),":","""",valueMaker!E620,"""")</f>
        <v>kainGender:"女性"</v>
      </c>
      <c r="F620" t="str" cm="1">
        <f t="array" aca="1" ref="F620" ca="1">CONCATENATE(INDIRECT(ADDRESS(1,6,1,0,"KeySet"),0),":","""",TEXT(valueMaker!F620,"yyyy/m/d"),"""")</f>
        <v>tanjyoubi:"2002/7/31"</v>
      </c>
      <c r="G620" t="str" cm="1">
        <f t="array" aca="1" ref="G620" ca="1">CONCATENATE(INDIRECT(ADDRESS(1,6,1,0,"KeySet"),0),":","""",TEXT(valueMaker!G620,"yyyy/m/d"),"""")</f>
        <v>tanjyoubi:"2023/9/27"</v>
      </c>
      <c r="H620" t="str" cm="1">
        <f t="array" aca="1" ref="H620" ca="1">CONCATENATE(INDIRECT(ADDRESS(1,6,1,0,"KeySet"),0),":","""",TEXT(valueMaker!H620,"yyyy/m/d"),"""")</f>
        <v>tanjyoubi:"2025/9/26"</v>
      </c>
      <c r="I620" t="str" cm="1">
        <f t="array" aca="1" ref="I620" ca="1">CONCATENATE(INDIRECT(ADDRESS(1,9,1,0,"KeySet"),0),":","""",valueMaker!I620,"""")</f>
        <v>denwaBangou:"080-4460-2921"</v>
      </c>
      <c r="J620" t="str" cm="1">
        <f t="array" aca="1" ref="J620" ca="1">CONCATENATE(INDIRECT(ADDRESS(1,10,1,0,"KeySet"),0),":","""",valueMaker!J620,"""")</f>
        <v>mailAddress:"Zhao_Bin_Hu_45196@outlook.jp.co"</v>
      </c>
      <c r="K620" t="str" cm="1">
        <f t="array" aca="1" ref="K620" ca="1">CONCATENATE(INDIRECT(ADDRESS(1,11,1,0,"KeySet"),0),":","""",valueMaker!K620,"""")</f>
        <v>kaninSyubetu:"普通"</v>
      </c>
      <c r="L620" t="str" cm="1">
        <f t="array" aca="1" ref="L620" ca="1">CONCATENATE(INDIRECT(ADDRESS(1,12,1,0,"KeySet"),0),":","""",valueMaker!L620,"""")</f>
        <v>kaninKengenWB:"有り"</v>
      </c>
      <c r="M620" t="str" cm="1">
        <f t="array" aca="1" ref="M620" ca="1">CONCATENATE(INDIRECT(ADDRESS(1,13,1,0,"KeySet"),0),":","""",valueMaker!M620,"""")</f>
        <v>wakibiri:"5%"</v>
      </c>
      <c r="N620" t="str" cm="1">
        <f t="array" aca="1" ref="N620" ca="1">CONCATENATE(INDIRECT(ADDRESS(1,14,1,0,"KeySet"),0),":","""",valueMaker!N620,"""")</f>
        <v>kaninKengenPoint:"-"</v>
      </c>
      <c r="O620" t="str" cm="1">
        <f t="array" aca="1" ref="O620" ca="1">CONCATENATE(INDIRECT(ADDRESS(1,15,1,0,"KeySet"),0),":","""",valueMaker!O620,"""")</f>
        <v>point:"-"</v>
      </c>
      <c r="P620" t="str" cm="1">
        <f t="array" aca="1" ref="P620" ca="1">CONCATENATE(INDIRECT(ADDRESS(1,16,1,0,"KeySet"),0),":","""",valueMaker!P620,"""")</f>
        <v>bikou:""</v>
      </c>
    </row>
    <row r="621" spans="1:16">
      <c r="A621" t="str" cm="1">
        <f t="array" aca="1" ref="A621" ca="1">CONCATENATE(INDIRECT(ADDRESS(1,1,1,0,"KeySet"),0),":","""",valueMaker!A621,"""")</f>
        <v>kainBangou:"TD10620"</v>
      </c>
      <c r="B621" t="str" cm="1">
        <f t="array" aca="1" ref="B621" ca="1">CONCATENATE(INDIRECT(ADDRESS(1,2,1,0,"KeySet"),0),":","""",valueMaker!B621,"""")</f>
        <v>kainMeiKanji:"趙亭芬"</v>
      </c>
      <c r="C621" t="str" cm="1">
        <f t="array" aca="1" ref="C621" ca="1">CONCATENATE(INDIRECT(ADDRESS(1,3,1,0,"KeySet"),0),":","""",valueMaker!C621,"""")</f>
        <v>kainMeiKana:"ｼﾞｬｵ ﾃｨｰﾝ ﾌｪﾝ"</v>
      </c>
      <c r="D621" t="str" cm="1">
        <f t="array" aca="1" ref="D621" ca="1">CONCATENATE(INDIRECT(ADDRESS(1,4,1,0,"KeySet"),0),":","""",valueMaker!D621,"""")</f>
        <v>kainMeiEn:"Zhao Ting Fen"</v>
      </c>
      <c r="E621" t="str" cm="1">
        <f t="array" aca="1" ref="E621" ca="1">CONCATENATE(INDIRECT(ADDRESS(1,5,1,0,"KeySet"),0),":","""",valueMaker!E621,"""")</f>
        <v>kainGender:"-"</v>
      </c>
      <c r="F621" t="str" cm="1">
        <f t="array" aca="1" ref="F621" ca="1">CONCATENATE(INDIRECT(ADDRESS(1,6,1,0,"KeySet"),0),":","""",TEXT(valueMaker!F621,"yyyy/m/d"),"""")</f>
        <v>tanjyoubi:"1966/2/23"</v>
      </c>
      <c r="G621" t="str" cm="1">
        <f t="array" aca="1" ref="G621" ca="1">CONCATENATE(INDIRECT(ADDRESS(1,6,1,0,"KeySet"),0),":","""",TEXT(valueMaker!G621,"yyyy/m/d"),"""")</f>
        <v>tanjyoubi:"2010/4/5"</v>
      </c>
      <c r="H621" t="str" cm="1">
        <f t="array" aca="1" ref="H621" ca="1">CONCATENATE(INDIRECT(ADDRESS(1,6,1,0,"KeySet"),0),":","""",TEXT(valueMaker!H621,"yyyy/m/d"),"""")</f>
        <v>tanjyoubi:"2012/4/4"</v>
      </c>
      <c r="I621" t="str" cm="1">
        <f t="array" aca="1" ref="I621" ca="1">CONCATENATE(INDIRECT(ADDRESS(1,9,1,0,"KeySet"),0),":","""",valueMaker!I621,"""")</f>
        <v>denwaBangou:"080-0467-9894"</v>
      </c>
      <c r="J621" t="str" cm="1">
        <f t="array" aca="1" ref="J621" ca="1">CONCATENATE(INDIRECT(ADDRESS(1,10,1,0,"KeySet"),0),":","""",valueMaker!J621,"""")</f>
        <v>mailAddress:"Zhao_Ting_Fen_40273@outlook.jp.co"</v>
      </c>
      <c r="K621" t="str" cm="1">
        <f t="array" aca="1" ref="K621" ca="1">CONCATENATE(INDIRECT(ADDRESS(1,11,1,0,"KeySet"),0),":","""",valueMaker!K621,"""")</f>
        <v>kaninSyubetu:"普通"</v>
      </c>
      <c r="L621" t="str" cm="1">
        <f t="array" aca="1" ref="L621" ca="1">CONCATENATE(INDIRECT(ADDRESS(1,12,1,0,"KeySet"),0),":","""",valueMaker!L621,"""")</f>
        <v>kaninKengenWB:"-"</v>
      </c>
      <c r="M621" t="str" cm="1">
        <f t="array" aca="1" ref="M621" ca="1">CONCATENATE(INDIRECT(ADDRESS(1,13,1,0,"KeySet"),0),":","""",valueMaker!M621,"""")</f>
        <v>wakibiri:"-"</v>
      </c>
      <c r="N621" t="str" cm="1">
        <f t="array" aca="1" ref="N621" ca="1">CONCATENATE(INDIRECT(ADDRESS(1,14,1,0,"KeySet"),0),":","""",valueMaker!N621,"""")</f>
        <v>kaninKengenPoint:"有り"</v>
      </c>
      <c r="O621" t="str" cm="1">
        <f t="array" aca="1" ref="O621" ca="1">CONCATENATE(INDIRECT(ADDRESS(1,15,1,0,"KeySet"),0),":","""",valueMaker!O621,"""")</f>
        <v>point:"294"</v>
      </c>
      <c r="P621" t="str" cm="1">
        <f t="array" aca="1" ref="P621" ca="1">CONCATENATE(INDIRECT(ADDRESS(1,16,1,0,"KeySet"),0),":","""",valueMaker!P621,"""")</f>
        <v>bikou:""</v>
      </c>
    </row>
    <row r="622" spans="1:16">
      <c r="A622" t="str" cm="1">
        <f t="array" aca="1" ref="A622" ca="1">CONCATENATE(INDIRECT(ADDRESS(1,1,1,0,"KeySet"),0),":","""",valueMaker!A622,"""")</f>
        <v>kainBangou:"TD10621"</v>
      </c>
      <c r="B622" t="str" cm="1">
        <f t="array" aca="1" ref="B622" ca="1">CONCATENATE(INDIRECT(ADDRESS(1,2,1,0,"KeySet"),0),":","""",valueMaker!B622,"""")</f>
        <v>kainMeiKanji:"鄭忠本"</v>
      </c>
      <c r="C622" t="str" cm="1">
        <f t="array" aca="1" ref="C622" ca="1">CONCATENATE(INDIRECT(ADDRESS(1,3,1,0,"KeySet"),0),":","""",valueMaker!C622,"""")</f>
        <v>kainMeiKana:"ｼﾞｭﾖﾝ ｼﾞｮｰﾝ ﾍﾞﾝ"</v>
      </c>
      <c r="D622" t="str" cm="1">
        <f t="array" aca="1" ref="D622" ca="1">CONCATENATE(INDIRECT(ADDRESS(1,4,1,0,"KeySet"),0),":","""",valueMaker!D622,"""")</f>
        <v>kainMeiEn:"Zheng Zhong Ben"</v>
      </c>
      <c r="E622" t="str" cm="1">
        <f t="array" aca="1" ref="E622" ca="1">CONCATENATE(INDIRECT(ADDRESS(1,5,1,0,"KeySet"),0),":","""",valueMaker!E622,"""")</f>
        <v>kainGender:"男性"</v>
      </c>
      <c r="F622" t="str" cm="1">
        <f t="array" aca="1" ref="F622" ca="1">CONCATENATE(INDIRECT(ADDRESS(1,6,1,0,"KeySet"),0),":","""",TEXT(valueMaker!F622,"yyyy/m/d"),"""")</f>
        <v>tanjyoubi:"1964/7/22"</v>
      </c>
      <c r="G622" t="str" cm="1">
        <f t="array" aca="1" ref="G622" ca="1">CONCATENATE(INDIRECT(ADDRESS(1,6,1,0,"KeySet"),0),":","""",TEXT(valueMaker!G622,"yyyy/m/d"),"""")</f>
        <v>tanjyoubi:"1988/8/3"</v>
      </c>
      <c r="H622" t="str" cm="1">
        <f t="array" aca="1" ref="H622" ca="1">CONCATENATE(INDIRECT(ADDRESS(1,6,1,0,"KeySet"),0),":","""",TEXT(valueMaker!H622,"yyyy/m/d"),"""")</f>
        <v>tanjyoubi:"1991/8/3"</v>
      </c>
      <c r="I622" t="str" cm="1">
        <f t="array" aca="1" ref="I622" ca="1">CONCATENATE(INDIRECT(ADDRESS(1,9,1,0,"KeySet"),0),":","""",valueMaker!I622,"""")</f>
        <v>denwaBangou:"090-4081-4695"</v>
      </c>
      <c r="J622" t="str" cm="1">
        <f t="array" aca="1" ref="J622" ca="1">CONCATENATE(INDIRECT(ADDRESS(1,10,1,0,"KeySet"),0),":","""",valueMaker!J622,"""")</f>
        <v>mailAddress:"Zheng_Zhong_Ben_32358@outlook.jp.co"</v>
      </c>
      <c r="K622" t="str" cm="1">
        <f t="array" aca="1" ref="K622" ca="1">CONCATENATE(INDIRECT(ADDRESS(1,11,1,0,"KeySet"),0),":","""",valueMaker!K622,"""")</f>
        <v>kaninSyubetu:"高級"</v>
      </c>
      <c r="L622" t="str" cm="1">
        <f t="array" aca="1" ref="L622" ca="1">CONCATENATE(INDIRECT(ADDRESS(1,12,1,0,"KeySet"),0),":","""",valueMaker!L622,"""")</f>
        <v>kaninKengenWB:"有り"</v>
      </c>
      <c r="M622" t="str" cm="1">
        <f t="array" aca="1" ref="M622" ca="1">CONCATENATE(INDIRECT(ADDRESS(1,13,1,0,"KeySet"),0),":","""",valueMaker!M622,"""")</f>
        <v>wakibiri:"10%"</v>
      </c>
      <c r="N622" t="str" cm="1">
        <f t="array" aca="1" ref="N622" ca="1">CONCATENATE(INDIRECT(ADDRESS(1,14,1,0,"KeySet"),0),":","""",valueMaker!N622,"""")</f>
        <v>kaninKengenPoint:"-"</v>
      </c>
      <c r="O622" t="str" cm="1">
        <f t="array" aca="1" ref="O622" ca="1">CONCATENATE(INDIRECT(ADDRESS(1,15,1,0,"KeySet"),0),":","""",valueMaker!O622,"""")</f>
        <v>point:"-"</v>
      </c>
      <c r="P622" t="str" cm="1">
        <f t="array" aca="1" ref="P622" ca="1">CONCATENATE(INDIRECT(ADDRESS(1,16,1,0,"KeySet"),0),":","""",valueMaker!P622,"""")</f>
        <v>bikou:""</v>
      </c>
    </row>
    <row r="623" spans="1:16">
      <c r="A623" t="str" cm="1">
        <f t="array" aca="1" ref="A623" ca="1">CONCATENATE(INDIRECT(ADDRESS(1,1,1,0,"KeySet"),0),":","""",valueMaker!A623,"""")</f>
        <v>kainBangou:"TD10622"</v>
      </c>
      <c r="B623" t="str" cm="1">
        <f t="array" aca="1" ref="B623" ca="1">CONCATENATE(INDIRECT(ADDRESS(1,2,1,0,"KeySet"),0),":","""",valueMaker!B623,"""")</f>
        <v>kainMeiKanji:"謝曲佳"</v>
      </c>
      <c r="C623" t="str" cm="1">
        <f t="array" aca="1" ref="C623" ca="1">CONCATENATE(INDIRECT(ADDRESS(1,3,1,0,"KeySet"),0),":","""",valueMaker!C623,"""")</f>
        <v>kainMeiKana:"ｼｴ ﾁｭｲ ｼﾞｱ"</v>
      </c>
      <c r="D623" t="str" cm="1">
        <f t="array" aca="1" ref="D623" ca="1">CONCATENATE(INDIRECT(ADDRESS(1,4,1,0,"KeySet"),0),":","""",valueMaker!D623,"""")</f>
        <v>kainMeiEn:"Xie Qu Jia"</v>
      </c>
      <c r="E623" t="str" cm="1">
        <f t="array" aca="1" ref="E623" ca="1">CONCATENATE(INDIRECT(ADDRESS(1,5,1,0,"KeySet"),0),":","""",valueMaker!E623,"""")</f>
        <v>kainGender:"男性"</v>
      </c>
      <c r="F623" t="str" cm="1">
        <f t="array" aca="1" ref="F623" ca="1">CONCATENATE(INDIRECT(ADDRESS(1,6,1,0,"KeySet"),0),":","""",TEXT(valueMaker!F623,"yyyy/m/d"),"""")</f>
        <v>tanjyoubi:"1980/6/17"</v>
      </c>
      <c r="G623" t="str" cm="1">
        <f t="array" aca="1" ref="G623" ca="1">CONCATENATE(INDIRECT(ADDRESS(1,6,1,0,"KeySet"),0),":","""",TEXT(valueMaker!G623,"yyyy/m/d"),"""")</f>
        <v>tanjyoubi:"2008/10/20"</v>
      </c>
      <c r="H623" t="str" cm="1">
        <f t="array" aca="1" ref="H623" ca="1">CONCATENATE(INDIRECT(ADDRESS(1,6,1,0,"KeySet"),0),":","""",TEXT(valueMaker!H623,"yyyy/m/d"),"""")</f>
        <v>tanjyoubi:"2009/10/20"</v>
      </c>
      <c r="I623" t="str" cm="1">
        <f t="array" aca="1" ref="I623" ca="1">CONCATENATE(INDIRECT(ADDRESS(1,9,1,0,"KeySet"),0),":","""",valueMaker!I623,"""")</f>
        <v>denwaBangou:"080-7985-0408"</v>
      </c>
      <c r="J623" t="str" cm="1">
        <f t="array" aca="1" ref="J623" ca="1">CONCATENATE(INDIRECT(ADDRESS(1,10,1,0,"KeySet"),0),":","""",valueMaker!J623,"""")</f>
        <v>mailAddress:"Xie_Qu_Jia_39741@outlook.jp.co"</v>
      </c>
      <c r="K623" t="str" cm="1">
        <f t="array" aca="1" ref="K623" ca="1">CONCATENATE(INDIRECT(ADDRESS(1,11,1,0,"KeySet"),0),":","""",valueMaker!K623,"""")</f>
        <v>kaninSyubetu:"高級"</v>
      </c>
      <c r="L623" t="str" cm="1">
        <f t="array" aca="1" ref="L623" ca="1">CONCATENATE(INDIRECT(ADDRESS(1,12,1,0,"KeySet"),0),":","""",valueMaker!L623,"""")</f>
        <v>kaninKengenWB:"有り"</v>
      </c>
      <c r="M623" t="str" cm="1">
        <f t="array" aca="1" ref="M623" ca="1">CONCATENATE(INDIRECT(ADDRESS(1,13,1,0,"KeySet"),0),":","""",valueMaker!M623,"""")</f>
        <v>wakibiri:"10%"</v>
      </c>
      <c r="N623" t="str" cm="1">
        <f t="array" aca="1" ref="N623" ca="1">CONCATENATE(INDIRECT(ADDRESS(1,14,1,0,"KeySet"),0),":","""",valueMaker!N623,"""")</f>
        <v>kaninKengenPoint:"有り"</v>
      </c>
      <c r="O623" t="str" cm="1">
        <f t="array" aca="1" ref="O623" ca="1">CONCATENATE(INDIRECT(ADDRESS(1,15,1,0,"KeySet"),0),":","""",valueMaker!O623,"""")</f>
        <v>point:"805"</v>
      </c>
      <c r="P623" t="str" cm="1">
        <f t="array" aca="1" ref="P623" ca="1">CONCATENATE(INDIRECT(ADDRESS(1,16,1,0,"KeySet"),0),":","""",valueMaker!P623,"""")</f>
        <v>bikou:""</v>
      </c>
    </row>
    <row r="624" spans="1:16">
      <c r="A624" t="str" cm="1">
        <f t="array" aca="1" ref="A624" ca="1">CONCATENATE(INDIRECT(ADDRESS(1,1,1,0,"KeySet"),0),":","""",valueMaker!A624,"""")</f>
        <v>kainBangou:"TD10623"</v>
      </c>
      <c r="B624" t="str" cm="1">
        <f t="array" aca="1" ref="B624" ca="1">CONCATENATE(INDIRECT(ADDRESS(1,2,1,0,"KeySet"),0),":","""",valueMaker!B624,"""")</f>
        <v>kainMeiKanji:"唐雷群"</v>
      </c>
      <c r="C624" t="str" cm="1">
        <f t="array" aca="1" ref="C624" ca="1">CONCATENATE(INDIRECT(ADDRESS(1,3,1,0,"KeySet"),0),":","""",valueMaker!C624,"""")</f>
        <v>kainMeiKana:"ﾀｰﾝ ﾚｲ ﾁｭｲﾝ"</v>
      </c>
      <c r="D624" t="str" cm="1">
        <f t="array" aca="1" ref="D624" ca="1">CONCATENATE(INDIRECT(ADDRESS(1,4,1,0,"KeySet"),0),":","""",valueMaker!D624,"""")</f>
        <v>kainMeiEn:"Tang Lei Qun"</v>
      </c>
      <c r="E624" t="str" cm="1">
        <f t="array" aca="1" ref="E624" ca="1">CONCATENATE(INDIRECT(ADDRESS(1,5,1,0,"KeySet"),0),":","""",valueMaker!E624,"""")</f>
        <v>kainGender:"男性"</v>
      </c>
      <c r="F624" t="str" cm="1">
        <f t="array" aca="1" ref="F624" ca="1">CONCATENATE(INDIRECT(ADDRESS(1,6,1,0,"KeySet"),0),":","""",TEXT(valueMaker!F624,"yyyy/m/d"),"""")</f>
        <v>tanjyoubi:"1983/9/19"</v>
      </c>
      <c r="G624" t="str" cm="1">
        <f t="array" aca="1" ref="G624" ca="1">CONCATENATE(INDIRECT(ADDRESS(1,6,1,0,"KeySet"),0),":","""",TEXT(valueMaker!G624,"yyyy/m/d"),"""")</f>
        <v>tanjyoubi:"2014/4/3"</v>
      </c>
      <c r="H624" t="str" cm="1">
        <f t="array" aca="1" ref="H624" ca="1">CONCATENATE(INDIRECT(ADDRESS(1,6,1,0,"KeySet"),0),":","""",TEXT(valueMaker!H624,"yyyy/m/d"),"""")</f>
        <v>tanjyoubi:"2016/4/2"</v>
      </c>
      <c r="I624" t="str" cm="1">
        <f t="array" aca="1" ref="I624" ca="1">CONCATENATE(INDIRECT(ADDRESS(1,9,1,0,"KeySet"),0),":","""",valueMaker!I624,"""")</f>
        <v>denwaBangou:"090-3195-8031"</v>
      </c>
      <c r="J624" t="str" cm="1">
        <f t="array" aca="1" ref="J624" ca="1">CONCATENATE(INDIRECT(ADDRESS(1,10,1,0,"KeySet"),0),":","""",valueMaker!J624,"""")</f>
        <v>mailAddress:"Tang_Lei_Qun_41732@outlook.jp.co"</v>
      </c>
      <c r="K624" t="str" cm="1">
        <f t="array" aca="1" ref="K624" ca="1">CONCATENATE(INDIRECT(ADDRESS(1,11,1,0,"KeySet"),0),":","""",valueMaker!K624,"""")</f>
        <v>kaninSyubetu:"高級"</v>
      </c>
      <c r="L624" t="str" cm="1">
        <f t="array" aca="1" ref="L624" ca="1">CONCATENATE(INDIRECT(ADDRESS(1,12,1,0,"KeySet"),0),":","""",valueMaker!L624,"""")</f>
        <v>kaninKengenWB:"-"</v>
      </c>
      <c r="M624" t="str" cm="1">
        <f t="array" aca="1" ref="M624" ca="1">CONCATENATE(INDIRECT(ADDRESS(1,13,1,0,"KeySet"),0),":","""",valueMaker!M624,"""")</f>
        <v>wakibiri:"-"</v>
      </c>
      <c r="N624" t="str" cm="1">
        <f t="array" aca="1" ref="N624" ca="1">CONCATENATE(INDIRECT(ADDRESS(1,14,1,0,"KeySet"),0),":","""",valueMaker!N624,"""")</f>
        <v>kaninKengenPoint:"有り"</v>
      </c>
      <c r="O624" t="str" cm="1">
        <f t="array" aca="1" ref="O624" ca="1">CONCATENATE(INDIRECT(ADDRESS(1,15,1,0,"KeySet"),0),":","""",valueMaker!O624,"""")</f>
        <v>point:"719"</v>
      </c>
      <c r="P624" t="str" cm="1">
        <f t="array" aca="1" ref="P624" ca="1">CONCATENATE(INDIRECT(ADDRESS(1,16,1,0,"KeySet"),0),":","""",valueMaker!P624,"""")</f>
        <v>bikou:""</v>
      </c>
    </row>
    <row r="625" spans="1:16">
      <c r="A625" t="str" cm="1">
        <f t="array" aca="1" ref="A625" ca="1">CONCATENATE(INDIRECT(ADDRESS(1,1,1,0,"KeySet"),0),":","""",valueMaker!A625,"""")</f>
        <v>kainBangou:"TD10624"</v>
      </c>
      <c r="B625" t="str" cm="1">
        <f t="array" aca="1" ref="B625" ca="1">CONCATENATE(INDIRECT(ADDRESS(1,2,1,0,"KeySet"),0),":","""",valueMaker!B625,"""")</f>
        <v>kainMeiKanji:"林軒荒"</v>
      </c>
      <c r="C625" t="str" cm="1">
        <f t="array" aca="1" ref="C625" ca="1">CONCATENATE(INDIRECT(ADDRESS(1,3,1,0,"KeySet"),0),":","""",valueMaker!C625,"""")</f>
        <v>kainMeiKana:"ﾘﾝ ｼｭｴﾝ ﾎﾜｰﾝ"</v>
      </c>
      <c r="D625" t="str" cm="1">
        <f t="array" aca="1" ref="D625" ca="1">CONCATENATE(INDIRECT(ADDRESS(1,4,1,0,"KeySet"),0),":","""",valueMaker!D625,"""")</f>
        <v>kainMeiEn:"Lin Xuan Huang"</v>
      </c>
      <c r="E625" t="str" cm="1">
        <f t="array" aca="1" ref="E625" ca="1">CONCATENATE(INDIRECT(ADDRESS(1,5,1,0,"KeySet"),0),":","""",valueMaker!E625,"""")</f>
        <v>kainGender:"男性"</v>
      </c>
      <c r="F625" t="str" cm="1">
        <f t="array" aca="1" ref="F625" ca="1">CONCATENATE(INDIRECT(ADDRESS(1,6,1,0,"KeySet"),0),":","""",TEXT(valueMaker!F625,"yyyy/m/d"),"""")</f>
        <v>tanjyoubi:"1994/10/14"</v>
      </c>
      <c r="G625" t="str" cm="1">
        <f t="array" aca="1" ref="G625" ca="1">CONCATENATE(INDIRECT(ADDRESS(1,6,1,0,"KeySet"),0),":","""",TEXT(valueMaker!G625,"yyyy/m/d"),"""")</f>
        <v>tanjyoubi:"2016/2/9"</v>
      </c>
      <c r="H625" t="str" cm="1">
        <f t="array" aca="1" ref="H625" ca="1">CONCATENATE(INDIRECT(ADDRESS(1,6,1,0,"KeySet"),0),":","""",TEXT(valueMaker!H625,"yyyy/m/d"),"""")</f>
        <v>tanjyoubi:"2018/2/8"</v>
      </c>
      <c r="I625" t="str" cm="1">
        <f t="array" aca="1" ref="I625" ca="1">CONCATENATE(INDIRECT(ADDRESS(1,9,1,0,"KeySet"),0),":","""",valueMaker!I625,"""")</f>
        <v>denwaBangou:"080-8568-1898"</v>
      </c>
      <c r="J625" t="str" cm="1">
        <f t="array" aca="1" ref="J625" ca="1">CONCATENATE(INDIRECT(ADDRESS(1,10,1,0,"KeySet"),0),":","""",valueMaker!J625,"""")</f>
        <v>mailAddress:"Lin_Xuan_Huang_42409@outlook.jp.co"</v>
      </c>
      <c r="K625" t="str" cm="1">
        <f t="array" aca="1" ref="K625" ca="1">CONCATENATE(INDIRECT(ADDRESS(1,11,1,0,"KeySet"),0),":","""",valueMaker!K625,"""")</f>
        <v>kaninSyubetu:"高級"</v>
      </c>
      <c r="L625" t="str" cm="1">
        <f t="array" aca="1" ref="L625" ca="1">CONCATENATE(INDIRECT(ADDRESS(1,12,1,0,"KeySet"),0),":","""",valueMaker!L625,"""")</f>
        <v>kaninKengenWB:"有り"</v>
      </c>
      <c r="M625" t="str" cm="1">
        <f t="array" aca="1" ref="M625" ca="1">CONCATENATE(INDIRECT(ADDRESS(1,13,1,0,"KeySet"),0),":","""",valueMaker!M625,"""")</f>
        <v>wakibiri:"10%"</v>
      </c>
      <c r="N625" t="str" cm="1">
        <f t="array" aca="1" ref="N625" ca="1">CONCATENATE(INDIRECT(ADDRESS(1,14,1,0,"KeySet"),0),":","""",valueMaker!N625,"""")</f>
        <v>kaninKengenPoint:"有り"</v>
      </c>
      <c r="O625" t="str" cm="1">
        <f t="array" aca="1" ref="O625" ca="1">CONCATENATE(INDIRECT(ADDRESS(1,15,1,0,"KeySet"),0),":","""",valueMaker!O625,"""")</f>
        <v>point:"92"</v>
      </c>
      <c r="P625" t="str" cm="1">
        <f t="array" aca="1" ref="P625" ca="1">CONCATENATE(INDIRECT(ADDRESS(1,16,1,0,"KeySet"),0),":","""",valueMaker!P625,"""")</f>
        <v>bikou:""</v>
      </c>
    </row>
    <row r="626" spans="1:16">
      <c r="A626" t="str" cm="1">
        <f t="array" aca="1" ref="A626" ca="1">CONCATENATE(INDIRECT(ADDRESS(1,1,1,0,"KeySet"),0),":","""",valueMaker!A626,"""")</f>
        <v>kainBangou:"TD10625"</v>
      </c>
      <c r="B626" t="str" cm="1">
        <f t="array" aca="1" ref="B626" ca="1">CONCATENATE(INDIRECT(ADDRESS(1,2,1,0,"KeySet"),0),":","""",valueMaker!B626,"""")</f>
        <v>kainMeiKanji:"何翠琳"</v>
      </c>
      <c r="C626" t="str" cm="1">
        <f t="array" aca="1" ref="C626" ca="1">CONCATENATE(INDIRECT(ADDRESS(1,3,1,0,"KeySet"),0),":","""",valueMaker!C626,"""")</f>
        <v>kainMeiKana:"ﾎｰｧ ﾂｩｲ ﾘﾝ"</v>
      </c>
      <c r="D626" t="str" cm="1">
        <f t="array" aca="1" ref="D626" ca="1">CONCATENATE(INDIRECT(ADDRESS(1,4,1,0,"KeySet"),0),":","""",valueMaker!D626,"""")</f>
        <v>kainMeiEn:"He Cui Lin"</v>
      </c>
      <c r="E626" t="str" cm="1">
        <f t="array" aca="1" ref="E626" ca="1">CONCATENATE(INDIRECT(ADDRESS(1,5,1,0,"KeySet"),0),":","""",valueMaker!E626,"""")</f>
        <v>kainGender:"男性"</v>
      </c>
      <c r="F626" t="str" cm="1">
        <f t="array" aca="1" ref="F626" ca="1">CONCATENATE(INDIRECT(ADDRESS(1,6,1,0,"KeySet"),0),":","""",TEXT(valueMaker!F626,"yyyy/m/d"),"""")</f>
        <v>tanjyoubi:"1971/4/11"</v>
      </c>
      <c r="G626" t="str" cm="1">
        <f t="array" aca="1" ref="G626" ca="1">CONCATENATE(INDIRECT(ADDRESS(1,6,1,0,"KeySet"),0),":","""",TEXT(valueMaker!G626,"yyyy/m/d"),"""")</f>
        <v>tanjyoubi:"2021/2/21"</v>
      </c>
      <c r="H626" t="str" cm="1">
        <f t="array" aca="1" ref="H626" ca="1">CONCATENATE(INDIRECT(ADDRESS(1,6,1,0,"KeySet"),0),":","""",TEXT(valueMaker!H626,"yyyy/m/d"),"""")</f>
        <v>tanjyoubi:"2024/2/21"</v>
      </c>
      <c r="I626" t="str" cm="1">
        <f t="array" aca="1" ref="I626" ca="1">CONCATENATE(INDIRECT(ADDRESS(1,9,1,0,"KeySet"),0),":","""",valueMaker!I626,"""")</f>
        <v>denwaBangou:"090-0636-3698"</v>
      </c>
      <c r="J626" t="str" cm="1">
        <f t="array" aca="1" ref="J626" ca="1">CONCATENATE(INDIRECT(ADDRESS(1,10,1,0,"KeySet"),0),":","""",valueMaker!J626,"""")</f>
        <v>mailAddress:"He_Cui_Lin_44248@outlook.jp.co"</v>
      </c>
      <c r="K626" t="str" cm="1">
        <f t="array" aca="1" ref="K626" ca="1">CONCATENATE(INDIRECT(ADDRESS(1,11,1,0,"KeySet"),0),":","""",valueMaker!K626,"""")</f>
        <v>kaninSyubetu:"高級"</v>
      </c>
      <c r="L626" t="str" cm="1">
        <f t="array" aca="1" ref="L626" ca="1">CONCATENATE(INDIRECT(ADDRESS(1,12,1,0,"KeySet"),0),":","""",valueMaker!L626,"""")</f>
        <v>kaninKengenWB:"有り"</v>
      </c>
      <c r="M626" t="str" cm="1">
        <f t="array" aca="1" ref="M626" ca="1">CONCATENATE(INDIRECT(ADDRESS(1,13,1,0,"KeySet"),0),":","""",valueMaker!M626,"""")</f>
        <v>wakibiri:"10%"</v>
      </c>
      <c r="N626" t="str" cm="1">
        <f t="array" aca="1" ref="N626" ca="1">CONCATENATE(INDIRECT(ADDRESS(1,14,1,0,"KeySet"),0),":","""",valueMaker!N626,"""")</f>
        <v>kaninKengenPoint:"-"</v>
      </c>
      <c r="O626" t="str" cm="1">
        <f t="array" aca="1" ref="O626" ca="1">CONCATENATE(INDIRECT(ADDRESS(1,15,1,0,"KeySet"),0),":","""",valueMaker!O626,"""")</f>
        <v>point:"-"</v>
      </c>
      <c r="P626" t="str" cm="1">
        <f t="array" aca="1" ref="P626" ca="1">CONCATENATE(INDIRECT(ADDRESS(1,16,1,0,"KeySet"),0),":","""",valueMaker!P626,"""")</f>
        <v>bikou:""</v>
      </c>
    </row>
    <row r="627" spans="1:16">
      <c r="A627" t="str" cm="1">
        <f t="array" aca="1" ref="A627" ca="1">CONCATENATE(INDIRECT(ADDRESS(1,1,1,0,"KeySet"),0),":","""",valueMaker!A627,"""")</f>
        <v>kainBangou:"TD10626"</v>
      </c>
      <c r="B627" t="str" cm="1">
        <f t="array" aca="1" ref="B627" ca="1">CONCATENATE(INDIRECT(ADDRESS(1,2,1,0,"KeySet"),0),":","""",valueMaker!B627,"""")</f>
        <v>kainMeiKanji:"于迎臣"</v>
      </c>
      <c r="C627" t="str" cm="1">
        <f t="array" aca="1" ref="C627" ca="1">CONCATENATE(INDIRECT(ADDRESS(1,3,1,0,"KeySet"),0),":","""",valueMaker!C627,"""")</f>
        <v>kainMeiKana:"ﾕｲ ｲｰﾝ ﾁｪﾝ"</v>
      </c>
      <c r="D627" t="str" cm="1">
        <f t="array" aca="1" ref="D627" ca="1">CONCATENATE(INDIRECT(ADDRESS(1,4,1,0,"KeySet"),0),":","""",valueMaker!D627,"""")</f>
        <v>kainMeiEn:"Yu Ying Chen"</v>
      </c>
      <c r="E627" t="str" cm="1">
        <f t="array" aca="1" ref="E627" ca="1">CONCATENATE(INDIRECT(ADDRESS(1,5,1,0,"KeySet"),0),":","""",valueMaker!E627,"""")</f>
        <v>kainGender:"女性"</v>
      </c>
      <c r="F627" t="str" cm="1">
        <f t="array" aca="1" ref="F627" ca="1">CONCATENATE(INDIRECT(ADDRESS(1,6,1,0,"KeySet"),0),":","""",TEXT(valueMaker!F627,"yyyy/m/d"),"""")</f>
        <v>tanjyoubi:"1998/6/12"</v>
      </c>
      <c r="G627" t="str" cm="1">
        <f t="array" aca="1" ref="G627" ca="1">CONCATENATE(INDIRECT(ADDRESS(1,6,1,0,"KeySet"),0),":","""",TEXT(valueMaker!G627,"yyyy/m/d"),"""")</f>
        <v>tanjyoubi:"2020/11/15"</v>
      </c>
      <c r="H627" t="str" cm="1">
        <f t="array" aca="1" ref="H627" ca="1">CONCATENATE(INDIRECT(ADDRESS(1,6,1,0,"KeySet"),0),":","""",TEXT(valueMaker!H627,"yyyy/m/d"),"""")</f>
        <v>tanjyoubi:"2022/11/15"</v>
      </c>
      <c r="I627" t="str" cm="1">
        <f t="array" aca="1" ref="I627" ca="1">CONCATENATE(INDIRECT(ADDRESS(1,9,1,0,"KeySet"),0),":","""",valueMaker!I627,"""")</f>
        <v>denwaBangou:"090-0293-2333"</v>
      </c>
      <c r="J627" t="str" cm="1">
        <f t="array" aca="1" ref="J627" ca="1">CONCATENATE(INDIRECT(ADDRESS(1,10,1,0,"KeySet"),0),":","""",valueMaker!J627,"""")</f>
        <v>mailAddress:"Yu_Ying_Chen_44150@outlook.jp.co"</v>
      </c>
      <c r="K627" t="str" cm="1">
        <f t="array" aca="1" ref="K627" ca="1">CONCATENATE(INDIRECT(ADDRESS(1,11,1,0,"KeySet"),0),":","""",valueMaker!K627,"""")</f>
        <v>kaninSyubetu:"高級"</v>
      </c>
      <c r="L627" t="str" cm="1">
        <f t="array" aca="1" ref="L627" ca="1">CONCATENATE(INDIRECT(ADDRESS(1,12,1,0,"KeySet"),0),":","""",valueMaker!L627,"""")</f>
        <v>kaninKengenWB:"-"</v>
      </c>
      <c r="M627" t="str" cm="1">
        <f t="array" aca="1" ref="M627" ca="1">CONCATENATE(INDIRECT(ADDRESS(1,13,1,0,"KeySet"),0),":","""",valueMaker!M627,"""")</f>
        <v>wakibiri:"-"</v>
      </c>
      <c r="N627" t="str" cm="1">
        <f t="array" aca="1" ref="N627" ca="1">CONCATENATE(INDIRECT(ADDRESS(1,14,1,0,"KeySet"),0),":","""",valueMaker!N627,"""")</f>
        <v>kaninKengenPoint:"有り"</v>
      </c>
      <c r="O627" t="str" cm="1">
        <f t="array" aca="1" ref="O627" ca="1">CONCATENATE(INDIRECT(ADDRESS(1,15,1,0,"KeySet"),0),":","""",valueMaker!O627,"""")</f>
        <v>point:"802"</v>
      </c>
      <c r="P627" t="str" cm="1">
        <f t="array" aca="1" ref="P627" ca="1">CONCATENATE(INDIRECT(ADDRESS(1,16,1,0,"KeySet"),0),":","""",valueMaker!P627,"""")</f>
        <v>bikou:""</v>
      </c>
    </row>
    <row r="628" spans="1:16">
      <c r="A628" t="str" cm="1">
        <f t="array" aca="1" ref="A628" ca="1">CONCATENATE(INDIRECT(ADDRESS(1,1,1,0,"KeySet"),0),":","""",valueMaker!A628,"""")</f>
        <v>kainBangou:"TD10627"</v>
      </c>
      <c r="B628" t="str" cm="1">
        <f t="array" aca="1" ref="B628" ca="1">CONCATENATE(INDIRECT(ADDRESS(1,2,1,0,"KeySet"),0),":","""",valueMaker!B628,"""")</f>
        <v>kainMeiKanji:"馮飛湖"</v>
      </c>
      <c r="C628" t="str" cm="1">
        <f t="array" aca="1" ref="C628" ca="1">CONCATENATE(INDIRECT(ADDRESS(1,3,1,0,"KeySet"),0),":","""",valueMaker!C628,"""")</f>
        <v>kainMeiKana:"ﾌｵﾝ ﾌｪｲ ﾎｩ"</v>
      </c>
      <c r="D628" t="str" cm="1">
        <f t="array" aca="1" ref="D628" ca="1">CONCATENATE(INDIRECT(ADDRESS(1,4,1,0,"KeySet"),0),":","""",valueMaker!D628,"""")</f>
        <v>kainMeiEn:"Feng Fei Hu"</v>
      </c>
      <c r="E628" t="str" cm="1">
        <f t="array" aca="1" ref="E628" ca="1">CONCATENATE(INDIRECT(ADDRESS(1,5,1,0,"KeySet"),0),":","""",valueMaker!E628,"""")</f>
        <v>kainGender:"-"</v>
      </c>
      <c r="F628" t="str" cm="1">
        <f t="array" aca="1" ref="F628" ca="1">CONCATENATE(INDIRECT(ADDRESS(1,6,1,0,"KeySet"),0),":","""",TEXT(valueMaker!F628,"yyyy/m/d"),"""")</f>
        <v>tanjyoubi:"1969/4/2"</v>
      </c>
      <c r="G628" t="str" cm="1">
        <f t="array" aca="1" ref="G628" ca="1">CONCATENATE(INDIRECT(ADDRESS(1,6,1,0,"KeySet"),0),":","""",TEXT(valueMaker!G628,"yyyy/m/d"),"""")</f>
        <v>tanjyoubi:"2022/7/10"</v>
      </c>
      <c r="H628" t="str" cm="1">
        <f t="array" aca="1" ref="H628" ca="1">CONCATENATE(INDIRECT(ADDRESS(1,6,1,0,"KeySet"),0),":","""",TEXT(valueMaker!H628,"yyyy/m/d"),"""")</f>
        <v>tanjyoubi:"2024/7/9"</v>
      </c>
      <c r="I628" t="str" cm="1">
        <f t="array" aca="1" ref="I628" ca="1">CONCATENATE(INDIRECT(ADDRESS(1,9,1,0,"KeySet"),0),":","""",valueMaker!I628,"""")</f>
        <v>denwaBangou:"090-9479-5969"</v>
      </c>
      <c r="J628" t="str" cm="1">
        <f t="array" aca="1" ref="J628" ca="1">CONCATENATE(INDIRECT(ADDRESS(1,10,1,0,"KeySet"),0),":","""",valueMaker!J628,"""")</f>
        <v>mailAddress:"Feng_Fei_Hu_44752@outlook.jp.co"</v>
      </c>
      <c r="K628" t="str" cm="1">
        <f t="array" aca="1" ref="K628" ca="1">CONCATENATE(INDIRECT(ADDRESS(1,11,1,0,"KeySet"),0),":","""",valueMaker!K628,"""")</f>
        <v>kaninSyubetu:"高級"</v>
      </c>
      <c r="L628" t="str" cm="1">
        <f t="array" aca="1" ref="L628" ca="1">CONCATENATE(INDIRECT(ADDRESS(1,12,1,0,"KeySet"),0),":","""",valueMaker!L628,"""")</f>
        <v>kaninKengenWB:"有り"</v>
      </c>
      <c r="M628" t="str" cm="1">
        <f t="array" aca="1" ref="M628" ca="1">CONCATENATE(INDIRECT(ADDRESS(1,13,1,0,"KeySet"),0),":","""",valueMaker!M628,"""")</f>
        <v>wakibiri:"10%"</v>
      </c>
      <c r="N628" t="str" cm="1">
        <f t="array" aca="1" ref="N628" ca="1">CONCATENATE(INDIRECT(ADDRESS(1,14,1,0,"KeySet"),0),":","""",valueMaker!N628,"""")</f>
        <v>kaninKengenPoint:"有り"</v>
      </c>
      <c r="O628" t="str" cm="1">
        <f t="array" aca="1" ref="O628" ca="1">CONCATENATE(INDIRECT(ADDRESS(1,15,1,0,"KeySet"),0),":","""",valueMaker!O628,"""")</f>
        <v>point:"763"</v>
      </c>
      <c r="P628" t="str" cm="1">
        <f t="array" aca="1" ref="P628" ca="1">CONCATENATE(INDIRECT(ADDRESS(1,16,1,0,"KeySet"),0),":","""",valueMaker!P628,"""")</f>
        <v>bikou:""</v>
      </c>
    </row>
    <row r="629" spans="1:16">
      <c r="A629" t="str" cm="1">
        <f t="array" aca="1" ref="A629" ca="1">CONCATENATE(INDIRECT(ADDRESS(1,1,1,0,"KeySet"),0),":","""",valueMaker!A629,"""")</f>
        <v>kainBangou:"TD10628"</v>
      </c>
      <c r="B629" t="str" cm="1">
        <f t="array" aca="1" ref="B629" ca="1">CONCATENATE(INDIRECT(ADDRESS(1,2,1,0,"KeySet"),0),":","""",valueMaker!B629,"""")</f>
        <v>kainMeiKanji:"陳隆江"</v>
      </c>
      <c r="C629" t="str" cm="1">
        <f t="array" aca="1" ref="C629" ca="1">CONCATENATE(INDIRECT(ADDRESS(1,3,1,0,"KeySet"),0),":","""",valueMaker!C629,"""")</f>
        <v>kainMeiKana:"ﾁｪﾝ ﾛｰﾝ ｼﾞｱｰﾝ"</v>
      </c>
      <c r="D629" t="str" cm="1">
        <f t="array" aca="1" ref="D629" ca="1">CONCATENATE(INDIRECT(ADDRESS(1,4,1,0,"KeySet"),0),":","""",valueMaker!D629,"""")</f>
        <v>kainMeiEn:"Chen Long Jiang"</v>
      </c>
      <c r="E629" t="str" cm="1">
        <f t="array" aca="1" ref="E629" ca="1">CONCATENATE(INDIRECT(ADDRESS(1,5,1,0,"KeySet"),0),":","""",valueMaker!E629,"""")</f>
        <v>kainGender:"男性"</v>
      </c>
      <c r="F629" t="str" cm="1">
        <f t="array" aca="1" ref="F629" ca="1">CONCATENATE(INDIRECT(ADDRESS(1,6,1,0,"KeySet"),0),":","""",TEXT(valueMaker!F629,"yyyy/m/d"),"""")</f>
        <v>tanjyoubi:"1974/10/26"</v>
      </c>
      <c r="G629" t="str" cm="1">
        <f t="array" aca="1" ref="G629" ca="1">CONCATENATE(INDIRECT(ADDRESS(1,6,1,0,"KeySet"),0),":","""",TEXT(valueMaker!G629,"yyyy/m/d"),"""")</f>
        <v>tanjyoubi:"2012/8/15"</v>
      </c>
      <c r="H629" t="str" cm="1">
        <f t="array" aca="1" ref="H629" ca="1">CONCATENATE(INDIRECT(ADDRESS(1,6,1,0,"KeySet"),0),":","""",TEXT(valueMaker!H629,"yyyy/m/d"),"""")</f>
        <v>tanjyoubi:"2015/8/15"</v>
      </c>
      <c r="I629" t="str" cm="1">
        <f t="array" aca="1" ref="I629" ca="1">CONCATENATE(INDIRECT(ADDRESS(1,9,1,0,"KeySet"),0),":","""",valueMaker!I629,"""")</f>
        <v>denwaBangou:"090-9991-2489"</v>
      </c>
      <c r="J629" t="str" cm="1">
        <f t="array" aca="1" ref="J629" ca="1">CONCATENATE(INDIRECT(ADDRESS(1,10,1,0,"KeySet"),0),":","""",valueMaker!J629,"""")</f>
        <v>mailAddress:"Chen_Long_Jiang_41136@outlook.jp.co"</v>
      </c>
      <c r="K629" t="str" cm="1">
        <f t="array" aca="1" ref="K629" ca="1">CONCATENATE(INDIRECT(ADDRESS(1,11,1,0,"KeySet"),0),":","""",valueMaker!K629,"""")</f>
        <v>kaninSyubetu:"普通"</v>
      </c>
      <c r="L629" t="str" cm="1">
        <f t="array" aca="1" ref="L629" ca="1">CONCATENATE(INDIRECT(ADDRESS(1,12,1,0,"KeySet"),0),":","""",valueMaker!L629,"""")</f>
        <v>kaninKengenWB:"有り"</v>
      </c>
      <c r="M629" t="str" cm="1">
        <f t="array" aca="1" ref="M629" ca="1">CONCATENATE(INDIRECT(ADDRESS(1,13,1,0,"KeySet"),0),":","""",valueMaker!M629,"""")</f>
        <v>wakibiri:"5%"</v>
      </c>
      <c r="N629" t="str" cm="1">
        <f t="array" aca="1" ref="N629" ca="1">CONCATENATE(INDIRECT(ADDRESS(1,14,1,0,"KeySet"),0),":","""",valueMaker!N629,"""")</f>
        <v>kaninKengenPoint:"有り"</v>
      </c>
      <c r="O629" t="str" cm="1">
        <f t="array" aca="1" ref="O629" ca="1">CONCATENATE(INDIRECT(ADDRESS(1,15,1,0,"KeySet"),0),":","""",valueMaker!O629,"""")</f>
        <v>point:"993"</v>
      </c>
      <c r="P629" t="str" cm="1">
        <f t="array" aca="1" ref="P629" ca="1">CONCATENATE(INDIRECT(ADDRESS(1,16,1,0,"KeySet"),0),":","""",valueMaker!P629,"""")</f>
        <v>bikou:""</v>
      </c>
    </row>
    <row r="630" spans="1:16">
      <c r="A630" t="str" cm="1">
        <f t="array" aca="1" ref="A630" ca="1">CONCATENATE(INDIRECT(ADDRESS(1,1,1,0,"KeySet"),0),":","""",valueMaker!A630,"""")</f>
        <v>kainBangou:"TD10629"</v>
      </c>
      <c r="B630" t="str" cm="1">
        <f t="array" aca="1" ref="B630" ca="1">CONCATENATE(INDIRECT(ADDRESS(1,2,1,0,"KeySet"),0),":","""",valueMaker!B630,"""")</f>
        <v>kainMeiKanji:"王資繼"</v>
      </c>
      <c r="C630" t="str" cm="1">
        <f t="array" aca="1" ref="C630" ca="1">CONCATENATE(INDIRECT(ADDRESS(1,3,1,0,"KeySet"),0),":","""",valueMaker!C630,"""")</f>
        <v>kainMeiKana:"ﾜｰﾝ ｽﾞｰ ｼﾞｰ"</v>
      </c>
      <c r="D630" t="str" cm="1">
        <f t="array" aca="1" ref="D630" ca="1">CONCATENATE(INDIRECT(ADDRESS(1,4,1,0,"KeySet"),0),":","""",valueMaker!D630,"""")</f>
        <v>kainMeiEn:"Wang Zi Ji"</v>
      </c>
      <c r="E630" t="str" cm="1">
        <f t="array" aca="1" ref="E630" ca="1">CONCATENATE(INDIRECT(ADDRESS(1,5,1,0,"KeySet"),0),":","""",valueMaker!E630,"""")</f>
        <v>kainGender:"男性"</v>
      </c>
      <c r="F630" t="str" cm="1">
        <f t="array" aca="1" ref="F630" ca="1">CONCATENATE(INDIRECT(ADDRESS(1,6,1,0,"KeySet"),0),":","""",TEXT(valueMaker!F630,"yyyy/m/d"),"""")</f>
        <v>tanjyoubi:"1981/5/16"</v>
      </c>
      <c r="G630" t="str" cm="1">
        <f t="array" aca="1" ref="G630" ca="1">CONCATENATE(INDIRECT(ADDRESS(1,6,1,0,"KeySet"),0),":","""",TEXT(valueMaker!G630,"yyyy/m/d"),"""")</f>
        <v>tanjyoubi:"2023/6/9"</v>
      </c>
      <c r="H630" t="str" cm="1">
        <f t="array" aca="1" ref="H630" ca="1">CONCATENATE(INDIRECT(ADDRESS(1,6,1,0,"KeySet"),0),":","""",TEXT(valueMaker!H630,"yyyy/m/d"),"""")</f>
        <v>tanjyoubi:"2025/6/8"</v>
      </c>
      <c r="I630" t="str" cm="1">
        <f t="array" aca="1" ref="I630" ca="1">CONCATENATE(INDIRECT(ADDRESS(1,9,1,0,"KeySet"),0),":","""",valueMaker!I630,"""")</f>
        <v>denwaBangou:"090-4595-6978"</v>
      </c>
      <c r="J630" t="str" cm="1">
        <f t="array" aca="1" ref="J630" ca="1">CONCATENATE(INDIRECT(ADDRESS(1,10,1,0,"KeySet"),0),":","""",valueMaker!J630,"""")</f>
        <v>mailAddress:"Wang_Zi_Ji_45086@outlook.jp.co"</v>
      </c>
      <c r="K630" t="str" cm="1">
        <f t="array" aca="1" ref="K630" ca="1">CONCATENATE(INDIRECT(ADDRESS(1,11,1,0,"KeySet"),0),":","""",valueMaker!K630,"""")</f>
        <v>kaninSyubetu:"普通"</v>
      </c>
      <c r="L630" t="str" cm="1">
        <f t="array" aca="1" ref="L630" ca="1">CONCATENATE(INDIRECT(ADDRESS(1,12,1,0,"KeySet"),0),":","""",valueMaker!L630,"""")</f>
        <v>kaninKengenWB:"有り"</v>
      </c>
      <c r="M630" t="str" cm="1">
        <f t="array" aca="1" ref="M630" ca="1">CONCATENATE(INDIRECT(ADDRESS(1,13,1,0,"KeySet"),0),":","""",valueMaker!M630,"""")</f>
        <v>wakibiri:"5%"</v>
      </c>
      <c r="N630" t="str" cm="1">
        <f t="array" aca="1" ref="N630" ca="1">CONCATENATE(INDIRECT(ADDRESS(1,14,1,0,"KeySet"),0),":","""",valueMaker!N630,"""")</f>
        <v>kaninKengenPoint:"有り"</v>
      </c>
      <c r="O630" t="str" cm="1">
        <f t="array" aca="1" ref="O630" ca="1">CONCATENATE(INDIRECT(ADDRESS(1,15,1,0,"KeySet"),0),":","""",valueMaker!O630,"""")</f>
        <v>point:"56"</v>
      </c>
      <c r="P630" t="str" cm="1">
        <f t="array" aca="1" ref="P630" ca="1">CONCATENATE(INDIRECT(ADDRESS(1,16,1,0,"KeySet"),0),":","""",valueMaker!P630,"""")</f>
        <v>bikou:""</v>
      </c>
    </row>
    <row r="631" spans="1:16">
      <c r="A631" t="str" cm="1">
        <f t="array" aca="1" ref="A631" ca="1">CONCATENATE(INDIRECT(ADDRESS(1,1,1,0,"KeySet"),0),":","""",valueMaker!A631,"""")</f>
        <v>kainBangou:"TD10630"</v>
      </c>
      <c r="B631" t="str" cm="1">
        <f t="array" aca="1" ref="B631" ca="1">CONCATENATE(INDIRECT(ADDRESS(1,2,1,0,"KeySet"),0),":","""",valueMaker!B631,"""")</f>
        <v>kainMeiKanji:"韓臻倫"</v>
      </c>
      <c r="C631" t="str" cm="1">
        <f t="array" aca="1" ref="C631" ca="1">CONCATENATE(INDIRECT(ADDRESS(1,3,1,0,"KeySet"),0),":","""",valueMaker!C631,"""")</f>
        <v>kainMeiKana:"ﾊﾝ ｼﾞｪﾝ ﾙﾝ"</v>
      </c>
      <c r="D631" t="str" cm="1">
        <f t="array" aca="1" ref="D631" ca="1">CONCATENATE(INDIRECT(ADDRESS(1,4,1,0,"KeySet"),0),":","""",valueMaker!D631,"""")</f>
        <v>kainMeiEn:"Han Zhen Lun"</v>
      </c>
      <c r="E631" t="str" cm="1">
        <f t="array" aca="1" ref="E631" ca="1">CONCATENATE(INDIRECT(ADDRESS(1,5,1,0,"KeySet"),0),":","""",valueMaker!E631,"""")</f>
        <v>kainGender:"女性"</v>
      </c>
      <c r="F631" t="str" cm="1">
        <f t="array" aca="1" ref="F631" ca="1">CONCATENATE(INDIRECT(ADDRESS(1,6,1,0,"KeySet"),0),":","""",TEXT(valueMaker!F631,"yyyy/m/d"),"""")</f>
        <v>tanjyoubi:"1987/10/27"</v>
      </c>
      <c r="G631" t="str" cm="1">
        <f t="array" aca="1" ref="G631" ca="1">CONCATENATE(INDIRECT(ADDRESS(1,6,1,0,"KeySet"),0),":","""",TEXT(valueMaker!G631,"yyyy/m/d"),"""")</f>
        <v>tanjyoubi:"2015/7/24"</v>
      </c>
      <c r="H631" t="str" cm="1">
        <f t="array" aca="1" ref="H631" ca="1">CONCATENATE(INDIRECT(ADDRESS(1,6,1,0,"KeySet"),0),":","""",TEXT(valueMaker!H631,"yyyy/m/d"),"""")</f>
        <v>tanjyoubi:"2018/7/23"</v>
      </c>
      <c r="I631" t="str" cm="1">
        <f t="array" aca="1" ref="I631" ca="1">CONCATENATE(INDIRECT(ADDRESS(1,9,1,0,"KeySet"),0),":","""",valueMaker!I631,"""")</f>
        <v>denwaBangou:"090-0072-1301"</v>
      </c>
      <c r="J631" t="str" cm="1">
        <f t="array" aca="1" ref="J631" ca="1">CONCATENATE(INDIRECT(ADDRESS(1,10,1,0,"KeySet"),0),":","""",valueMaker!J631,"""")</f>
        <v>mailAddress:"Han_Zhen_Lun_42209@outlook.jp.co"</v>
      </c>
      <c r="K631" t="str" cm="1">
        <f t="array" aca="1" ref="K631" ca="1">CONCATENATE(INDIRECT(ADDRESS(1,11,1,0,"KeySet"),0),":","""",valueMaker!K631,"""")</f>
        <v>kaninSyubetu:"普通"</v>
      </c>
      <c r="L631" t="str" cm="1">
        <f t="array" aca="1" ref="L631" ca="1">CONCATENATE(INDIRECT(ADDRESS(1,12,1,0,"KeySet"),0),":","""",valueMaker!L631,"""")</f>
        <v>kaninKengenWB:"-"</v>
      </c>
      <c r="M631" t="str" cm="1">
        <f t="array" aca="1" ref="M631" ca="1">CONCATENATE(INDIRECT(ADDRESS(1,13,1,0,"KeySet"),0),":","""",valueMaker!M631,"""")</f>
        <v>wakibiri:"-"</v>
      </c>
      <c r="N631" t="str" cm="1">
        <f t="array" aca="1" ref="N631" ca="1">CONCATENATE(INDIRECT(ADDRESS(1,14,1,0,"KeySet"),0),":","""",valueMaker!N631,"""")</f>
        <v>kaninKengenPoint:"-"</v>
      </c>
      <c r="O631" t="str" cm="1">
        <f t="array" aca="1" ref="O631" ca="1">CONCATENATE(INDIRECT(ADDRESS(1,15,1,0,"KeySet"),0),":","""",valueMaker!O631,"""")</f>
        <v>point:"-"</v>
      </c>
      <c r="P631" t="str" cm="1">
        <f t="array" aca="1" ref="P631" ca="1">CONCATENATE(INDIRECT(ADDRESS(1,16,1,0,"KeySet"),0),":","""",valueMaker!P631,"""")</f>
        <v>bikou:""</v>
      </c>
    </row>
    <row r="632" spans="1:16">
      <c r="A632" t="str" cm="1">
        <f t="array" aca="1" ref="A632" ca="1">CONCATENATE(INDIRECT(ADDRESS(1,1,1,0,"KeySet"),0),":","""",valueMaker!A632,"""")</f>
        <v>kainBangou:"TD10631"</v>
      </c>
      <c r="B632" t="str" cm="1">
        <f t="array" aca="1" ref="B632" ca="1">CONCATENATE(INDIRECT(ADDRESS(1,2,1,0,"KeySet"),0),":","""",valueMaker!B632,"""")</f>
        <v>kainMeiKanji:"于群婷"</v>
      </c>
      <c r="C632" t="str" cm="1">
        <f t="array" aca="1" ref="C632" ca="1">CONCATENATE(INDIRECT(ADDRESS(1,3,1,0,"KeySet"),0),":","""",valueMaker!C632,"""")</f>
        <v>kainMeiKana:"ﾕｲ ﾁｭｲﾝ ﾃｨｰﾝ"</v>
      </c>
      <c r="D632" t="str" cm="1">
        <f t="array" aca="1" ref="D632" ca="1">CONCATENATE(INDIRECT(ADDRESS(1,4,1,0,"KeySet"),0),":","""",valueMaker!D632,"""")</f>
        <v>kainMeiEn:"Yu Qun Ting"</v>
      </c>
      <c r="E632" t="str" cm="1">
        <f t="array" aca="1" ref="E632" ca="1">CONCATENATE(INDIRECT(ADDRESS(1,5,1,0,"KeySet"),0),":","""",valueMaker!E632,"""")</f>
        <v>kainGender:"男性"</v>
      </c>
      <c r="F632" t="str" cm="1">
        <f t="array" aca="1" ref="F632" ca="1">CONCATENATE(INDIRECT(ADDRESS(1,6,1,0,"KeySet"),0),":","""",TEXT(valueMaker!F632,"yyyy/m/d"),"""")</f>
        <v>tanjyoubi:"1989/2/17"</v>
      </c>
      <c r="G632" t="str" cm="1">
        <f t="array" aca="1" ref="G632" ca="1">CONCATENATE(INDIRECT(ADDRESS(1,6,1,0,"KeySet"),0),":","""",TEXT(valueMaker!G632,"yyyy/m/d"),"""")</f>
        <v>tanjyoubi:"2014/6/18"</v>
      </c>
      <c r="H632" t="str" cm="1">
        <f t="array" aca="1" ref="H632" ca="1">CONCATENATE(INDIRECT(ADDRESS(1,6,1,0,"KeySet"),0),":","""",TEXT(valueMaker!H632,"yyyy/m/d"),"""")</f>
        <v>tanjyoubi:"2017/6/17"</v>
      </c>
      <c r="I632" t="str" cm="1">
        <f t="array" aca="1" ref="I632" ca="1">CONCATENATE(INDIRECT(ADDRESS(1,9,1,0,"KeySet"),0),":","""",valueMaker!I632,"""")</f>
        <v>denwaBangou:"090-1179-7141"</v>
      </c>
      <c r="J632" t="str" cm="1">
        <f t="array" aca="1" ref="J632" ca="1">CONCATENATE(INDIRECT(ADDRESS(1,10,1,0,"KeySet"),0),":","""",valueMaker!J632,"""")</f>
        <v>mailAddress:"Yu_Qun_Ting_41808@outlook.jp.co"</v>
      </c>
      <c r="K632" t="str" cm="1">
        <f t="array" aca="1" ref="K632" ca="1">CONCATENATE(INDIRECT(ADDRESS(1,11,1,0,"KeySet"),0),":","""",valueMaker!K632,"""")</f>
        <v>kaninSyubetu:"普通"</v>
      </c>
      <c r="L632" t="str" cm="1">
        <f t="array" aca="1" ref="L632" ca="1">CONCATENATE(INDIRECT(ADDRESS(1,12,1,0,"KeySet"),0),":","""",valueMaker!L632,"""")</f>
        <v>kaninKengenWB:"有り"</v>
      </c>
      <c r="M632" t="str" cm="1">
        <f t="array" aca="1" ref="M632" ca="1">CONCATENATE(INDIRECT(ADDRESS(1,13,1,0,"KeySet"),0),":","""",valueMaker!M632,"""")</f>
        <v>wakibiri:"5%"</v>
      </c>
      <c r="N632" t="str" cm="1">
        <f t="array" aca="1" ref="N632" ca="1">CONCATENATE(INDIRECT(ADDRESS(1,14,1,0,"KeySet"),0),":","""",valueMaker!N632,"""")</f>
        <v>kaninKengenPoint:"有り"</v>
      </c>
      <c r="O632" t="str" cm="1">
        <f t="array" aca="1" ref="O632" ca="1">CONCATENATE(INDIRECT(ADDRESS(1,15,1,0,"KeySet"),0),":","""",valueMaker!O632,"""")</f>
        <v>point:"809"</v>
      </c>
      <c r="P632" t="str" cm="1">
        <f t="array" aca="1" ref="P632" ca="1">CONCATENATE(INDIRECT(ADDRESS(1,16,1,0,"KeySet"),0),":","""",valueMaker!P632,"""")</f>
        <v>bikou:""</v>
      </c>
    </row>
    <row r="633" spans="1:16">
      <c r="A633" t="str" cm="1">
        <f t="array" aca="1" ref="A633" ca="1">CONCATENATE(INDIRECT(ADDRESS(1,1,1,0,"KeySet"),0),":","""",valueMaker!A633,"""")</f>
        <v>kainBangou:"TD10632"</v>
      </c>
      <c r="B633" t="str" cm="1">
        <f t="array" aca="1" ref="B633" ca="1">CONCATENATE(INDIRECT(ADDRESS(1,2,1,0,"KeySet"),0),":","""",valueMaker!B633,"""")</f>
        <v>kainMeiKanji:"郭克升"</v>
      </c>
      <c r="C633" t="str" cm="1">
        <f t="array" aca="1" ref="C633" ca="1">CONCATENATE(INDIRECT(ADDRESS(1,3,1,0,"KeySet"),0),":","""",valueMaker!C633,"""")</f>
        <v>kainMeiKana:"ｸﾞｵ ｺｰｧ ｼｭﾖﾝ"</v>
      </c>
      <c r="D633" t="str" cm="1">
        <f t="array" aca="1" ref="D633" ca="1">CONCATENATE(INDIRECT(ADDRESS(1,4,1,0,"KeySet"),0),":","""",valueMaker!D633,"""")</f>
        <v>kainMeiEn:"Guo Ke Sheng"</v>
      </c>
      <c r="E633" t="str" cm="1">
        <f t="array" aca="1" ref="E633" ca="1">CONCATENATE(INDIRECT(ADDRESS(1,5,1,0,"KeySet"),0),":","""",valueMaker!E633,"""")</f>
        <v>kainGender:"女性"</v>
      </c>
      <c r="F633" t="str" cm="1">
        <f t="array" aca="1" ref="F633" ca="1">CONCATENATE(INDIRECT(ADDRESS(1,6,1,0,"KeySet"),0),":","""",TEXT(valueMaker!F633,"yyyy/m/d"),"""")</f>
        <v>tanjyoubi:"1973/9/13"</v>
      </c>
      <c r="G633" t="str" cm="1">
        <f t="array" aca="1" ref="G633" ca="1">CONCATENATE(INDIRECT(ADDRESS(1,6,1,0,"KeySet"),0),":","""",TEXT(valueMaker!G633,"yyyy/m/d"),"""")</f>
        <v>tanjyoubi:"2020/8/27"</v>
      </c>
      <c r="H633" t="str" cm="1">
        <f t="array" aca="1" ref="H633" ca="1">CONCATENATE(INDIRECT(ADDRESS(1,6,1,0,"KeySet"),0),":","""",TEXT(valueMaker!H633,"yyyy/m/d"),"""")</f>
        <v>tanjyoubi:"2023/8/27"</v>
      </c>
      <c r="I633" t="str" cm="1">
        <f t="array" aca="1" ref="I633" ca="1">CONCATENATE(INDIRECT(ADDRESS(1,9,1,0,"KeySet"),0),":","""",valueMaker!I633,"""")</f>
        <v>denwaBangou:"090-2721-1780"</v>
      </c>
      <c r="J633" t="str" cm="1">
        <f t="array" aca="1" ref="J633" ca="1">CONCATENATE(INDIRECT(ADDRESS(1,10,1,0,"KeySet"),0),":","""",valueMaker!J633,"""")</f>
        <v>mailAddress:"Guo_Ke_Sheng_44070@outlook.jp.co"</v>
      </c>
      <c r="K633" t="str" cm="1">
        <f t="array" aca="1" ref="K633" ca="1">CONCATENATE(INDIRECT(ADDRESS(1,11,1,0,"KeySet"),0),":","""",valueMaker!K633,"""")</f>
        <v>kaninSyubetu:"普通"</v>
      </c>
      <c r="L633" t="str" cm="1">
        <f t="array" aca="1" ref="L633" ca="1">CONCATENATE(INDIRECT(ADDRESS(1,12,1,0,"KeySet"),0),":","""",valueMaker!L633,"""")</f>
        <v>kaninKengenWB:"有り"</v>
      </c>
      <c r="M633" t="str" cm="1">
        <f t="array" aca="1" ref="M633" ca="1">CONCATENATE(INDIRECT(ADDRESS(1,13,1,0,"KeySet"),0),":","""",valueMaker!M633,"""")</f>
        <v>wakibiri:"5%"</v>
      </c>
      <c r="N633" t="str" cm="1">
        <f t="array" aca="1" ref="N633" ca="1">CONCATENATE(INDIRECT(ADDRESS(1,14,1,0,"KeySet"),0),":","""",valueMaker!N633,"""")</f>
        <v>kaninKengenPoint:"有り"</v>
      </c>
      <c r="O633" t="str" cm="1">
        <f t="array" aca="1" ref="O633" ca="1">CONCATENATE(INDIRECT(ADDRESS(1,15,1,0,"KeySet"),0),":","""",valueMaker!O633,"""")</f>
        <v>point:"902"</v>
      </c>
      <c r="P633" t="str" cm="1">
        <f t="array" aca="1" ref="P633" ca="1">CONCATENATE(INDIRECT(ADDRESS(1,16,1,0,"KeySet"),0),":","""",valueMaker!P633,"""")</f>
        <v>bikou:""</v>
      </c>
    </row>
    <row r="634" spans="1:16">
      <c r="A634" t="str" cm="1">
        <f t="array" aca="1" ref="A634" ca="1">CONCATENATE(INDIRECT(ADDRESS(1,1,1,0,"KeySet"),0),":","""",valueMaker!A634,"""")</f>
        <v>kainBangou:"TD10633"</v>
      </c>
      <c r="B634" t="str" cm="1">
        <f t="array" aca="1" ref="B634" ca="1">CONCATENATE(INDIRECT(ADDRESS(1,2,1,0,"KeySet"),0),":","""",valueMaker!B634,"""")</f>
        <v>kainMeiKanji:"周協銘"</v>
      </c>
      <c r="C634" t="str" cm="1">
        <f t="array" aca="1" ref="C634" ca="1">CONCATENATE(INDIRECT(ADDRESS(1,3,1,0,"KeySet"),0),":","""",valueMaker!C634,"""")</f>
        <v>kainMeiKana:"ｼﾞｮｳ ｼｴ ﾐｰﾝ"</v>
      </c>
      <c r="D634" t="str" cm="1">
        <f t="array" aca="1" ref="D634" ca="1">CONCATENATE(INDIRECT(ADDRESS(1,4,1,0,"KeySet"),0),":","""",valueMaker!D634,"""")</f>
        <v>kainMeiEn:"Zhou Xie Ming"</v>
      </c>
      <c r="E634" t="str" cm="1">
        <f t="array" aca="1" ref="E634" ca="1">CONCATENATE(INDIRECT(ADDRESS(1,5,1,0,"KeySet"),0),":","""",valueMaker!E634,"""")</f>
        <v>kainGender:"女性"</v>
      </c>
      <c r="F634" t="str" cm="1">
        <f t="array" aca="1" ref="F634" ca="1">CONCATENATE(INDIRECT(ADDRESS(1,6,1,0,"KeySet"),0),":","""",TEXT(valueMaker!F634,"yyyy/m/d"),"""")</f>
        <v>tanjyoubi:"1977/7/19"</v>
      </c>
      <c r="G634" t="str" cm="1">
        <f t="array" aca="1" ref="G634" ca="1">CONCATENATE(INDIRECT(ADDRESS(1,6,1,0,"KeySet"),0),":","""",TEXT(valueMaker!G634,"yyyy/m/d"),"""")</f>
        <v>tanjyoubi:"2020/11/25"</v>
      </c>
      <c r="H634" t="str" cm="1">
        <f t="array" aca="1" ref="H634" ca="1">CONCATENATE(INDIRECT(ADDRESS(1,6,1,0,"KeySet"),0),":","""",TEXT(valueMaker!H634,"yyyy/m/d"),"""")</f>
        <v>tanjyoubi:"2023/11/25"</v>
      </c>
      <c r="I634" t="str" cm="1">
        <f t="array" aca="1" ref="I634" ca="1">CONCATENATE(INDIRECT(ADDRESS(1,9,1,0,"KeySet"),0),":","""",valueMaker!I634,"""")</f>
        <v>denwaBangou:"080-3154-8679"</v>
      </c>
      <c r="J634" t="str" cm="1">
        <f t="array" aca="1" ref="J634" ca="1">CONCATENATE(INDIRECT(ADDRESS(1,10,1,0,"KeySet"),0),":","""",valueMaker!J634,"""")</f>
        <v>mailAddress:"Zhou_Xie_Ming_44160@outlook.jp.co"</v>
      </c>
      <c r="K634" t="str" cm="1">
        <f t="array" aca="1" ref="K634" ca="1">CONCATENATE(INDIRECT(ADDRESS(1,11,1,0,"KeySet"),0),":","""",valueMaker!K634,"""")</f>
        <v>kaninSyubetu:"普通"</v>
      </c>
      <c r="L634" t="str" cm="1">
        <f t="array" aca="1" ref="L634" ca="1">CONCATENATE(INDIRECT(ADDRESS(1,12,1,0,"KeySet"),0),":","""",valueMaker!L634,"""")</f>
        <v>kaninKengenWB:"有り"</v>
      </c>
      <c r="M634" t="str" cm="1">
        <f t="array" aca="1" ref="M634" ca="1">CONCATENATE(INDIRECT(ADDRESS(1,13,1,0,"KeySet"),0),":","""",valueMaker!M634,"""")</f>
        <v>wakibiri:"5%"</v>
      </c>
      <c r="N634" t="str" cm="1">
        <f t="array" aca="1" ref="N634" ca="1">CONCATENATE(INDIRECT(ADDRESS(1,14,1,0,"KeySet"),0),":","""",valueMaker!N634,"""")</f>
        <v>kaninKengenPoint:"有り"</v>
      </c>
      <c r="O634" t="str" cm="1">
        <f t="array" aca="1" ref="O634" ca="1">CONCATENATE(INDIRECT(ADDRESS(1,15,1,0,"KeySet"),0),":","""",valueMaker!O634,"""")</f>
        <v>point:"414"</v>
      </c>
      <c r="P634" t="str" cm="1">
        <f t="array" aca="1" ref="P634" ca="1">CONCATENATE(INDIRECT(ADDRESS(1,16,1,0,"KeySet"),0),":","""",valueMaker!P634,"""")</f>
        <v>bikou:""</v>
      </c>
    </row>
    <row r="635" spans="1:16">
      <c r="A635" t="str" cm="1">
        <f t="array" aca="1" ref="A635" ca="1">CONCATENATE(INDIRECT(ADDRESS(1,1,1,0,"KeySet"),0),":","""",valueMaker!A635,"""")</f>
        <v>kainBangou:"TD10634"</v>
      </c>
      <c r="B635" t="str" cm="1">
        <f t="array" aca="1" ref="B635" ca="1">CONCATENATE(INDIRECT(ADDRESS(1,2,1,0,"KeySet"),0),":","""",valueMaker!B635,"""")</f>
        <v>kainMeiKanji:"于折東"</v>
      </c>
      <c r="C635" t="str" cm="1">
        <f t="array" aca="1" ref="C635" ca="1">CONCATENATE(INDIRECT(ADDRESS(1,3,1,0,"KeySet"),0),":","""",valueMaker!C635,"""")</f>
        <v>kainMeiKana:"ﾕｲ ｼﾞｮｰｧ ﾄﾞｰﾝ"</v>
      </c>
      <c r="D635" t="str" cm="1">
        <f t="array" aca="1" ref="D635" ca="1">CONCATENATE(INDIRECT(ADDRESS(1,4,1,0,"KeySet"),0),":","""",valueMaker!D635,"""")</f>
        <v>kainMeiEn:"Yu Zhe Dong"</v>
      </c>
      <c r="E635" t="str" cm="1">
        <f t="array" aca="1" ref="E635" ca="1">CONCATENATE(INDIRECT(ADDRESS(1,5,1,0,"KeySet"),0),":","""",valueMaker!E635,"""")</f>
        <v>kainGender:"男性"</v>
      </c>
      <c r="F635" t="str" cm="1">
        <f t="array" aca="1" ref="F635" ca="1">CONCATENATE(INDIRECT(ADDRESS(1,6,1,0,"KeySet"),0),":","""",TEXT(valueMaker!F635,"yyyy/m/d"),"""")</f>
        <v>tanjyoubi:"1986/3/31"</v>
      </c>
      <c r="G635" t="str" cm="1">
        <f t="array" aca="1" ref="G635" ca="1">CONCATENATE(INDIRECT(ADDRESS(1,6,1,0,"KeySet"),0),":","""",TEXT(valueMaker!G635,"yyyy/m/d"),"""")</f>
        <v>tanjyoubi:"2015/6/23"</v>
      </c>
      <c r="H635" t="str" cm="1">
        <f t="array" aca="1" ref="H635" ca="1">CONCATENATE(INDIRECT(ADDRESS(1,6,1,0,"KeySet"),0),":","""",TEXT(valueMaker!H635,"yyyy/m/d"),"""")</f>
        <v>tanjyoubi:"2018/6/22"</v>
      </c>
      <c r="I635" t="str" cm="1">
        <f t="array" aca="1" ref="I635" ca="1">CONCATENATE(INDIRECT(ADDRESS(1,9,1,0,"KeySet"),0),":","""",valueMaker!I635,"""")</f>
        <v>denwaBangou:"090-8083-7911"</v>
      </c>
      <c r="J635" t="str" cm="1">
        <f t="array" aca="1" ref="J635" ca="1">CONCATENATE(INDIRECT(ADDRESS(1,10,1,0,"KeySet"),0),":","""",valueMaker!J635,"""")</f>
        <v>mailAddress:"Yu_Zhe Dong_42178@outlook.jp.co"</v>
      </c>
      <c r="K635" t="str" cm="1">
        <f t="array" aca="1" ref="K635" ca="1">CONCATENATE(INDIRECT(ADDRESS(1,11,1,0,"KeySet"),0),":","""",valueMaker!K635,"""")</f>
        <v>kaninSyubetu:"普通"</v>
      </c>
      <c r="L635" t="str" cm="1">
        <f t="array" aca="1" ref="L635" ca="1">CONCATENATE(INDIRECT(ADDRESS(1,12,1,0,"KeySet"),0),":","""",valueMaker!L635,"""")</f>
        <v>kaninKengenWB:"有り"</v>
      </c>
      <c r="M635" t="str" cm="1">
        <f t="array" aca="1" ref="M635" ca="1">CONCATENATE(INDIRECT(ADDRESS(1,13,1,0,"KeySet"),0),":","""",valueMaker!M635,"""")</f>
        <v>wakibiri:"5%"</v>
      </c>
      <c r="N635" t="str" cm="1">
        <f t="array" aca="1" ref="N635" ca="1">CONCATENATE(INDIRECT(ADDRESS(1,14,1,0,"KeySet"),0),":","""",valueMaker!N635,"""")</f>
        <v>kaninKengenPoint:"有り"</v>
      </c>
      <c r="O635" t="str" cm="1">
        <f t="array" aca="1" ref="O635" ca="1">CONCATENATE(INDIRECT(ADDRESS(1,15,1,0,"KeySet"),0),":","""",valueMaker!O635,"""")</f>
        <v>point:"495"</v>
      </c>
      <c r="P635" t="str" cm="1">
        <f t="array" aca="1" ref="P635" ca="1">CONCATENATE(INDIRECT(ADDRESS(1,16,1,0,"KeySet"),0),":","""",valueMaker!P635,"""")</f>
        <v>bikou:""</v>
      </c>
    </row>
    <row r="636" spans="1:16">
      <c r="A636" t="str" cm="1">
        <f t="array" aca="1" ref="A636" ca="1">CONCATENATE(INDIRECT(ADDRESS(1,1,1,0,"KeySet"),0),":","""",valueMaker!A636,"""")</f>
        <v>kainBangou:"TD10635"</v>
      </c>
      <c r="B636" t="str" cm="1">
        <f t="array" aca="1" ref="B636" ca="1">CONCATENATE(INDIRECT(ADDRESS(1,2,1,0,"KeySet"),0),":","""",valueMaker!B636,"""")</f>
        <v>kainMeiKanji:"朱登寧"</v>
      </c>
      <c r="C636" t="str" cm="1">
        <f t="array" aca="1" ref="C636" ca="1">CONCATENATE(INDIRECT(ADDRESS(1,3,1,0,"KeySet"),0),":","""",valueMaker!C636,"""")</f>
        <v>kainMeiKana:"ｼﾞｭｳ ﾄﾞｩｵﾝ ﾆｰﾝ"</v>
      </c>
      <c r="D636" t="str" cm="1">
        <f t="array" aca="1" ref="D636" ca="1">CONCATENATE(INDIRECT(ADDRESS(1,4,1,0,"KeySet"),0),":","""",valueMaker!D636,"""")</f>
        <v>kainMeiEn:"Zhu Deng Ning"</v>
      </c>
      <c r="E636" t="str" cm="1">
        <f t="array" aca="1" ref="E636" ca="1">CONCATENATE(INDIRECT(ADDRESS(1,5,1,0,"KeySet"),0),":","""",valueMaker!E636,"""")</f>
        <v>kainGender:"男性"</v>
      </c>
      <c r="F636" t="str" cm="1">
        <f t="array" aca="1" ref="F636" ca="1">CONCATENATE(INDIRECT(ADDRESS(1,6,1,0,"KeySet"),0),":","""",TEXT(valueMaker!F636,"yyyy/m/d"),"""")</f>
        <v>tanjyoubi:"1970/6/17"</v>
      </c>
      <c r="G636" t="str" cm="1">
        <f t="array" aca="1" ref="G636" ca="1">CONCATENATE(INDIRECT(ADDRESS(1,6,1,0,"KeySet"),0),":","""",TEXT(valueMaker!G636,"yyyy/m/d"),"""")</f>
        <v>tanjyoubi:"2017/1/1"</v>
      </c>
      <c r="H636" t="str" cm="1">
        <f t="array" aca="1" ref="H636" ca="1">CONCATENATE(INDIRECT(ADDRESS(1,6,1,0,"KeySet"),0),":","""",TEXT(valueMaker!H636,"yyyy/m/d"),"""")</f>
        <v>tanjyoubi:"2019/1/1"</v>
      </c>
      <c r="I636" t="str" cm="1">
        <f t="array" aca="1" ref="I636" ca="1">CONCATENATE(INDIRECT(ADDRESS(1,9,1,0,"KeySet"),0),":","""",valueMaker!I636,"""")</f>
        <v>denwaBangou:"080-3127-6359"</v>
      </c>
      <c r="J636" t="str" cm="1">
        <f t="array" aca="1" ref="J636" ca="1">CONCATENATE(INDIRECT(ADDRESS(1,10,1,0,"KeySet"),0),":","""",valueMaker!J636,"""")</f>
        <v>mailAddress:"Zhu_Deng_Ning_42736@outlook.jp.co"</v>
      </c>
      <c r="K636" t="str" cm="1">
        <f t="array" aca="1" ref="K636" ca="1">CONCATENATE(INDIRECT(ADDRESS(1,11,1,0,"KeySet"),0),":","""",valueMaker!K636,"""")</f>
        <v>kaninSyubetu:"高級"</v>
      </c>
      <c r="L636" t="str" cm="1">
        <f t="array" aca="1" ref="L636" ca="1">CONCATENATE(INDIRECT(ADDRESS(1,12,1,0,"KeySet"),0),":","""",valueMaker!L636,"""")</f>
        <v>kaninKengenWB:"有り"</v>
      </c>
      <c r="M636" t="str" cm="1">
        <f t="array" aca="1" ref="M636" ca="1">CONCATENATE(INDIRECT(ADDRESS(1,13,1,0,"KeySet"),0),":","""",valueMaker!M636,"""")</f>
        <v>wakibiri:"10%"</v>
      </c>
      <c r="N636" t="str" cm="1">
        <f t="array" aca="1" ref="N636" ca="1">CONCATENATE(INDIRECT(ADDRESS(1,14,1,0,"KeySet"),0),":","""",valueMaker!N636,"""")</f>
        <v>kaninKengenPoint:"有り"</v>
      </c>
      <c r="O636" t="str" cm="1">
        <f t="array" aca="1" ref="O636" ca="1">CONCATENATE(INDIRECT(ADDRESS(1,15,1,0,"KeySet"),0),":","""",valueMaker!O636,"""")</f>
        <v>point:"602"</v>
      </c>
      <c r="P636" t="str" cm="1">
        <f t="array" aca="1" ref="P636" ca="1">CONCATENATE(INDIRECT(ADDRESS(1,16,1,0,"KeySet"),0),":","""",valueMaker!P636,"""")</f>
        <v>bikou:""</v>
      </c>
    </row>
    <row r="637" spans="1:16">
      <c r="A637" t="str" cm="1">
        <f t="array" aca="1" ref="A637" ca="1">CONCATENATE(INDIRECT(ADDRESS(1,1,1,0,"KeySet"),0),":","""",valueMaker!A637,"""")</f>
        <v>kainBangou:"TD10636"</v>
      </c>
      <c r="B637" t="str" cm="1">
        <f t="array" aca="1" ref="B637" ca="1">CONCATENATE(INDIRECT(ADDRESS(1,2,1,0,"KeySet"),0),":","""",valueMaker!B637,"""")</f>
        <v>kainMeiKanji:"韓喜永"</v>
      </c>
      <c r="C637" t="str" cm="1">
        <f t="array" aca="1" ref="C637" ca="1">CONCATENATE(INDIRECT(ADDRESS(1,3,1,0,"KeySet"),0),":","""",valueMaker!C637,"""")</f>
        <v>kainMeiKana:"ﾊﾝ ｼｲ ﾖｰﾝ"</v>
      </c>
      <c r="D637" t="str" cm="1">
        <f t="array" aca="1" ref="D637" ca="1">CONCATENATE(INDIRECT(ADDRESS(1,4,1,0,"KeySet"),0),":","""",valueMaker!D637,"""")</f>
        <v>kainMeiEn:"Han Xi Yong"</v>
      </c>
      <c r="E637" t="str" cm="1">
        <f t="array" aca="1" ref="E637" ca="1">CONCATENATE(INDIRECT(ADDRESS(1,5,1,0,"KeySet"),0),":","""",valueMaker!E637,"""")</f>
        <v>kainGender:"男性"</v>
      </c>
      <c r="F637" t="str" cm="1">
        <f t="array" aca="1" ref="F637" ca="1">CONCATENATE(INDIRECT(ADDRESS(1,6,1,0,"KeySet"),0),":","""",TEXT(valueMaker!F637,"yyyy/m/d"),"""")</f>
        <v>tanjyoubi:"1993/9/7"</v>
      </c>
      <c r="G637" t="str" cm="1">
        <f t="array" aca="1" ref="G637" ca="1">CONCATENATE(INDIRECT(ADDRESS(1,6,1,0,"KeySet"),0),":","""",TEXT(valueMaker!G637,"yyyy/m/d"),"""")</f>
        <v>tanjyoubi:"2011/12/28"</v>
      </c>
      <c r="H637" t="str" cm="1">
        <f t="array" aca="1" ref="H637" ca="1">CONCATENATE(INDIRECT(ADDRESS(1,6,1,0,"KeySet"),0),":","""",TEXT(valueMaker!H637,"yyyy/m/d"),"""")</f>
        <v>tanjyoubi:"2014/12/27"</v>
      </c>
      <c r="I637" t="str" cm="1">
        <f t="array" aca="1" ref="I637" ca="1">CONCATENATE(INDIRECT(ADDRESS(1,9,1,0,"KeySet"),0),":","""",valueMaker!I637,"""")</f>
        <v>denwaBangou:"080-9640-8477"</v>
      </c>
      <c r="J637" t="str" cm="1">
        <f t="array" aca="1" ref="J637" ca="1">CONCATENATE(INDIRECT(ADDRESS(1,10,1,0,"KeySet"),0),":","""",valueMaker!J637,"""")</f>
        <v>mailAddress:"Han_Xi_Yong_40905@outlook.jp.co"</v>
      </c>
      <c r="K637" t="str" cm="1">
        <f t="array" aca="1" ref="K637" ca="1">CONCATENATE(INDIRECT(ADDRESS(1,11,1,0,"KeySet"),0),":","""",valueMaker!K637,"""")</f>
        <v>kaninSyubetu:"高級"</v>
      </c>
      <c r="L637" t="str" cm="1">
        <f t="array" aca="1" ref="L637" ca="1">CONCATENATE(INDIRECT(ADDRESS(1,12,1,0,"KeySet"),0),":","""",valueMaker!L637,"""")</f>
        <v>kaninKengenWB:"-"</v>
      </c>
      <c r="M637" t="str" cm="1">
        <f t="array" aca="1" ref="M637" ca="1">CONCATENATE(INDIRECT(ADDRESS(1,13,1,0,"KeySet"),0),":","""",valueMaker!M637,"""")</f>
        <v>wakibiri:"-"</v>
      </c>
      <c r="N637" t="str" cm="1">
        <f t="array" aca="1" ref="N637" ca="1">CONCATENATE(INDIRECT(ADDRESS(1,14,1,0,"KeySet"),0),":","""",valueMaker!N637,"""")</f>
        <v>kaninKengenPoint:"-"</v>
      </c>
      <c r="O637" t="str" cm="1">
        <f t="array" aca="1" ref="O637" ca="1">CONCATENATE(INDIRECT(ADDRESS(1,15,1,0,"KeySet"),0),":","""",valueMaker!O637,"""")</f>
        <v>point:"-"</v>
      </c>
      <c r="P637" t="str" cm="1">
        <f t="array" aca="1" ref="P637" ca="1">CONCATENATE(INDIRECT(ADDRESS(1,16,1,0,"KeySet"),0),":","""",valueMaker!P637,"""")</f>
        <v>bikou:""</v>
      </c>
    </row>
    <row r="638" spans="1:16">
      <c r="A638" t="str" cm="1">
        <f t="array" aca="1" ref="A638" ca="1">CONCATENATE(INDIRECT(ADDRESS(1,1,1,0,"KeySet"),0),":","""",valueMaker!A638,"""")</f>
        <v>kainBangou:"TD10637"</v>
      </c>
      <c r="B638" t="str" cm="1">
        <f t="array" aca="1" ref="B638" ca="1">CONCATENATE(INDIRECT(ADDRESS(1,2,1,0,"KeySet"),0),":","""",valueMaker!B638,"""")</f>
        <v>kainMeiKanji:"唐賢界"</v>
      </c>
      <c r="C638" t="str" cm="1">
        <f t="array" aca="1" ref="C638" ca="1">CONCATENATE(INDIRECT(ADDRESS(1,3,1,0,"KeySet"),0),":","""",valueMaker!C638,"""")</f>
        <v>kainMeiKana:"ﾀｰﾝ ｼｴﾝ ｼﾞｴ"</v>
      </c>
      <c r="D638" t="str" cm="1">
        <f t="array" aca="1" ref="D638" ca="1">CONCATENATE(INDIRECT(ADDRESS(1,4,1,0,"KeySet"),0),":","""",valueMaker!D638,"""")</f>
        <v>kainMeiEn:"Tang Xian Jie"</v>
      </c>
      <c r="E638" t="str" cm="1">
        <f t="array" aca="1" ref="E638" ca="1">CONCATENATE(INDIRECT(ADDRESS(1,5,1,0,"KeySet"),0),":","""",valueMaker!E638,"""")</f>
        <v>kainGender:"女性"</v>
      </c>
      <c r="F638" t="str" cm="1">
        <f t="array" aca="1" ref="F638" ca="1">CONCATENATE(INDIRECT(ADDRESS(1,6,1,0,"KeySet"),0),":","""",TEXT(valueMaker!F638,"yyyy/m/d"),"""")</f>
        <v>tanjyoubi:"1961/7/3"</v>
      </c>
      <c r="G638" t="str" cm="1">
        <f t="array" aca="1" ref="G638" ca="1">CONCATENATE(INDIRECT(ADDRESS(1,6,1,0,"KeySet"),0),":","""",TEXT(valueMaker!G638,"yyyy/m/d"),"""")</f>
        <v>tanjyoubi:"2000/8/9"</v>
      </c>
      <c r="H638" t="str" cm="1">
        <f t="array" aca="1" ref="H638" ca="1">CONCATENATE(INDIRECT(ADDRESS(1,6,1,0,"KeySet"),0),":","""",TEXT(valueMaker!H638,"yyyy/m/d"),"""")</f>
        <v>tanjyoubi:"2002/8/9"</v>
      </c>
      <c r="I638" t="str" cm="1">
        <f t="array" aca="1" ref="I638" ca="1">CONCATENATE(INDIRECT(ADDRESS(1,9,1,0,"KeySet"),0),":","""",valueMaker!I638,"""")</f>
        <v>denwaBangou:"090-3631-2156"</v>
      </c>
      <c r="J638" t="str" cm="1">
        <f t="array" aca="1" ref="J638" ca="1">CONCATENATE(INDIRECT(ADDRESS(1,10,1,0,"KeySet"),0),":","""",valueMaker!J638,"""")</f>
        <v>mailAddress:"Tang_Xian_Jie_36747@outlook.jp.co"</v>
      </c>
      <c r="K638" t="str" cm="1">
        <f t="array" aca="1" ref="K638" ca="1">CONCATENATE(INDIRECT(ADDRESS(1,11,1,0,"KeySet"),0),":","""",valueMaker!K638,"""")</f>
        <v>kaninSyubetu:"普通"</v>
      </c>
      <c r="L638" t="str" cm="1">
        <f t="array" aca="1" ref="L638" ca="1">CONCATENATE(INDIRECT(ADDRESS(1,12,1,0,"KeySet"),0),":","""",valueMaker!L638,"""")</f>
        <v>kaninKengenWB:"-"</v>
      </c>
      <c r="M638" t="str" cm="1">
        <f t="array" aca="1" ref="M638" ca="1">CONCATENATE(INDIRECT(ADDRESS(1,13,1,0,"KeySet"),0),":","""",valueMaker!M638,"""")</f>
        <v>wakibiri:"-"</v>
      </c>
      <c r="N638" t="str" cm="1">
        <f t="array" aca="1" ref="N638" ca="1">CONCATENATE(INDIRECT(ADDRESS(1,14,1,0,"KeySet"),0),":","""",valueMaker!N638,"""")</f>
        <v>kaninKengenPoint:"有り"</v>
      </c>
      <c r="O638" t="str" cm="1">
        <f t="array" aca="1" ref="O638" ca="1">CONCATENATE(INDIRECT(ADDRESS(1,15,1,0,"KeySet"),0),":","""",valueMaker!O638,"""")</f>
        <v>point:"258"</v>
      </c>
      <c r="P638" t="str" cm="1">
        <f t="array" aca="1" ref="P638" ca="1">CONCATENATE(INDIRECT(ADDRESS(1,16,1,0,"KeySet"),0),":","""",valueMaker!P638,"""")</f>
        <v>bikou:""</v>
      </c>
    </row>
    <row r="639" spans="1:16">
      <c r="A639" t="str" cm="1">
        <f t="array" aca="1" ref="A639" ca="1">CONCATENATE(INDIRECT(ADDRESS(1,1,1,0,"KeySet"),0),":","""",valueMaker!A639,"""")</f>
        <v>kainBangou:"TD10638"</v>
      </c>
      <c r="B639" t="str" cm="1">
        <f t="array" aca="1" ref="B639" ca="1">CONCATENATE(INDIRECT(ADDRESS(1,2,1,0,"KeySet"),0),":","""",valueMaker!B639,"""")</f>
        <v>kainMeiKanji:"吳林會"</v>
      </c>
      <c r="C639" t="str" cm="1">
        <f t="array" aca="1" ref="C639" ca="1">CONCATENATE(INDIRECT(ADDRESS(1,3,1,0,"KeySet"),0),":","""",valueMaker!C639,"""")</f>
        <v>kainMeiKana:"ｳｰ ﾘﾝ ﾎｩｲ"</v>
      </c>
      <c r="D639" t="str" cm="1">
        <f t="array" aca="1" ref="D639" ca="1">CONCATENATE(INDIRECT(ADDRESS(1,4,1,0,"KeySet"),0),":","""",valueMaker!D639,"""")</f>
        <v>kainMeiEn:"Wu Lin Hui"</v>
      </c>
      <c r="E639" t="str" cm="1">
        <f t="array" aca="1" ref="E639" ca="1">CONCATENATE(INDIRECT(ADDRESS(1,5,1,0,"KeySet"),0),":","""",valueMaker!E639,"""")</f>
        <v>kainGender:"男性"</v>
      </c>
      <c r="F639" t="str" cm="1">
        <f t="array" aca="1" ref="F639" ca="1">CONCATENATE(INDIRECT(ADDRESS(1,6,1,0,"KeySet"),0),":","""",TEXT(valueMaker!F639,"yyyy/m/d"),"""")</f>
        <v>tanjyoubi:"1974/11/20"</v>
      </c>
      <c r="G639" t="str" cm="1">
        <f t="array" aca="1" ref="G639" ca="1">CONCATENATE(INDIRECT(ADDRESS(1,6,1,0,"KeySet"),0),":","""",TEXT(valueMaker!G639,"yyyy/m/d"),"""")</f>
        <v>tanjyoubi:"1993/10/6"</v>
      </c>
      <c r="H639" t="str" cm="1">
        <f t="array" aca="1" ref="H639" ca="1">CONCATENATE(INDIRECT(ADDRESS(1,6,1,0,"KeySet"),0),":","""",TEXT(valueMaker!H639,"yyyy/m/d"),"""")</f>
        <v>tanjyoubi:"1995/10/6"</v>
      </c>
      <c r="I639" t="str" cm="1">
        <f t="array" aca="1" ref="I639" ca="1">CONCATENATE(INDIRECT(ADDRESS(1,9,1,0,"KeySet"),0),":","""",valueMaker!I639,"""")</f>
        <v>denwaBangou:"090-0572-2081"</v>
      </c>
      <c r="J639" t="str" cm="1">
        <f t="array" aca="1" ref="J639" ca="1">CONCATENATE(INDIRECT(ADDRESS(1,10,1,0,"KeySet"),0),":","""",valueMaker!J639,"""")</f>
        <v>mailAddress:"Wu_Lin Hui_34248@outlook.jp.co"</v>
      </c>
      <c r="K639" t="str" cm="1">
        <f t="array" aca="1" ref="K639" ca="1">CONCATENATE(INDIRECT(ADDRESS(1,11,1,0,"KeySet"),0),":","""",valueMaker!K639,"""")</f>
        <v>kaninSyubetu:"高級"</v>
      </c>
      <c r="L639" t="str" cm="1">
        <f t="array" aca="1" ref="L639" ca="1">CONCATENATE(INDIRECT(ADDRESS(1,12,1,0,"KeySet"),0),":","""",valueMaker!L639,"""")</f>
        <v>kaninKengenWB:"有り"</v>
      </c>
      <c r="M639" t="str" cm="1">
        <f t="array" aca="1" ref="M639" ca="1">CONCATENATE(INDIRECT(ADDRESS(1,13,1,0,"KeySet"),0),":","""",valueMaker!M639,"""")</f>
        <v>wakibiri:"10%"</v>
      </c>
      <c r="N639" t="str" cm="1">
        <f t="array" aca="1" ref="N639" ca="1">CONCATENATE(INDIRECT(ADDRESS(1,14,1,0,"KeySet"),0),":","""",valueMaker!N639,"""")</f>
        <v>kaninKengenPoint:"有り"</v>
      </c>
      <c r="O639" t="str" cm="1">
        <f t="array" aca="1" ref="O639" ca="1">CONCATENATE(INDIRECT(ADDRESS(1,15,1,0,"KeySet"),0),":","""",valueMaker!O639,"""")</f>
        <v>point:"836"</v>
      </c>
      <c r="P639" t="str" cm="1">
        <f t="array" aca="1" ref="P639" ca="1">CONCATENATE(INDIRECT(ADDRESS(1,16,1,0,"KeySet"),0),":","""",valueMaker!P639,"""")</f>
        <v>bikou:""</v>
      </c>
    </row>
    <row r="640" spans="1:16">
      <c r="A640" t="str" cm="1">
        <f t="array" aca="1" ref="A640" ca="1">CONCATENATE(INDIRECT(ADDRESS(1,1,1,0,"KeySet"),0),":","""",valueMaker!A640,"""")</f>
        <v>kainBangou:"TD10639"</v>
      </c>
      <c r="B640" t="str" cm="1">
        <f t="array" aca="1" ref="B640" ca="1">CONCATENATE(INDIRECT(ADDRESS(1,2,1,0,"KeySet"),0),":","""",valueMaker!B640,"""")</f>
        <v>kainMeiKanji:"趙萬斌"</v>
      </c>
      <c r="C640" t="str" cm="1">
        <f t="array" aca="1" ref="C640" ca="1">CONCATENATE(INDIRECT(ADDRESS(1,3,1,0,"KeySet"),0),":","""",valueMaker!C640,"""")</f>
        <v>kainMeiKana:"ｼﾞｬｵ ﾜﾝ ﾋﾞﾝ"</v>
      </c>
      <c r="D640" t="str" cm="1">
        <f t="array" aca="1" ref="D640" ca="1">CONCATENATE(INDIRECT(ADDRESS(1,4,1,0,"KeySet"),0),":","""",valueMaker!D640,"""")</f>
        <v>kainMeiEn:"Zhao Wan Bin"</v>
      </c>
      <c r="E640" t="str" cm="1">
        <f t="array" aca="1" ref="E640" ca="1">CONCATENATE(INDIRECT(ADDRESS(1,5,1,0,"KeySet"),0),":","""",valueMaker!E640,"""")</f>
        <v>kainGender:"女性"</v>
      </c>
      <c r="F640" t="str" cm="1">
        <f t="array" aca="1" ref="F640" ca="1">CONCATENATE(INDIRECT(ADDRESS(1,6,1,0,"KeySet"),0),":","""",TEXT(valueMaker!F640,"yyyy/m/d"),"""")</f>
        <v>tanjyoubi:"1967/10/16"</v>
      </c>
      <c r="G640" t="str" cm="1">
        <f t="array" aca="1" ref="G640" ca="1">CONCATENATE(INDIRECT(ADDRESS(1,6,1,0,"KeySet"),0),":","""",TEXT(valueMaker!G640,"yyyy/m/d"),"""")</f>
        <v>tanjyoubi:"2022/2/10"</v>
      </c>
      <c r="H640" t="str" cm="1">
        <f t="array" aca="1" ref="H640" ca="1">CONCATENATE(INDIRECT(ADDRESS(1,6,1,0,"KeySet"),0),":","""",TEXT(valueMaker!H640,"yyyy/m/d"),"""")</f>
        <v>tanjyoubi:"2024/2/10"</v>
      </c>
      <c r="I640" t="str" cm="1">
        <f t="array" aca="1" ref="I640" ca="1">CONCATENATE(INDIRECT(ADDRESS(1,9,1,0,"KeySet"),0),":","""",valueMaker!I640,"""")</f>
        <v>denwaBangou:"090-5094-0284"</v>
      </c>
      <c r="J640" t="str" cm="1">
        <f t="array" aca="1" ref="J640" ca="1">CONCATENATE(INDIRECT(ADDRESS(1,10,1,0,"KeySet"),0),":","""",valueMaker!J640,"""")</f>
        <v>mailAddress:"Zhao_Wan_Bin_44602@outlook.jp.co"</v>
      </c>
      <c r="K640" t="str" cm="1">
        <f t="array" aca="1" ref="K640" ca="1">CONCATENATE(INDIRECT(ADDRESS(1,11,1,0,"KeySet"),0),":","""",valueMaker!K640,"""")</f>
        <v>kaninSyubetu:"高級"</v>
      </c>
      <c r="L640" t="str" cm="1">
        <f t="array" aca="1" ref="L640" ca="1">CONCATENATE(INDIRECT(ADDRESS(1,12,1,0,"KeySet"),0),":","""",valueMaker!L640,"""")</f>
        <v>kaninKengenWB:"有り"</v>
      </c>
      <c r="M640" t="str" cm="1">
        <f t="array" aca="1" ref="M640" ca="1">CONCATENATE(INDIRECT(ADDRESS(1,13,1,0,"KeySet"),0),":","""",valueMaker!M640,"""")</f>
        <v>wakibiri:"10%"</v>
      </c>
      <c r="N640" t="str" cm="1">
        <f t="array" aca="1" ref="N640" ca="1">CONCATENATE(INDIRECT(ADDRESS(1,14,1,0,"KeySet"),0),":","""",valueMaker!N640,"""")</f>
        <v>kaninKengenPoint:"-"</v>
      </c>
      <c r="O640" t="str" cm="1">
        <f t="array" aca="1" ref="O640" ca="1">CONCATENATE(INDIRECT(ADDRESS(1,15,1,0,"KeySet"),0),":","""",valueMaker!O640,"""")</f>
        <v>point:"-"</v>
      </c>
      <c r="P640" t="str" cm="1">
        <f t="array" aca="1" ref="P640" ca="1">CONCATENATE(INDIRECT(ADDRESS(1,16,1,0,"KeySet"),0),":","""",valueMaker!P640,"""")</f>
        <v>bikou:""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28427-EC39-4472-96EC-4C985AC071EF}">
  <sheetPr codeName="Sheet4"/>
  <dimension ref="A1:K331"/>
  <sheetViews>
    <sheetView workbookViewId="0">
      <pane ySplit="1" topLeftCell="A2" activePane="bottomLeft" state="frozen"/>
      <selection pane="bottomLeft" activeCell="B17" sqref="B17"/>
    </sheetView>
  </sheetViews>
  <sheetFormatPr defaultRowHeight="17.649999999999999"/>
  <cols>
    <col min="4" max="4" width="4.625" bestFit="1" customWidth="1"/>
    <col min="5" max="5" width="18.1875" bestFit="1" customWidth="1"/>
    <col min="11" max="11" width="10.1875" bestFit="1" customWidth="1"/>
  </cols>
  <sheetData>
    <row r="1" spans="1:11" s="7" customFormat="1">
      <c r="A1" s="7" t="s">
        <v>99</v>
      </c>
      <c r="B1" s="7" t="s">
        <v>157</v>
      </c>
      <c r="C1" s="7" t="s">
        <v>1481</v>
      </c>
      <c r="D1" s="7" t="s">
        <v>100</v>
      </c>
      <c r="E1" s="7" t="s">
        <v>173</v>
      </c>
      <c r="F1" s="7" t="s">
        <v>158</v>
      </c>
      <c r="G1" s="7" t="s">
        <v>0</v>
      </c>
      <c r="H1" s="7" t="s">
        <v>138</v>
      </c>
      <c r="I1" s="7" t="s">
        <v>103</v>
      </c>
      <c r="J1" s="7" t="s">
        <v>104</v>
      </c>
      <c r="K1" s="12"/>
    </row>
    <row r="2" spans="1:11">
      <c r="A2" s="4" t="s">
        <v>159</v>
      </c>
      <c r="B2" t="s">
        <v>1453</v>
      </c>
      <c r="C2" t="s">
        <v>1482</v>
      </c>
      <c r="D2" t="s">
        <v>307</v>
      </c>
      <c r="E2" t="s">
        <v>1128</v>
      </c>
      <c r="F2" t="s">
        <v>504</v>
      </c>
      <c r="G2" t="s">
        <v>101</v>
      </c>
      <c r="H2" t="s">
        <v>1515</v>
      </c>
      <c r="I2" t="s">
        <v>105</v>
      </c>
      <c r="J2" t="s">
        <v>115</v>
      </c>
      <c r="K2" s="1"/>
    </row>
    <row r="3" spans="1:11">
      <c r="A3" s="4" t="s">
        <v>160</v>
      </c>
      <c r="B3" t="s">
        <v>1454</v>
      </c>
      <c r="C3" t="s">
        <v>1483</v>
      </c>
      <c r="D3" s="3" t="s">
        <v>308</v>
      </c>
      <c r="E3" t="s">
        <v>1129</v>
      </c>
      <c r="F3" t="s">
        <v>505</v>
      </c>
      <c r="G3" t="s">
        <v>102</v>
      </c>
      <c r="H3" t="s">
        <v>1515</v>
      </c>
      <c r="I3" t="s">
        <v>106</v>
      </c>
      <c r="J3" t="s">
        <v>120</v>
      </c>
      <c r="K3" s="1"/>
    </row>
    <row r="4" spans="1:11">
      <c r="A4" s="6" t="s">
        <v>1761</v>
      </c>
      <c r="B4" t="s">
        <v>1455</v>
      </c>
      <c r="C4" t="s">
        <v>1484</v>
      </c>
      <c r="D4" t="s">
        <v>174</v>
      </c>
      <c r="E4" t="s">
        <v>1130</v>
      </c>
      <c r="F4" t="s">
        <v>506</v>
      </c>
      <c r="G4" t="s">
        <v>101</v>
      </c>
      <c r="H4" t="s">
        <v>1515</v>
      </c>
      <c r="I4" t="s">
        <v>107</v>
      </c>
      <c r="J4" t="s">
        <v>116</v>
      </c>
      <c r="K4" s="1"/>
    </row>
    <row r="5" spans="1:11">
      <c r="A5" t="s">
        <v>1763</v>
      </c>
      <c r="B5" t="s">
        <v>1456</v>
      </c>
      <c r="C5" t="s">
        <v>1485</v>
      </c>
      <c r="D5" t="s">
        <v>309</v>
      </c>
      <c r="E5" t="s">
        <v>1131</v>
      </c>
      <c r="F5" t="s">
        <v>507</v>
      </c>
      <c r="G5" t="s">
        <v>102</v>
      </c>
      <c r="H5" t="s">
        <v>1516</v>
      </c>
      <c r="I5" t="s">
        <v>108</v>
      </c>
      <c r="J5" t="s">
        <v>117</v>
      </c>
      <c r="K5" s="1"/>
    </row>
    <row r="6" spans="1:11">
      <c r="A6" s="6" t="s">
        <v>1762</v>
      </c>
      <c r="B6" t="s">
        <v>1457</v>
      </c>
      <c r="C6" t="s">
        <v>1486</v>
      </c>
      <c r="D6" s="3" t="s">
        <v>310</v>
      </c>
      <c r="E6" t="s">
        <v>1132</v>
      </c>
      <c r="F6" t="s">
        <v>508</v>
      </c>
      <c r="G6" t="s">
        <v>101</v>
      </c>
      <c r="I6" t="s">
        <v>109</v>
      </c>
      <c r="J6" t="s">
        <v>118</v>
      </c>
      <c r="K6" s="1"/>
    </row>
    <row r="7" spans="1:11">
      <c r="A7" s="3" t="s">
        <v>1764</v>
      </c>
      <c r="B7" t="s">
        <v>1458</v>
      </c>
      <c r="C7" t="s">
        <v>1487</v>
      </c>
      <c r="D7" t="s">
        <v>175</v>
      </c>
      <c r="E7" t="s">
        <v>1133</v>
      </c>
      <c r="F7" t="s">
        <v>509</v>
      </c>
      <c r="G7" t="s">
        <v>102</v>
      </c>
      <c r="I7" t="s">
        <v>110</v>
      </c>
      <c r="J7" t="s">
        <v>119</v>
      </c>
      <c r="K7" s="1"/>
    </row>
    <row r="8" spans="1:11">
      <c r="A8" s="3" t="s">
        <v>1765</v>
      </c>
      <c r="B8" t="s">
        <v>1459</v>
      </c>
      <c r="C8" t="s">
        <v>1488</v>
      </c>
      <c r="D8" t="s">
        <v>176</v>
      </c>
      <c r="E8" t="s">
        <v>1134</v>
      </c>
      <c r="F8" t="s">
        <v>510</v>
      </c>
      <c r="G8" t="s">
        <v>101</v>
      </c>
      <c r="I8" t="s">
        <v>111</v>
      </c>
      <c r="J8" t="s">
        <v>121</v>
      </c>
      <c r="K8" s="1"/>
    </row>
    <row r="9" spans="1:11">
      <c r="A9" t="s">
        <v>1766</v>
      </c>
      <c r="B9" t="s">
        <v>1460</v>
      </c>
      <c r="C9" t="s">
        <v>1489</v>
      </c>
      <c r="D9" t="s">
        <v>177</v>
      </c>
      <c r="E9" t="s">
        <v>1135</v>
      </c>
      <c r="F9" t="s">
        <v>511</v>
      </c>
      <c r="G9" t="s">
        <v>102</v>
      </c>
      <c r="I9" t="s">
        <v>112</v>
      </c>
      <c r="J9" t="s">
        <v>122</v>
      </c>
      <c r="K9" s="1"/>
    </row>
    <row r="10" spans="1:11">
      <c r="A10" t="s">
        <v>161</v>
      </c>
      <c r="B10" t="s">
        <v>1461</v>
      </c>
      <c r="C10" t="s">
        <v>1490</v>
      </c>
      <c r="D10" t="s">
        <v>311</v>
      </c>
      <c r="E10" t="s">
        <v>1136</v>
      </c>
      <c r="F10" t="s">
        <v>512</v>
      </c>
      <c r="G10" t="s">
        <v>101</v>
      </c>
      <c r="I10" t="s">
        <v>113</v>
      </c>
      <c r="J10" t="s">
        <v>123</v>
      </c>
      <c r="K10" s="1"/>
    </row>
    <row r="11" spans="1:11">
      <c r="A11" s="3" t="s">
        <v>1767</v>
      </c>
      <c r="B11" t="s">
        <v>1462</v>
      </c>
      <c r="C11" t="s">
        <v>1491</v>
      </c>
      <c r="D11" t="s">
        <v>178</v>
      </c>
      <c r="E11" t="s">
        <v>1137</v>
      </c>
      <c r="F11" t="s">
        <v>513</v>
      </c>
      <c r="G11" t="s">
        <v>102</v>
      </c>
      <c r="I11" t="s">
        <v>114</v>
      </c>
      <c r="J11" t="s">
        <v>124</v>
      </c>
      <c r="K11" s="1"/>
    </row>
    <row r="12" spans="1:11">
      <c r="A12" t="s">
        <v>162</v>
      </c>
      <c r="B12" t="s">
        <v>1463</v>
      </c>
      <c r="C12" t="s">
        <v>1492</v>
      </c>
      <c r="D12" s="3" t="s">
        <v>312</v>
      </c>
      <c r="E12" t="s">
        <v>1138</v>
      </c>
      <c r="F12" t="s">
        <v>514</v>
      </c>
      <c r="G12" t="s">
        <v>101</v>
      </c>
      <c r="K12" s="1"/>
    </row>
    <row r="13" spans="1:11">
      <c r="A13" s="3" t="s">
        <v>1768</v>
      </c>
      <c r="B13" t="s">
        <v>1464</v>
      </c>
      <c r="C13" t="s">
        <v>1493</v>
      </c>
      <c r="D13" t="s">
        <v>179</v>
      </c>
      <c r="E13" t="s">
        <v>1139</v>
      </c>
      <c r="F13" t="s">
        <v>515</v>
      </c>
      <c r="G13" t="s">
        <v>102</v>
      </c>
      <c r="K13" s="1"/>
    </row>
    <row r="14" spans="1:11">
      <c r="A14" t="s">
        <v>163</v>
      </c>
      <c r="B14" t="s">
        <v>1465</v>
      </c>
      <c r="C14" t="s">
        <v>1494</v>
      </c>
      <c r="D14" t="s">
        <v>313</v>
      </c>
      <c r="E14" t="s">
        <v>1140</v>
      </c>
      <c r="F14" t="s">
        <v>516</v>
      </c>
      <c r="G14" t="s">
        <v>101</v>
      </c>
    </row>
    <row r="15" spans="1:11">
      <c r="A15" t="s">
        <v>164</v>
      </c>
      <c r="B15" t="s">
        <v>1466</v>
      </c>
      <c r="C15" t="s">
        <v>1495</v>
      </c>
      <c r="D15" t="s">
        <v>180</v>
      </c>
      <c r="E15" t="s">
        <v>1141</v>
      </c>
      <c r="F15" t="s">
        <v>517</v>
      </c>
      <c r="G15" t="s">
        <v>102</v>
      </c>
    </row>
    <row r="16" spans="1:11">
      <c r="A16" t="s">
        <v>165</v>
      </c>
      <c r="B16" t="s">
        <v>1467</v>
      </c>
      <c r="C16" t="s">
        <v>1496</v>
      </c>
      <c r="D16" t="s">
        <v>314</v>
      </c>
      <c r="E16" t="s">
        <v>1142</v>
      </c>
      <c r="F16" t="s">
        <v>518</v>
      </c>
      <c r="G16" t="s">
        <v>1510</v>
      </c>
    </row>
    <row r="17" spans="1:6">
      <c r="A17" t="s">
        <v>166</v>
      </c>
      <c r="B17" t="s">
        <v>1468</v>
      </c>
      <c r="C17" t="s">
        <v>1497</v>
      </c>
      <c r="D17" s="3" t="s">
        <v>315</v>
      </c>
      <c r="E17" t="s">
        <v>1143</v>
      </c>
      <c r="F17" t="s">
        <v>519</v>
      </c>
    </row>
    <row r="18" spans="1:6">
      <c r="A18" t="s">
        <v>167</v>
      </c>
      <c r="B18" t="s">
        <v>1469</v>
      </c>
      <c r="C18" t="s">
        <v>1498</v>
      </c>
      <c r="D18" t="s">
        <v>316</v>
      </c>
      <c r="E18" t="s">
        <v>1144</v>
      </c>
      <c r="F18" t="s">
        <v>520</v>
      </c>
    </row>
    <row r="19" spans="1:6">
      <c r="A19" t="s">
        <v>168</v>
      </c>
      <c r="B19" t="s">
        <v>1470</v>
      </c>
      <c r="C19" t="s">
        <v>1499</v>
      </c>
      <c r="D19" t="s">
        <v>181</v>
      </c>
      <c r="E19" t="s">
        <v>1145</v>
      </c>
      <c r="F19" t="s">
        <v>521</v>
      </c>
    </row>
    <row r="20" spans="1:6">
      <c r="A20" s="3" t="s">
        <v>1769</v>
      </c>
      <c r="B20" t="s">
        <v>1471</v>
      </c>
      <c r="C20" t="s">
        <v>1500</v>
      </c>
      <c r="D20" t="s">
        <v>317</v>
      </c>
      <c r="E20" t="s">
        <v>1146</v>
      </c>
      <c r="F20" t="s">
        <v>522</v>
      </c>
    </row>
    <row r="21" spans="1:6">
      <c r="A21" s="3" t="s">
        <v>1770</v>
      </c>
      <c r="B21" t="s">
        <v>1472</v>
      </c>
      <c r="C21" t="s">
        <v>1501</v>
      </c>
      <c r="D21" t="s">
        <v>182</v>
      </c>
      <c r="E21" t="s">
        <v>1147</v>
      </c>
      <c r="F21" t="s">
        <v>523</v>
      </c>
    </row>
    <row r="22" spans="1:6">
      <c r="A22" t="s">
        <v>169</v>
      </c>
      <c r="B22" t="s">
        <v>1473</v>
      </c>
      <c r="C22" t="s">
        <v>1502</v>
      </c>
      <c r="D22" s="3" t="s">
        <v>318</v>
      </c>
      <c r="E22" t="s">
        <v>1148</v>
      </c>
      <c r="F22" t="s">
        <v>524</v>
      </c>
    </row>
    <row r="23" spans="1:6">
      <c r="A23" t="s">
        <v>170</v>
      </c>
      <c r="B23" t="s">
        <v>1474</v>
      </c>
      <c r="C23" t="s">
        <v>1503</v>
      </c>
      <c r="D23" t="s">
        <v>183</v>
      </c>
      <c r="E23" t="s">
        <v>1149</v>
      </c>
      <c r="F23" t="s">
        <v>525</v>
      </c>
    </row>
    <row r="24" spans="1:6">
      <c r="A24" s="3" t="s">
        <v>1771</v>
      </c>
      <c r="B24" t="s">
        <v>1475</v>
      </c>
      <c r="C24" t="s">
        <v>1504</v>
      </c>
      <c r="D24" s="3" t="s">
        <v>319</v>
      </c>
      <c r="E24" t="s">
        <v>1150</v>
      </c>
      <c r="F24" t="s">
        <v>526</v>
      </c>
    </row>
    <row r="25" spans="1:6">
      <c r="A25" s="3" t="s">
        <v>1772</v>
      </c>
      <c r="B25" t="s">
        <v>1476</v>
      </c>
      <c r="C25" t="s">
        <v>1505</v>
      </c>
      <c r="D25" t="s">
        <v>184</v>
      </c>
      <c r="E25" t="s">
        <v>1151</v>
      </c>
      <c r="F25" t="s">
        <v>527</v>
      </c>
    </row>
    <row r="26" spans="1:6">
      <c r="A26" s="3" t="s">
        <v>1773</v>
      </c>
      <c r="B26" t="s">
        <v>1477</v>
      </c>
      <c r="C26" t="s">
        <v>1506</v>
      </c>
      <c r="D26" t="s">
        <v>320</v>
      </c>
      <c r="E26" t="s">
        <v>1152</v>
      </c>
      <c r="F26" t="s">
        <v>528</v>
      </c>
    </row>
    <row r="27" spans="1:6">
      <c r="A27" t="s">
        <v>171</v>
      </c>
      <c r="B27" t="s">
        <v>1478</v>
      </c>
      <c r="C27" t="s">
        <v>1507</v>
      </c>
      <c r="D27" t="s">
        <v>321</v>
      </c>
      <c r="E27" t="s">
        <v>1153</v>
      </c>
      <c r="F27" t="s">
        <v>529</v>
      </c>
    </row>
    <row r="28" spans="1:6">
      <c r="A28" s="3" t="s">
        <v>1774</v>
      </c>
      <c r="B28" t="s">
        <v>1479</v>
      </c>
      <c r="C28" t="s">
        <v>1508</v>
      </c>
      <c r="D28" s="3" t="s">
        <v>322</v>
      </c>
      <c r="E28" t="s">
        <v>1154</v>
      </c>
      <c r="F28" t="s">
        <v>530</v>
      </c>
    </row>
    <row r="29" spans="1:6">
      <c r="A29" t="s">
        <v>172</v>
      </c>
      <c r="B29" t="s">
        <v>1480</v>
      </c>
      <c r="C29" t="s">
        <v>1509</v>
      </c>
      <c r="D29" s="3" t="s">
        <v>323</v>
      </c>
      <c r="E29" t="s">
        <v>1155</v>
      </c>
      <c r="F29" t="s">
        <v>531</v>
      </c>
    </row>
    <row r="30" spans="1:6">
      <c r="D30" t="s">
        <v>324</v>
      </c>
      <c r="E30" t="s">
        <v>1156</v>
      </c>
      <c r="F30" t="s">
        <v>532</v>
      </c>
    </row>
    <row r="31" spans="1:6">
      <c r="D31" t="s">
        <v>325</v>
      </c>
      <c r="E31" t="s">
        <v>1157</v>
      </c>
      <c r="F31" t="s">
        <v>533</v>
      </c>
    </row>
    <row r="32" spans="1:6">
      <c r="D32" t="s">
        <v>326</v>
      </c>
      <c r="E32" t="s">
        <v>1158</v>
      </c>
      <c r="F32" t="s">
        <v>534</v>
      </c>
    </row>
    <row r="33" spans="4:6">
      <c r="D33" t="s">
        <v>185</v>
      </c>
      <c r="E33" t="s">
        <v>1159</v>
      </c>
      <c r="F33" t="s">
        <v>535</v>
      </c>
    </row>
    <row r="34" spans="4:6">
      <c r="D34" t="s">
        <v>186</v>
      </c>
      <c r="E34" t="s">
        <v>1160</v>
      </c>
      <c r="F34" t="s">
        <v>536</v>
      </c>
    </row>
    <row r="35" spans="4:6">
      <c r="D35" t="s">
        <v>187</v>
      </c>
      <c r="E35" t="s">
        <v>1161</v>
      </c>
      <c r="F35" t="s">
        <v>537</v>
      </c>
    </row>
    <row r="36" spans="4:6">
      <c r="D36" t="s">
        <v>188</v>
      </c>
      <c r="E36" t="s">
        <v>1162</v>
      </c>
      <c r="F36" t="s">
        <v>538</v>
      </c>
    </row>
    <row r="37" spans="4:6">
      <c r="D37" t="s">
        <v>189</v>
      </c>
      <c r="E37" t="s">
        <v>1163</v>
      </c>
      <c r="F37" t="s">
        <v>539</v>
      </c>
    </row>
    <row r="38" spans="4:6">
      <c r="D38" t="s">
        <v>327</v>
      </c>
      <c r="E38" t="s">
        <v>1164</v>
      </c>
      <c r="F38" t="s">
        <v>540</v>
      </c>
    </row>
    <row r="39" spans="4:6">
      <c r="D39" s="3" t="s">
        <v>328</v>
      </c>
      <c r="E39" t="s">
        <v>1165</v>
      </c>
      <c r="F39" t="s">
        <v>541</v>
      </c>
    </row>
    <row r="40" spans="4:6">
      <c r="D40" s="3" t="s">
        <v>329</v>
      </c>
      <c r="E40" t="s">
        <v>1166</v>
      </c>
      <c r="F40" t="s">
        <v>542</v>
      </c>
    </row>
    <row r="41" spans="4:6">
      <c r="D41" s="3" t="s">
        <v>330</v>
      </c>
      <c r="E41" t="s">
        <v>1167</v>
      </c>
      <c r="F41" t="s">
        <v>543</v>
      </c>
    </row>
    <row r="42" spans="4:6">
      <c r="D42" t="s">
        <v>331</v>
      </c>
      <c r="E42" t="s">
        <v>1168</v>
      </c>
      <c r="F42" t="s">
        <v>544</v>
      </c>
    </row>
    <row r="43" spans="4:6">
      <c r="D43" t="s">
        <v>332</v>
      </c>
      <c r="E43" t="s">
        <v>1169</v>
      </c>
      <c r="F43" t="s">
        <v>545</v>
      </c>
    </row>
    <row r="44" spans="4:6">
      <c r="D44" t="s">
        <v>190</v>
      </c>
      <c r="E44" t="s">
        <v>1170</v>
      </c>
      <c r="F44" t="s">
        <v>546</v>
      </c>
    </row>
    <row r="45" spans="4:6">
      <c r="D45" s="3" t="s">
        <v>333</v>
      </c>
      <c r="E45" t="s">
        <v>1171</v>
      </c>
      <c r="F45" t="s">
        <v>547</v>
      </c>
    </row>
    <row r="46" spans="4:6">
      <c r="D46" t="s">
        <v>191</v>
      </c>
      <c r="E46" t="s">
        <v>1172</v>
      </c>
      <c r="F46" t="s">
        <v>548</v>
      </c>
    </row>
    <row r="47" spans="4:6">
      <c r="D47" t="s">
        <v>192</v>
      </c>
      <c r="E47" t="s">
        <v>1173</v>
      </c>
      <c r="F47" t="s">
        <v>549</v>
      </c>
    </row>
    <row r="48" spans="4:6">
      <c r="D48" t="s">
        <v>334</v>
      </c>
      <c r="E48" t="s">
        <v>1174</v>
      </c>
      <c r="F48" t="s">
        <v>550</v>
      </c>
    </row>
    <row r="49" spans="4:6">
      <c r="D49" t="s">
        <v>335</v>
      </c>
      <c r="E49" t="s">
        <v>1175</v>
      </c>
      <c r="F49" t="s">
        <v>551</v>
      </c>
    </row>
    <row r="50" spans="4:6">
      <c r="D50" t="s">
        <v>193</v>
      </c>
      <c r="E50" t="s">
        <v>1176</v>
      </c>
      <c r="F50" t="s">
        <v>552</v>
      </c>
    </row>
    <row r="51" spans="4:6">
      <c r="D51" t="s">
        <v>194</v>
      </c>
      <c r="E51" t="s">
        <v>1177</v>
      </c>
      <c r="F51" t="s">
        <v>553</v>
      </c>
    </row>
    <row r="52" spans="4:6">
      <c r="D52" t="s">
        <v>336</v>
      </c>
      <c r="E52" t="s">
        <v>1178</v>
      </c>
      <c r="F52" t="s">
        <v>554</v>
      </c>
    </row>
    <row r="53" spans="4:6">
      <c r="D53" t="s">
        <v>337</v>
      </c>
      <c r="E53" t="s">
        <v>1179</v>
      </c>
      <c r="F53" t="s">
        <v>555</v>
      </c>
    </row>
    <row r="54" spans="4:6">
      <c r="D54" t="s">
        <v>195</v>
      </c>
      <c r="E54" t="s">
        <v>1180</v>
      </c>
      <c r="F54" t="s">
        <v>556</v>
      </c>
    </row>
    <row r="55" spans="4:6">
      <c r="D55" t="s">
        <v>196</v>
      </c>
      <c r="E55" t="s">
        <v>1181</v>
      </c>
      <c r="F55" t="s">
        <v>557</v>
      </c>
    </row>
    <row r="56" spans="4:6">
      <c r="D56" t="s">
        <v>197</v>
      </c>
      <c r="E56" t="s">
        <v>1182</v>
      </c>
      <c r="F56" t="s">
        <v>558</v>
      </c>
    </row>
    <row r="57" spans="4:6">
      <c r="D57" t="s">
        <v>338</v>
      </c>
      <c r="E57" t="s">
        <v>1183</v>
      </c>
      <c r="F57" t="s">
        <v>559</v>
      </c>
    </row>
    <row r="58" spans="4:6">
      <c r="D58" t="s">
        <v>339</v>
      </c>
      <c r="E58" t="s">
        <v>1184</v>
      </c>
      <c r="F58" t="s">
        <v>560</v>
      </c>
    </row>
    <row r="59" spans="4:6">
      <c r="D59" t="s">
        <v>198</v>
      </c>
      <c r="E59" t="s">
        <v>1185</v>
      </c>
      <c r="F59" t="s">
        <v>561</v>
      </c>
    </row>
    <row r="60" spans="4:6">
      <c r="D60" t="s">
        <v>340</v>
      </c>
      <c r="E60" t="s">
        <v>1186</v>
      </c>
      <c r="F60" t="s">
        <v>562</v>
      </c>
    </row>
    <row r="61" spans="4:6">
      <c r="D61" t="s">
        <v>199</v>
      </c>
      <c r="E61" t="s">
        <v>1187</v>
      </c>
      <c r="F61" t="s">
        <v>563</v>
      </c>
    </row>
    <row r="62" spans="4:6">
      <c r="D62" s="3" t="s">
        <v>341</v>
      </c>
      <c r="E62" t="s">
        <v>1188</v>
      </c>
      <c r="F62" t="s">
        <v>564</v>
      </c>
    </row>
    <row r="63" spans="4:6">
      <c r="D63" s="3" t="s">
        <v>342</v>
      </c>
      <c r="E63" t="s">
        <v>1189</v>
      </c>
      <c r="F63" t="s">
        <v>565</v>
      </c>
    </row>
    <row r="64" spans="4:6">
      <c r="D64" t="s">
        <v>200</v>
      </c>
      <c r="E64" t="s">
        <v>1190</v>
      </c>
      <c r="F64" t="s">
        <v>566</v>
      </c>
    </row>
    <row r="65" spans="4:6">
      <c r="D65" t="s">
        <v>201</v>
      </c>
      <c r="E65" t="s">
        <v>1191</v>
      </c>
      <c r="F65" t="s">
        <v>567</v>
      </c>
    </row>
    <row r="66" spans="4:6">
      <c r="D66" t="s">
        <v>343</v>
      </c>
      <c r="E66" t="s">
        <v>1192</v>
      </c>
      <c r="F66" t="s">
        <v>568</v>
      </c>
    </row>
    <row r="67" spans="4:6">
      <c r="D67" t="s">
        <v>344</v>
      </c>
      <c r="E67" t="s">
        <v>1193</v>
      </c>
      <c r="F67" t="s">
        <v>569</v>
      </c>
    </row>
    <row r="68" spans="4:6">
      <c r="D68" t="s">
        <v>345</v>
      </c>
      <c r="E68" t="s">
        <v>1194</v>
      </c>
      <c r="F68" t="s">
        <v>570</v>
      </c>
    </row>
    <row r="69" spans="4:6">
      <c r="D69" t="s">
        <v>346</v>
      </c>
      <c r="E69" t="s">
        <v>1195</v>
      </c>
      <c r="F69" t="s">
        <v>571</v>
      </c>
    </row>
    <row r="70" spans="4:6">
      <c r="D70" t="s">
        <v>202</v>
      </c>
      <c r="E70" t="s">
        <v>1196</v>
      </c>
      <c r="F70" t="s">
        <v>572</v>
      </c>
    </row>
    <row r="71" spans="4:6">
      <c r="D71" t="s">
        <v>347</v>
      </c>
      <c r="E71" t="s">
        <v>1197</v>
      </c>
      <c r="F71" t="s">
        <v>573</v>
      </c>
    </row>
    <row r="72" spans="4:6">
      <c r="D72" s="3" t="s">
        <v>348</v>
      </c>
      <c r="E72" t="s">
        <v>1198</v>
      </c>
      <c r="F72" t="s">
        <v>574</v>
      </c>
    </row>
    <row r="73" spans="4:6">
      <c r="D73" s="3" t="s">
        <v>349</v>
      </c>
      <c r="E73" t="s">
        <v>1199</v>
      </c>
      <c r="F73" t="s">
        <v>575</v>
      </c>
    </row>
    <row r="74" spans="4:6">
      <c r="D74" s="3" t="s">
        <v>350</v>
      </c>
      <c r="E74" t="s">
        <v>1200</v>
      </c>
      <c r="F74" t="s">
        <v>576</v>
      </c>
    </row>
    <row r="75" spans="4:6">
      <c r="D75" s="3" t="s">
        <v>351</v>
      </c>
      <c r="E75" t="s">
        <v>1201</v>
      </c>
      <c r="F75" t="s">
        <v>577</v>
      </c>
    </row>
    <row r="76" spans="4:6">
      <c r="D76" s="3" t="s">
        <v>352</v>
      </c>
      <c r="E76" t="s">
        <v>1202</v>
      </c>
      <c r="F76" t="s">
        <v>578</v>
      </c>
    </row>
    <row r="77" spans="4:6">
      <c r="D77" t="s">
        <v>203</v>
      </c>
      <c r="E77" t="s">
        <v>1203</v>
      </c>
      <c r="F77" t="s">
        <v>579</v>
      </c>
    </row>
    <row r="78" spans="4:6">
      <c r="D78" t="s">
        <v>204</v>
      </c>
      <c r="E78" t="s">
        <v>1204</v>
      </c>
      <c r="F78" t="s">
        <v>580</v>
      </c>
    </row>
    <row r="79" spans="4:6">
      <c r="D79" t="s">
        <v>353</v>
      </c>
      <c r="E79" t="s">
        <v>1205</v>
      </c>
      <c r="F79" t="s">
        <v>581</v>
      </c>
    </row>
    <row r="80" spans="4:6">
      <c r="D80" t="s">
        <v>354</v>
      </c>
      <c r="E80" t="s">
        <v>1206</v>
      </c>
      <c r="F80" t="s">
        <v>582</v>
      </c>
    </row>
    <row r="81" spans="4:6">
      <c r="D81" s="3" t="s">
        <v>355</v>
      </c>
      <c r="E81" t="s">
        <v>1207</v>
      </c>
      <c r="F81" t="s">
        <v>583</v>
      </c>
    </row>
    <row r="82" spans="4:6">
      <c r="D82" t="s">
        <v>205</v>
      </c>
      <c r="E82" t="s">
        <v>1208</v>
      </c>
      <c r="F82" t="s">
        <v>584</v>
      </c>
    </row>
    <row r="83" spans="4:6">
      <c r="D83" t="s">
        <v>356</v>
      </c>
      <c r="E83" t="s">
        <v>1209</v>
      </c>
      <c r="F83" t="s">
        <v>585</v>
      </c>
    </row>
    <row r="84" spans="4:6">
      <c r="D84" t="s">
        <v>206</v>
      </c>
      <c r="E84" t="s">
        <v>1210</v>
      </c>
      <c r="F84" t="s">
        <v>586</v>
      </c>
    </row>
    <row r="85" spans="4:6">
      <c r="D85" t="s">
        <v>207</v>
      </c>
      <c r="E85" t="s">
        <v>1211</v>
      </c>
      <c r="F85" t="s">
        <v>587</v>
      </c>
    </row>
    <row r="86" spans="4:6">
      <c r="D86" s="3" t="s">
        <v>357</v>
      </c>
      <c r="E86" t="s">
        <v>1212</v>
      </c>
      <c r="F86" t="s">
        <v>588</v>
      </c>
    </row>
    <row r="87" spans="4:6">
      <c r="D87" t="s">
        <v>358</v>
      </c>
      <c r="E87" t="s">
        <v>1213</v>
      </c>
      <c r="F87" t="s">
        <v>589</v>
      </c>
    </row>
    <row r="88" spans="4:6">
      <c r="D88" t="s">
        <v>208</v>
      </c>
      <c r="E88" t="s">
        <v>1214</v>
      </c>
      <c r="F88" t="s">
        <v>590</v>
      </c>
    </row>
    <row r="89" spans="4:6">
      <c r="D89" t="s">
        <v>359</v>
      </c>
      <c r="E89" t="s">
        <v>1215</v>
      </c>
      <c r="F89" t="s">
        <v>591</v>
      </c>
    </row>
    <row r="90" spans="4:6">
      <c r="D90" s="3" t="s">
        <v>360</v>
      </c>
      <c r="E90" t="s">
        <v>1216</v>
      </c>
      <c r="F90" t="s">
        <v>592</v>
      </c>
    </row>
    <row r="91" spans="4:6">
      <c r="D91" t="s">
        <v>361</v>
      </c>
      <c r="E91" t="s">
        <v>1217</v>
      </c>
      <c r="F91" t="s">
        <v>593</v>
      </c>
    </row>
    <row r="92" spans="4:6">
      <c r="D92" t="s">
        <v>362</v>
      </c>
      <c r="E92" t="s">
        <v>1218</v>
      </c>
      <c r="F92" t="s">
        <v>594</v>
      </c>
    </row>
    <row r="93" spans="4:6">
      <c r="D93" t="s">
        <v>363</v>
      </c>
      <c r="E93" t="s">
        <v>1219</v>
      </c>
      <c r="F93" t="s">
        <v>595</v>
      </c>
    </row>
    <row r="94" spans="4:6">
      <c r="D94" s="3" t="s">
        <v>364</v>
      </c>
      <c r="E94" t="s">
        <v>1220</v>
      </c>
      <c r="F94" t="s">
        <v>596</v>
      </c>
    </row>
    <row r="95" spans="4:6">
      <c r="D95" t="s">
        <v>365</v>
      </c>
      <c r="E95" t="s">
        <v>1221</v>
      </c>
      <c r="F95" t="s">
        <v>597</v>
      </c>
    </row>
    <row r="96" spans="4:6">
      <c r="D96" t="s">
        <v>209</v>
      </c>
      <c r="E96" t="s">
        <v>1222</v>
      </c>
      <c r="F96" t="s">
        <v>598</v>
      </c>
    </row>
    <row r="97" spans="4:6">
      <c r="D97" t="s">
        <v>210</v>
      </c>
      <c r="E97" t="s">
        <v>1223</v>
      </c>
      <c r="F97" t="s">
        <v>599</v>
      </c>
    </row>
    <row r="98" spans="4:6">
      <c r="D98" s="3" t="s">
        <v>366</v>
      </c>
      <c r="E98" t="s">
        <v>1224</v>
      </c>
      <c r="F98" t="s">
        <v>600</v>
      </c>
    </row>
    <row r="99" spans="4:6">
      <c r="D99" s="3" t="s">
        <v>367</v>
      </c>
      <c r="E99" t="s">
        <v>1225</v>
      </c>
      <c r="F99" t="s">
        <v>601</v>
      </c>
    </row>
    <row r="100" spans="4:6">
      <c r="D100" t="s">
        <v>211</v>
      </c>
      <c r="E100" t="s">
        <v>1226</v>
      </c>
      <c r="F100" t="s">
        <v>602</v>
      </c>
    </row>
    <row r="101" spans="4:6">
      <c r="D101" t="s">
        <v>212</v>
      </c>
      <c r="E101" t="s">
        <v>1227</v>
      </c>
      <c r="F101" t="s">
        <v>603</v>
      </c>
    </row>
    <row r="102" spans="4:6">
      <c r="D102" t="s">
        <v>213</v>
      </c>
      <c r="E102" t="s">
        <v>1228</v>
      </c>
      <c r="F102" t="s">
        <v>604</v>
      </c>
    </row>
    <row r="103" spans="4:6">
      <c r="D103" t="s">
        <v>214</v>
      </c>
      <c r="E103" t="s">
        <v>1229</v>
      </c>
      <c r="F103" t="s">
        <v>605</v>
      </c>
    </row>
    <row r="104" spans="4:6">
      <c r="D104" t="s">
        <v>368</v>
      </c>
      <c r="E104" t="s">
        <v>1230</v>
      </c>
      <c r="F104" t="s">
        <v>606</v>
      </c>
    </row>
    <row r="105" spans="4:6">
      <c r="D105" t="s">
        <v>369</v>
      </c>
      <c r="E105" t="s">
        <v>1231</v>
      </c>
      <c r="F105" t="s">
        <v>607</v>
      </c>
    </row>
    <row r="106" spans="4:6">
      <c r="D106" s="3" t="s">
        <v>370</v>
      </c>
      <c r="E106" t="s">
        <v>1232</v>
      </c>
      <c r="F106" t="s">
        <v>608</v>
      </c>
    </row>
    <row r="107" spans="4:6">
      <c r="D107" t="s">
        <v>371</v>
      </c>
      <c r="E107" t="s">
        <v>1233</v>
      </c>
      <c r="F107" t="s">
        <v>609</v>
      </c>
    </row>
    <row r="108" spans="4:6">
      <c r="D108" t="s">
        <v>372</v>
      </c>
      <c r="E108" t="s">
        <v>1234</v>
      </c>
      <c r="F108" t="s">
        <v>610</v>
      </c>
    </row>
    <row r="109" spans="4:6">
      <c r="D109" t="s">
        <v>215</v>
      </c>
      <c r="E109" t="s">
        <v>1235</v>
      </c>
      <c r="F109" t="s">
        <v>611</v>
      </c>
    </row>
    <row r="110" spans="4:6">
      <c r="D110" s="3" t="s">
        <v>373</v>
      </c>
      <c r="E110" t="s">
        <v>1236</v>
      </c>
      <c r="F110" t="s">
        <v>612</v>
      </c>
    </row>
    <row r="111" spans="4:6">
      <c r="D111" s="3" t="s">
        <v>374</v>
      </c>
      <c r="E111" t="s">
        <v>1237</v>
      </c>
      <c r="F111" t="s">
        <v>613</v>
      </c>
    </row>
    <row r="112" spans="4:6">
      <c r="D112" t="s">
        <v>375</v>
      </c>
      <c r="E112" t="s">
        <v>1238</v>
      </c>
      <c r="F112" t="s">
        <v>614</v>
      </c>
    </row>
    <row r="113" spans="4:6">
      <c r="D113" t="s">
        <v>216</v>
      </c>
      <c r="E113" t="s">
        <v>1239</v>
      </c>
      <c r="F113" t="s">
        <v>615</v>
      </c>
    </row>
    <row r="114" spans="4:6">
      <c r="D114" t="s">
        <v>376</v>
      </c>
      <c r="E114" t="s">
        <v>1240</v>
      </c>
      <c r="F114" t="s">
        <v>616</v>
      </c>
    </row>
    <row r="115" spans="4:6">
      <c r="D115" t="s">
        <v>217</v>
      </c>
      <c r="E115" t="s">
        <v>1241</v>
      </c>
      <c r="F115" t="s">
        <v>617</v>
      </c>
    </row>
    <row r="116" spans="4:6">
      <c r="D116" t="s">
        <v>218</v>
      </c>
      <c r="E116" t="s">
        <v>1242</v>
      </c>
      <c r="F116" t="s">
        <v>618</v>
      </c>
    </row>
    <row r="117" spans="4:6">
      <c r="D117" t="s">
        <v>219</v>
      </c>
      <c r="E117" t="s">
        <v>1243</v>
      </c>
      <c r="F117" t="s">
        <v>619</v>
      </c>
    </row>
    <row r="118" spans="4:6">
      <c r="D118" t="s">
        <v>220</v>
      </c>
      <c r="E118" t="s">
        <v>1244</v>
      </c>
      <c r="F118" t="s">
        <v>620</v>
      </c>
    </row>
    <row r="119" spans="4:6">
      <c r="D119" t="s">
        <v>221</v>
      </c>
      <c r="E119" t="s">
        <v>1245</v>
      </c>
      <c r="F119" t="s">
        <v>621</v>
      </c>
    </row>
    <row r="120" spans="4:6">
      <c r="D120" t="s">
        <v>222</v>
      </c>
      <c r="E120" t="s">
        <v>1246</v>
      </c>
      <c r="F120" t="s">
        <v>622</v>
      </c>
    </row>
    <row r="121" spans="4:6">
      <c r="D121" t="s">
        <v>377</v>
      </c>
      <c r="E121" t="s">
        <v>1247</v>
      </c>
      <c r="F121" t="s">
        <v>623</v>
      </c>
    </row>
    <row r="122" spans="4:6">
      <c r="D122" s="3" t="s">
        <v>378</v>
      </c>
      <c r="E122" t="s">
        <v>1248</v>
      </c>
      <c r="F122" t="s">
        <v>624</v>
      </c>
    </row>
    <row r="123" spans="4:6">
      <c r="D123" t="s">
        <v>223</v>
      </c>
      <c r="E123" t="s">
        <v>1249</v>
      </c>
      <c r="F123" t="s">
        <v>625</v>
      </c>
    </row>
    <row r="124" spans="4:6">
      <c r="D124" t="s">
        <v>224</v>
      </c>
      <c r="E124" t="s">
        <v>1250</v>
      </c>
      <c r="F124" t="s">
        <v>626</v>
      </c>
    </row>
    <row r="125" spans="4:6">
      <c r="D125" s="3" t="s">
        <v>379</v>
      </c>
      <c r="E125" t="s">
        <v>1251</v>
      </c>
      <c r="F125" t="s">
        <v>627</v>
      </c>
    </row>
    <row r="126" spans="4:6">
      <c r="D126" t="s">
        <v>380</v>
      </c>
      <c r="E126" t="s">
        <v>1252</v>
      </c>
      <c r="F126" t="s">
        <v>628</v>
      </c>
    </row>
    <row r="127" spans="4:6">
      <c r="D127" s="3" t="s">
        <v>381</v>
      </c>
      <c r="E127" t="s">
        <v>1253</v>
      </c>
      <c r="F127" t="s">
        <v>629</v>
      </c>
    </row>
    <row r="128" spans="4:6">
      <c r="D128" t="s">
        <v>382</v>
      </c>
      <c r="E128" t="s">
        <v>1254</v>
      </c>
      <c r="F128" t="s">
        <v>630</v>
      </c>
    </row>
    <row r="129" spans="4:6">
      <c r="D129" t="s">
        <v>225</v>
      </c>
      <c r="E129" t="s">
        <v>1255</v>
      </c>
      <c r="F129" t="s">
        <v>631</v>
      </c>
    </row>
    <row r="130" spans="4:6">
      <c r="D130" s="3" t="s">
        <v>383</v>
      </c>
      <c r="E130" t="s">
        <v>1256</v>
      </c>
      <c r="F130" t="s">
        <v>632</v>
      </c>
    </row>
    <row r="131" spans="4:6">
      <c r="D131" s="3" t="s">
        <v>384</v>
      </c>
      <c r="E131" t="s">
        <v>1257</v>
      </c>
      <c r="F131" t="s">
        <v>633</v>
      </c>
    </row>
    <row r="132" spans="4:6">
      <c r="D132" t="s">
        <v>226</v>
      </c>
      <c r="E132" t="s">
        <v>1258</v>
      </c>
      <c r="F132" t="s">
        <v>634</v>
      </c>
    </row>
    <row r="133" spans="4:6">
      <c r="D133" t="s">
        <v>385</v>
      </c>
      <c r="E133" t="s">
        <v>1259</v>
      </c>
      <c r="F133" t="s">
        <v>635</v>
      </c>
    </row>
    <row r="134" spans="4:6">
      <c r="D134" t="s">
        <v>386</v>
      </c>
      <c r="E134" t="s">
        <v>1260</v>
      </c>
      <c r="F134" t="s">
        <v>636</v>
      </c>
    </row>
    <row r="135" spans="4:6">
      <c r="D135" t="s">
        <v>387</v>
      </c>
      <c r="E135" t="s">
        <v>1261</v>
      </c>
      <c r="F135" t="s">
        <v>637</v>
      </c>
    </row>
    <row r="136" spans="4:6">
      <c r="D136" t="s">
        <v>388</v>
      </c>
      <c r="E136" t="s">
        <v>1262</v>
      </c>
      <c r="F136" t="s">
        <v>638</v>
      </c>
    </row>
    <row r="137" spans="4:6">
      <c r="D137" t="s">
        <v>389</v>
      </c>
      <c r="E137" t="s">
        <v>1263</v>
      </c>
      <c r="F137" t="s">
        <v>639</v>
      </c>
    </row>
    <row r="138" spans="4:6">
      <c r="D138" t="s">
        <v>227</v>
      </c>
      <c r="E138" t="s">
        <v>1264</v>
      </c>
      <c r="F138" t="s">
        <v>640</v>
      </c>
    </row>
    <row r="139" spans="4:6">
      <c r="D139" t="s">
        <v>228</v>
      </c>
      <c r="E139" t="s">
        <v>1265</v>
      </c>
      <c r="F139" t="s">
        <v>641</v>
      </c>
    </row>
    <row r="140" spans="4:6">
      <c r="D140" t="s">
        <v>229</v>
      </c>
      <c r="E140" t="s">
        <v>1266</v>
      </c>
      <c r="F140" t="s">
        <v>642</v>
      </c>
    </row>
    <row r="141" spans="4:6">
      <c r="D141" s="3" t="s">
        <v>390</v>
      </c>
      <c r="E141" t="s">
        <v>1267</v>
      </c>
      <c r="F141" t="s">
        <v>643</v>
      </c>
    </row>
    <row r="142" spans="4:6">
      <c r="D142" s="3" t="s">
        <v>391</v>
      </c>
      <c r="E142" t="s">
        <v>1268</v>
      </c>
      <c r="F142" t="s">
        <v>644</v>
      </c>
    </row>
    <row r="143" spans="4:6">
      <c r="D143" t="s">
        <v>392</v>
      </c>
      <c r="E143" t="s">
        <v>1269</v>
      </c>
      <c r="F143" t="s">
        <v>645</v>
      </c>
    </row>
    <row r="144" spans="4:6">
      <c r="D144" s="3" t="s">
        <v>393</v>
      </c>
      <c r="E144" t="s">
        <v>1270</v>
      </c>
      <c r="F144" t="s">
        <v>646</v>
      </c>
    </row>
    <row r="145" spans="4:6">
      <c r="D145" t="s">
        <v>394</v>
      </c>
      <c r="E145" t="s">
        <v>1271</v>
      </c>
      <c r="F145" t="s">
        <v>647</v>
      </c>
    </row>
    <row r="146" spans="4:6">
      <c r="D146" t="s">
        <v>230</v>
      </c>
      <c r="E146" t="s">
        <v>1272</v>
      </c>
      <c r="F146" t="s">
        <v>648</v>
      </c>
    </row>
    <row r="147" spans="4:6">
      <c r="D147" s="3" t="s">
        <v>395</v>
      </c>
      <c r="E147" t="s">
        <v>1273</v>
      </c>
      <c r="F147" t="s">
        <v>649</v>
      </c>
    </row>
    <row r="148" spans="4:6">
      <c r="D148" t="s">
        <v>231</v>
      </c>
      <c r="E148" t="s">
        <v>1274</v>
      </c>
      <c r="F148" t="s">
        <v>650</v>
      </c>
    </row>
    <row r="149" spans="4:6">
      <c r="D149" s="3" t="s">
        <v>396</v>
      </c>
      <c r="E149" t="s">
        <v>1275</v>
      </c>
      <c r="F149" t="s">
        <v>651</v>
      </c>
    </row>
    <row r="150" spans="4:6">
      <c r="D150" s="3" t="s">
        <v>397</v>
      </c>
      <c r="E150" t="s">
        <v>1276</v>
      </c>
      <c r="F150" t="s">
        <v>652</v>
      </c>
    </row>
    <row r="151" spans="4:6">
      <c r="D151" s="3" t="s">
        <v>398</v>
      </c>
      <c r="E151" t="s">
        <v>1277</v>
      </c>
      <c r="F151" t="s">
        <v>653</v>
      </c>
    </row>
    <row r="152" spans="4:6">
      <c r="D152" t="s">
        <v>399</v>
      </c>
      <c r="E152" t="s">
        <v>1278</v>
      </c>
      <c r="F152" t="s">
        <v>654</v>
      </c>
    </row>
    <row r="153" spans="4:6">
      <c r="D153" t="s">
        <v>232</v>
      </c>
      <c r="E153" t="s">
        <v>1279</v>
      </c>
      <c r="F153" t="s">
        <v>655</v>
      </c>
    </row>
    <row r="154" spans="4:6">
      <c r="D154" t="s">
        <v>400</v>
      </c>
      <c r="E154" t="s">
        <v>1280</v>
      </c>
      <c r="F154" t="s">
        <v>656</v>
      </c>
    </row>
    <row r="155" spans="4:6">
      <c r="D155" s="3" t="s">
        <v>401</v>
      </c>
      <c r="E155" t="s">
        <v>1281</v>
      </c>
      <c r="F155" t="s">
        <v>657</v>
      </c>
    </row>
    <row r="156" spans="4:6">
      <c r="D156" t="s">
        <v>233</v>
      </c>
      <c r="E156" t="s">
        <v>1282</v>
      </c>
      <c r="F156" t="s">
        <v>658</v>
      </c>
    </row>
    <row r="157" spans="4:6">
      <c r="D157" s="3" t="s">
        <v>402</v>
      </c>
      <c r="E157" t="s">
        <v>1283</v>
      </c>
      <c r="F157" t="s">
        <v>659</v>
      </c>
    </row>
    <row r="158" spans="4:6">
      <c r="D158" t="s">
        <v>234</v>
      </c>
      <c r="E158" t="s">
        <v>1284</v>
      </c>
      <c r="F158" t="s">
        <v>660</v>
      </c>
    </row>
    <row r="159" spans="4:6">
      <c r="D159" s="3" t="s">
        <v>403</v>
      </c>
      <c r="E159" t="s">
        <v>1285</v>
      </c>
      <c r="F159" t="s">
        <v>661</v>
      </c>
    </row>
    <row r="160" spans="4:6">
      <c r="D160" t="s">
        <v>404</v>
      </c>
      <c r="E160" t="s">
        <v>1286</v>
      </c>
      <c r="F160" t="s">
        <v>662</v>
      </c>
    </row>
    <row r="161" spans="4:6">
      <c r="D161" s="3" t="s">
        <v>405</v>
      </c>
      <c r="E161" t="s">
        <v>1287</v>
      </c>
      <c r="F161" t="s">
        <v>663</v>
      </c>
    </row>
    <row r="162" spans="4:6">
      <c r="D162" t="s">
        <v>406</v>
      </c>
      <c r="E162" t="s">
        <v>1288</v>
      </c>
      <c r="F162" t="s">
        <v>664</v>
      </c>
    </row>
    <row r="163" spans="4:6">
      <c r="D163" t="s">
        <v>407</v>
      </c>
      <c r="E163" t="s">
        <v>1289</v>
      </c>
      <c r="F163" t="s">
        <v>665</v>
      </c>
    </row>
    <row r="164" spans="4:6">
      <c r="D164" s="3" t="s">
        <v>408</v>
      </c>
      <c r="E164" t="s">
        <v>1290</v>
      </c>
      <c r="F164" t="s">
        <v>666</v>
      </c>
    </row>
    <row r="165" spans="4:6">
      <c r="D165" t="s">
        <v>409</v>
      </c>
      <c r="E165" t="s">
        <v>1291</v>
      </c>
      <c r="F165" t="s">
        <v>667</v>
      </c>
    </row>
    <row r="166" spans="4:6">
      <c r="D166" t="s">
        <v>410</v>
      </c>
      <c r="E166" t="s">
        <v>1231</v>
      </c>
      <c r="F166" t="s">
        <v>607</v>
      </c>
    </row>
    <row r="167" spans="4:6">
      <c r="D167" t="s">
        <v>411</v>
      </c>
      <c r="E167" t="s">
        <v>1292</v>
      </c>
      <c r="F167" t="s">
        <v>668</v>
      </c>
    </row>
    <row r="168" spans="4:6">
      <c r="D168" s="3" t="s">
        <v>412</v>
      </c>
      <c r="E168" t="s">
        <v>1293</v>
      </c>
      <c r="F168" t="s">
        <v>669</v>
      </c>
    </row>
    <row r="169" spans="4:6">
      <c r="D169" s="3" t="s">
        <v>413</v>
      </c>
      <c r="E169" t="s">
        <v>1294</v>
      </c>
      <c r="F169" t="s">
        <v>670</v>
      </c>
    </row>
    <row r="170" spans="4:6">
      <c r="D170" t="s">
        <v>414</v>
      </c>
      <c r="E170" t="s">
        <v>1295</v>
      </c>
      <c r="F170" t="s">
        <v>671</v>
      </c>
    </row>
    <row r="171" spans="4:6">
      <c r="D171" t="s">
        <v>415</v>
      </c>
      <c r="E171" t="s">
        <v>1296</v>
      </c>
      <c r="F171" t="s">
        <v>672</v>
      </c>
    </row>
    <row r="172" spans="4:6">
      <c r="D172" t="s">
        <v>235</v>
      </c>
      <c r="E172" t="s">
        <v>1297</v>
      </c>
      <c r="F172" t="s">
        <v>673</v>
      </c>
    </row>
    <row r="173" spans="4:6">
      <c r="D173" s="3" t="s">
        <v>416</v>
      </c>
      <c r="E173" t="s">
        <v>1298</v>
      </c>
      <c r="F173" t="s">
        <v>674</v>
      </c>
    </row>
    <row r="174" spans="4:6">
      <c r="D174" t="s">
        <v>236</v>
      </c>
      <c r="E174" t="s">
        <v>1299</v>
      </c>
      <c r="F174" t="s">
        <v>675</v>
      </c>
    </row>
    <row r="175" spans="4:6">
      <c r="D175" t="s">
        <v>417</v>
      </c>
      <c r="E175" t="s">
        <v>1300</v>
      </c>
      <c r="F175" t="s">
        <v>676</v>
      </c>
    </row>
    <row r="176" spans="4:6">
      <c r="D176" t="s">
        <v>418</v>
      </c>
      <c r="E176" t="s">
        <v>1301</v>
      </c>
      <c r="F176" t="s">
        <v>677</v>
      </c>
    </row>
    <row r="177" spans="4:6">
      <c r="D177" t="s">
        <v>419</v>
      </c>
      <c r="E177" t="s">
        <v>1302</v>
      </c>
      <c r="F177" t="s">
        <v>678</v>
      </c>
    </row>
    <row r="178" spans="4:6">
      <c r="D178" t="s">
        <v>420</v>
      </c>
      <c r="E178" t="s">
        <v>1303</v>
      </c>
      <c r="F178" t="s">
        <v>679</v>
      </c>
    </row>
    <row r="179" spans="4:6">
      <c r="D179" t="s">
        <v>237</v>
      </c>
      <c r="E179" t="s">
        <v>1304</v>
      </c>
      <c r="F179" t="s">
        <v>680</v>
      </c>
    </row>
    <row r="180" spans="4:6">
      <c r="D180" s="3" t="s">
        <v>421</v>
      </c>
      <c r="E180" t="s">
        <v>1305</v>
      </c>
      <c r="F180" t="s">
        <v>681</v>
      </c>
    </row>
    <row r="181" spans="4:6">
      <c r="D181" t="s">
        <v>238</v>
      </c>
      <c r="E181" t="s">
        <v>1306</v>
      </c>
      <c r="F181" t="s">
        <v>682</v>
      </c>
    </row>
    <row r="182" spans="4:6">
      <c r="D182" t="s">
        <v>239</v>
      </c>
      <c r="E182" t="s">
        <v>1307</v>
      </c>
      <c r="F182" t="s">
        <v>683</v>
      </c>
    </row>
    <row r="183" spans="4:6">
      <c r="D183" t="s">
        <v>240</v>
      </c>
      <c r="E183" t="s">
        <v>1308</v>
      </c>
      <c r="F183" t="s">
        <v>684</v>
      </c>
    </row>
    <row r="184" spans="4:6">
      <c r="D184" t="s">
        <v>422</v>
      </c>
      <c r="E184" t="s">
        <v>1309</v>
      </c>
      <c r="F184" t="s">
        <v>685</v>
      </c>
    </row>
    <row r="185" spans="4:6">
      <c r="D185" t="s">
        <v>241</v>
      </c>
      <c r="E185" t="s">
        <v>1310</v>
      </c>
      <c r="F185" t="s">
        <v>686</v>
      </c>
    </row>
    <row r="186" spans="4:6">
      <c r="D186" t="s">
        <v>242</v>
      </c>
      <c r="E186" t="s">
        <v>1311</v>
      </c>
      <c r="F186" t="s">
        <v>687</v>
      </c>
    </row>
    <row r="187" spans="4:6">
      <c r="D187" t="s">
        <v>243</v>
      </c>
      <c r="E187" t="s">
        <v>1312</v>
      </c>
      <c r="F187" t="s">
        <v>688</v>
      </c>
    </row>
    <row r="188" spans="4:6">
      <c r="D188" t="s">
        <v>244</v>
      </c>
      <c r="E188" t="s">
        <v>1313</v>
      </c>
      <c r="F188" t="s">
        <v>689</v>
      </c>
    </row>
    <row r="189" spans="4:6">
      <c r="D189" s="3" t="s">
        <v>423</v>
      </c>
      <c r="E189" t="s">
        <v>1314</v>
      </c>
      <c r="F189" t="s">
        <v>690</v>
      </c>
    </row>
    <row r="190" spans="4:6">
      <c r="D190" t="s">
        <v>424</v>
      </c>
      <c r="E190" t="s">
        <v>1315</v>
      </c>
      <c r="F190" t="s">
        <v>691</v>
      </c>
    </row>
    <row r="191" spans="4:6">
      <c r="D191" t="s">
        <v>245</v>
      </c>
      <c r="E191" t="s">
        <v>1316</v>
      </c>
      <c r="F191" t="s">
        <v>692</v>
      </c>
    </row>
    <row r="192" spans="4:6">
      <c r="D192" t="s">
        <v>425</v>
      </c>
      <c r="E192" t="s">
        <v>1317</v>
      </c>
      <c r="F192" t="s">
        <v>693</v>
      </c>
    </row>
    <row r="193" spans="4:6">
      <c r="D193" t="s">
        <v>426</v>
      </c>
      <c r="E193" t="s">
        <v>1318</v>
      </c>
      <c r="F193" t="s">
        <v>694</v>
      </c>
    </row>
    <row r="194" spans="4:6">
      <c r="D194" t="s">
        <v>246</v>
      </c>
      <c r="E194" t="s">
        <v>1319</v>
      </c>
      <c r="F194" t="s">
        <v>695</v>
      </c>
    </row>
    <row r="195" spans="4:6">
      <c r="D195" t="s">
        <v>427</v>
      </c>
      <c r="E195" t="s">
        <v>1320</v>
      </c>
      <c r="F195" t="s">
        <v>696</v>
      </c>
    </row>
    <row r="196" spans="4:6">
      <c r="D196" t="s">
        <v>247</v>
      </c>
      <c r="E196" t="s">
        <v>1321</v>
      </c>
      <c r="F196" t="s">
        <v>697</v>
      </c>
    </row>
    <row r="197" spans="4:6">
      <c r="D197" s="3" t="s">
        <v>428</v>
      </c>
      <c r="E197" t="s">
        <v>1322</v>
      </c>
      <c r="F197" t="s">
        <v>698</v>
      </c>
    </row>
    <row r="198" spans="4:6">
      <c r="D198" t="s">
        <v>248</v>
      </c>
      <c r="E198" t="s">
        <v>1323</v>
      </c>
      <c r="F198" t="s">
        <v>699</v>
      </c>
    </row>
    <row r="199" spans="4:6">
      <c r="D199" t="s">
        <v>249</v>
      </c>
      <c r="E199" t="s">
        <v>1324</v>
      </c>
      <c r="F199" t="s">
        <v>700</v>
      </c>
    </row>
    <row r="200" spans="4:6">
      <c r="D200" t="s">
        <v>429</v>
      </c>
      <c r="E200" t="s">
        <v>1325</v>
      </c>
      <c r="F200" t="s">
        <v>701</v>
      </c>
    </row>
    <row r="201" spans="4:6">
      <c r="D201" t="s">
        <v>430</v>
      </c>
      <c r="E201" t="s">
        <v>1326</v>
      </c>
      <c r="F201" t="s">
        <v>702</v>
      </c>
    </row>
    <row r="202" spans="4:6">
      <c r="D202" s="3" t="s">
        <v>431</v>
      </c>
      <c r="E202" t="s">
        <v>1327</v>
      </c>
      <c r="F202" t="s">
        <v>703</v>
      </c>
    </row>
    <row r="203" spans="4:6">
      <c r="D203" s="3" t="s">
        <v>432</v>
      </c>
      <c r="E203" t="s">
        <v>1328</v>
      </c>
      <c r="F203" t="s">
        <v>704</v>
      </c>
    </row>
    <row r="204" spans="4:6">
      <c r="D204" t="s">
        <v>250</v>
      </c>
      <c r="E204" t="s">
        <v>1329</v>
      </c>
      <c r="F204" t="s">
        <v>705</v>
      </c>
    </row>
    <row r="205" spans="4:6">
      <c r="D205" t="s">
        <v>433</v>
      </c>
      <c r="E205" t="s">
        <v>1330</v>
      </c>
      <c r="F205" t="s">
        <v>706</v>
      </c>
    </row>
    <row r="206" spans="4:6">
      <c r="D206" t="s">
        <v>251</v>
      </c>
      <c r="E206" t="s">
        <v>1331</v>
      </c>
      <c r="F206" t="s">
        <v>707</v>
      </c>
    </row>
    <row r="207" spans="4:6">
      <c r="D207" t="s">
        <v>252</v>
      </c>
      <c r="E207" t="s">
        <v>1332</v>
      </c>
      <c r="F207" t="s">
        <v>708</v>
      </c>
    </row>
    <row r="208" spans="4:6">
      <c r="D208" t="s">
        <v>253</v>
      </c>
      <c r="E208" t="s">
        <v>1333</v>
      </c>
      <c r="F208" t="s">
        <v>709</v>
      </c>
    </row>
    <row r="209" spans="4:6">
      <c r="D209" t="s">
        <v>434</v>
      </c>
      <c r="E209" t="s">
        <v>1334</v>
      </c>
      <c r="F209" t="s">
        <v>710</v>
      </c>
    </row>
    <row r="210" spans="4:6">
      <c r="D210" s="3" t="s">
        <v>435</v>
      </c>
      <c r="E210" t="s">
        <v>1335</v>
      </c>
      <c r="F210" t="s">
        <v>711</v>
      </c>
    </row>
    <row r="211" spans="4:6">
      <c r="D211" t="s">
        <v>254</v>
      </c>
      <c r="E211" t="s">
        <v>1336</v>
      </c>
      <c r="F211" t="s">
        <v>712</v>
      </c>
    </row>
    <row r="212" spans="4:6">
      <c r="D212" t="s">
        <v>255</v>
      </c>
      <c r="E212" t="s">
        <v>1337</v>
      </c>
      <c r="F212" t="s">
        <v>713</v>
      </c>
    </row>
    <row r="213" spans="4:6">
      <c r="D213" t="s">
        <v>256</v>
      </c>
      <c r="E213" t="s">
        <v>1338</v>
      </c>
      <c r="F213" t="s">
        <v>714</v>
      </c>
    </row>
    <row r="214" spans="4:6">
      <c r="D214" t="s">
        <v>257</v>
      </c>
      <c r="E214" t="s">
        <v>1339</v>
      </c>
      <c r="F214" t="s">
        <v>715</v>
      </c>
    </row>
    <row r="215" spans="4:6">
      <c r="D215" t="s">
        <v>436</v>
      </c>
      <c r="E215" t="s">
        <v>1340</v>
      </c>
      <c r="F215" t="s">
        <v>716</v>
      </c>
    </row>
    <row r="216" spans="4:6">
      <c r="D216" t="s">
        <v>258</v>
      </c>
      <c r="E216" t="s">
        <v>1341</v>
      </c>
      <c r="F216" t="s">
        <v>717</v>
      </c>
    </row>
    <row r="217" spans="4:6">
      <c r="D217" t="s">
        <v>259</v>
      </c>
      <c r="E217" t="s">
        <v>1342</v>
      </c>
      <c r="F217" t="s">
        <v>718</v>
      </c>
    </row>
    <row r="218" spans="4:6">
      <c r="D218" t="s">
        <v>437</v>
      </c>
      <c r="E218" t="s">
        <v>1343</v>
      </c>
      <c r="F218" t="s">
        <v>719</v>
      </c>
    </row>
    <row r="219" spans="4:6">
      <c r="D219" s="3" t="s">
        <v>438</v>
      </c>
      <c r="E219" t="s">
        <v>1344</v>
      </c>
      <c r="F219" t="s">
        <v>720</v>
      </c>
    </row>
    <row r="220" spans="4:6">
      <c r="D220" s="3" t="s">
        <v>439</v>
      </c>
      <c r="E220" t="s">
        <v>1345</v>
      </c>
      <c r="F220" t="s">
        <v>721</v>
      </c>
    </row>
    <row r="221" spans="4:6">
      <c r="D221" s="3" t="s">
        <v>440</v>
      </c>
      <c r="E221" t="s">
        <v>1346</v>
      </c>
      <c r="F221" t="s">
        <v>722</v>
      </c>
    </row>
    <row r="222" spans="4:6">
      <c r="D222" t="s">
        <v>260</v>
      </c>
      <c r="E222" t="s">
        <v>1347</v>
      </c>
      <c r="F222" t="s">
        <v>723</v>
      </c>
    </row>
    <row r="223" spans="4:6">
      <c r="D223" s="3" t="s">
        <v>441</v>
      </c>
      <c r="E223" t="s">
        <v>1348</v>
      </c>
      <c r="F223" t="s">
        <v>724</v>
      </c>
    </row>
    <row r="224" spans="4:6">
      <c r="D224" t="s">
        <v>442</v>
      </c>
      <c r="E224" t="s">
        <v>1223</v>
      </c>
      <c r="F224" t="s">
        <v>599</v>
      </c>
    </row>
    <row r="225" spans="4:6">
      <c r="D225" s="3" t="s">
        <v>443</v>
      </c>
      <c r="E225" t="s">
        <v>1129</v>
      </c>
      <c r="F225" t="s">
        <v>505</v>
      </c>
    </row>
    <row r="226" spans="4:6">
      <c r="D226" t="s">
        <v>444</v>
      </c>
      <c r="E226" t="s">
        <v>1349</v>
      </c>
      <c r="F226" t="s">
        <v>725</v>
      </c>
    </row>
    <row r="227" spans="4:6">
      <c r="D227" s="3" t="s">
        <v>445</v>
      </c>
      <c r="E227" t="s">
        <v>1350</v>
      </c>
      <c r="F227" t="s">
        <v>726</v>
      </c>
    </row>
    <row r="228" spans="4:6">
      <c r="D228" t="s">
        <v>446</v>
      </c>
      <c r="E228" t="s">
        <v>1351</v>
      </c>
      <c r="F228" t="s">
        <v>727</v>
      </c>
    </row>
    <row r="229" spans="4:6">
      <c r="D229" t="s">
        <v>447</v>
      </c>
      <c r="E229" t="s">
        <v>1352</v>
      </c>
      <c r="F229" t="s">
        <v>728</v>
      </c>
    </row>
    <row r="230" spans="4:6">
      <c r="D230" t="s">
        <v>448</v>
      </c>
      <c r="E230" t="s">
        <v>1353</v>
      </c>
      <c r="F230" t="s">
        <v>729</v>
      </c>
    </row>
    <row r="231" spans="4:6">
      <c r="D231" s="3" t="s">
        <v>449</v>
      </c>
      <c r="E231" t="s">
        <v>1354</v>
      </c>
      <c r="F231" t="s">
        <v>730</v>
      </c>
    </row>
    <row r="232" spans="4:6">
      <c r="D232" t="s">
        <v>261</v>
      </c>
      <c r="E232" t="s">
        <v>1355</v>
      </c>
      <c r="F232" t="s">
        <v>731</v>
      </c>
    </row>
    <row r="233" spans="4:6">
      <c r="D233" t="s">
        <v>450</v>
      </c>
      <c r="E233" t="s">
        <v>1356</v>
      </c>
      <c r="F233" t="s">
        <v>732</v>
      </c>
    </row>
    <row r="234" spans="4:6">
      <c r="D234" t="s">
        <v>262</v>
      </c>
      <c r="E234" t="s">
        <v>1357</v>
      </c>
      <c r="F234" t="s">
        <v>733</v>
      </c>
    </row>
    <row r="235" spans="4:6">
      <c r="D235" t="s">
        <v>263</v>
      </c>
      <c r="E235" t="s">
        <v>1358</v>
      </c>
      <c r="F235" t="s">
        <v>734</v>
      </c>
    </row>
    <row r="236" spans="4:6">
      <c r="D236" s="3" t="s">
        <v>451</v>
      </c>
      <c r="E236" t="s">
        <v>1359</v>
      </c>
      <c r="F236" t="s">
        <v>735</v>
      </c>
    </row>
    <row r="237" spans="4:6">
      <c r="D237" t="s">
        <v>264</v>
      </c>
      <c r="E237" t="s">
        <v>1360</v>
      </c>
      <c r="F237" t="s">
        <v>736</v>
      </c>
    </row>
    <row r="238" spans="4:6">
      <c r="D238" t="s">
        <v>265</v>
      </c>
      <c r="E238" t="s">
        <v>1361</v>
      </c>
      <c r="F238" t="s">
        <v>737</v>
      </c>
    </row>
    <row r="239" spans="4:6">
      <c r="D239" t="s">
        <v>452</v>
      </c>
      <c r="E239" t="s">
        <v>1362</v>
      </c>
      <c r="F239" t="s">
        <v>738</v>
      </c>
    </row>
    <row r="240" spans="4:6">
      <c r="D240" t="s">
        <v>266</v>
      </c>
      <c r="E240" t="s">
        <v>1363</v>
      </c>
      <c r="F240" t="s">
        <v>739</v>
      </c>
    </row>
    <row r="241" spans="4:6">
      <c r="D241" t="s">
        <v>267</v>
      </c>
      <c r="E241" t="s">
        <v>1364</v>
      </c>
      <c r="F241" t="s">
        <v>740</v>
      </c>
    </row>
    <row r="242" spans="4:6">
      <c r="D242" t="s">
        <v>268</v>
      </c>
      <c r="E242" t="s">
        <v>1365</v>
      </c>
      <c r="F242" t="s">
        <v>741</v>
      </c>
    </row>
    <row r="243" spans="4:6">
      <c r="D243" s="3" t="s">
        <v>453</v>
      </c>
      <c r="E243" t="s">
        <v>1366</v>
      </c>
      <c r="F243" t="s">
        <v>742</v>
      </c>
    </row>
    <row r="244" spans="4:6">
      <c r="D244" t="s">
        <v>269</v>
      </c>
      <c r="E244" t="s">
        <v>1367</v>
      </c>
      <c r="F244" t="s">
        <v>743</v>
      </c>
    </row>
    <row r="245" spans="4:6">
      <c r="D245" t="s">
        <v>270</v>
      </c>
      <c r="E245" t="s">
        <v>1368</v>
      </c>
      <c r="F245" t="s">
        <v>744</v>
      </c>
    </row>
    <row r="246" spans="4:6">
      <c r="D246" t="s">
        <v>271</v>
      </c>
      <c r="E246" t="s">
        <v>1369</v>
      </c>
      <c r="F246" t="s">
        <v>745</v>
      </c>
    </row>
    <row r="247" spans="4:6">
      <c r="D247" s="3" t="s">
        <v>454</v>
      </c>
      <c r="E247" t="s">
        <v>1370</v>
      </c>
      <c r="F247" t="s">
        <v>746</v>
      </c>
    </row>
    <row r="248" spans="4:6">
      <c r="D248" t="s">
        <v>455</v>
      </c>
      <c r="E248" t="s">
        <v>1371</v>
      </c>
      <c r="F248" t="s">
        <v>747</v>
      </c>
    </row>
    <row r="249" spans="4:6">
      <c r="D249" t="s">
        <v>272</v>
      </c>
      <c r="E249" t="s">
        <v>1372</v>
      </c>
      <c r="F249" t="s">
        <v>748</v>
      </c>
    </row>
    <row r="250" spans="4:6">
      <c r="D250" t="s">
        <v>456</v>
      </c>
      <c r="E250" t="s">
        <v>1373</v>
      </c>
      <c r="F250" t="s">
        <v>749</v>
      </c>
    </row>
    <row r="251" spans="4:6">
      <c r="D251" s="3" t="s">
        <v>457</v>
      </c>
      <c r="E251" t="s">
        <v>1374</v>
      </c>
      <c r="F251" t="s">
        <v>750</v>
      </c>
    </row>
    <row r="252" spans="4:6">
      <c r="D252" s="3" t="s">
        <v>458</v>
      </c>
      <c r="E252" t="s">
        <v>1375</v>
      </c>
      <c r="F252" t="s">
        <v>751</v>
      </c>
    </row>
    <row r="253" spans="4:6">
      <c r="D253" s="3" t="s">
        <v>459</v>
      </c>
      <c r="E253" t="s">
        <v>1376</v>
      </c>
      <c r="F253" t="s">
        <v>752</v>
      </c>
    </row>
    <row r="254" spans="4:6">
      <c r="D254" s="3" t="s">
        <v>460</v>
      </c>
      <c r="E254" t="s">
        <v>1377</v>
      </c>
      <c r="F254" t="s">
        <v>753</v>
      </c>
    </row>
    <row r="255" spans="4:6">
      <c r="D255" s="3" t="s">
        <v>461</v>
      </c>
      <c r="E255" t="s">
        <v>1378</v>
      </c>
      <c r="F255" t="s">
        <v>754</v>
      </c>
    </row>
    <row r="256" spans="4:6">
      <c r="D256" t="s">
        <v>273</v>
      </c>
      <c r="E256" t="s">
        <v>1379</v>
      </c>
      <c r="F256" t="s">
        <v>755</v>
      </c>
    </row>
    <row r="257" spans="4:6">
      <c r="D257" s="3" t="s">
        <v>462</v>
      </c>
      <c r="E257" t="s">
        <v>1380</v>
      </c>
      <c r="F257" t="s">
        <v>756</v>
      </c>
    </row>
    <row r="258" spans="4:6">
      <c r="D258" s="3" t="s">
        <v>463</v>
      </c>
      <c r="E258" t="s">
        <v>1381</v>
      </c>
      <c r="F258" t="s">
        <v>757</v>
      </c>
    </row>
    <row r="259" spans="4:6">
      <c r="D259" t="s">
        <v>274</v>
      </c>
      <c r="E259" t="s">
        <v>1382</v>
      </c>
      <c r="F259" t="s">
        <v>758</v>
      </c>
    </row>
    <row r="260" spans="4:6">
      <c r="D260" t="s">
        <v>464</v>
      </c>
      <c r="E260" t="s">
        <v>1383</v>
      </c>
      <c r="F260" t="s">
        <v>759</v>
      </c>
    </row>
    <row r="261" spans="4:6">
      <c r="D261" s="3" t="s">
        <v>465</v>
      </c>
      <c r="E261" t="s">
        <v>1384</v>
      </c>
      <c r="F261" t="s">
        <v>760</v>
      </c>
    </row>
    <row r="262" spans="4:6">
      <c r="D262" s="3" t="s">
        <v>466</v>
      </c>
      <c r="E262" t="s">
        <v>1385</v>
      </c>
      <c r="F262" t="s">
        <v>761</v>
      </c>
    </row>
    <row r="263" spans="4:6">
      <c r="D263" s="3" t="s">
        <v>467</v>
      </c>
      <c r="E263" t="s">
        <v>1386</v>
      </c>
      <c r="F263" t="s">
        <v>762</v>
      </c>
    </row>
    <row r="264" spans="4:6">
      <c r="D264" t="s">
        <v>275</v>
      </c>
      <c r="E264" t="s">
        <v>1387</v>
      </c>
      <c r="F264" t="s">
        <v>763</v>
      </c>
    </row>
    <row r="265" spans="4:6">
      <c r="D265" s="3" t="s">
        <v>468</v>
      </c>
      <c r="E265" t="s">
        <v>1388</v>
      </c>
      <c r="F265" t="s">
        <v>764</v>
      </c>
    </row>
    <row r="266" spans="4:6">
      <c r="D266" t="s">
        <v>276</v>
      </c>
      <c r="E266" t="s">
        <v>1389</v>
      </c>
      <c r="F266" t="s">
        <v>765</v>
      </c>
    </row>
    <row r="267" spans="4:6">
      <c r="D267" t="s">
        <v>277</v>
      </c>
      <c r="E267" t="s">
        <v>1390</v>
      </c>
      <c r="F267" t="s">
        <v>766</v>
      </c>
    </row>
    <row r="268" spans="4:6">
      <c r="D268" t="s">
        <v>278</v>
      </c>
      <c r="E268" t="s">
        <v>1391</v>
      </c>
      <c r="F268" t="s">
        <v>767</v>
      </c>
    </row>
    <row r="269" spans="4:6">
      <c r="D269" t="s">
        <v>279</v>
      </c>
      <c r="E269" t="s">
        <v>1239</v>
      </c>
      <c r="F269" t="s">
        <v>615</v>
      </c>
    </row>
    <row r="270" spans="4:6">
      <c r="D270" s="3" t="s">
        <v>469</v>
      </c>
      <c r="E270" t="s">
        <v>1392</v>
      </c>
      <c r="F270" t="s">
        <v>768</v>
      </c>
    </row>
    <row r="271" spans="4:6">
      <c r="D271" t="s">
        <v>280</v>
      </c>
      <c r="E271" t="s">
        <v>1393</v>
      </c>
      <c r="F271" t="s">
        <v>769</v>
      </c>
    </row>
    <row r="272" spans="4:6">
      <c r="D272" t="s">
        <v>281</v>
      </c>
      <c r="E272" t="s">
        <v>1394</v>
      </c>
      <c r="F272" t="s">
        <v>770</v>
      </c>
    </row>
    <row r="273" spans="4:6">
      <c r="D273" t="s">
        <v>470</v>
      </c>
      <c r="E273" t="s">
        <v>1395</v>
      </c>
      <c r="F273" t="s">
        <v>771</v>
      </c>
    </row>
    <row r="274" spans="4:6">
      <c r="D274" t="s">
        <v>471</v>
      </c>
      <c r="E274" t="s">
        <v>1396</v>
      </c>
      <c r="F274" t="s">
        <v>772</v>
      </c>
    </row>
    <row r="275" spans="4:6">
      <c r="D275" s="3" t="s">
        <v>472</v>
      </c>
      <c r="E275" t="s">
        <v>1397</v>
      </c>
      <c r="F275" t="s">
        <v>773</v>
      </c>
    </row>
    <row r="276" spans="4:6">
      <c r="D276" t="s">
        <v>473</v>
      </c>
      <c r="E276" t="s">
        <v>1398</v>
      </c>
      <c r="F276" t="s">
        <v>774</v>
      </c>
    </row>
    <row r="277" spans="4:6">
      <c r="D277" t="s">
        <v>282</v>
      </c>
      <c r="E277" t="s">
        <v>1399</v>
      </c>
      <c r="F277" t="s">
        <v>775</v>
      </c>
    </row>
    <row r="278" spans="4:6">
      <c r="D278" t="s">
        <v>283</v>
      </c>
      <c r="E278" t="s">
        <v>1400</v>
      </c>
      <c r="F278" t="s">
        <v>776</v>
      </c>
    </row>
    <row r="279" spans="4:6">
      <c r="D279" t="s">
        <v>284</v>
      </c>
      <c r="E279" t="s">
        <v>1401</v>
      </c>
      <c r="F279" t="s">
        <v>777</v>
      </c>
    </row>
    <row r="280" spans="4:6">
      <c r="D280" t="s">
        <v>285</v>
      </c>
      <c r="E280" t="s">
        <v>1402</v>
      </c>
      <c r="F280" t="s">
        <v>778</v>
      </c>
    </row>
    <row r="281" spans="4:6">
      <c r="D281" t="s">
        <v>286</v>
      </c>
      <c r="E281" t="s">
        <v>1403</v>
      </c>
      <c r="F281" t="s">
        <v>779</v>
      </c>
    </row>
    <row r="282" spans="4:6">
      <c r="D282" t="s">
        <v>474</v>
      </c>
      <c r="E282" t="s">
        <v>1404</v>
      </c>
      <c r="F282" t="s">
        <v>780</v>
      </c>
    </row>
    <row r="283" spans="4:6">
      <c r="D283" t="s">
        <v>287</v>
      </c>
      <c r="E283" t="s">
        <v>1405</v>
      </c>
      <c r="F283" t="s">
        <v>781</v>
      </c>
    </row>
    <row r="284" spans="4:6">
      <c r="D284" t="s">
        <v>288</v>
      </c>
      <c r="E284" t="s">
        <v>1406</v>
      </c>
      <c r="F284" t="s">
        <v>782</v>
      </c>
    </row>
    <row r="285" spans="4:6">
      <c r="D285" t="s">
        <v>289</v>
      </c>
      <c r="E285" t="s">
        <v>1407</v>
      </c>
      <c r="F285" t="s">
        <v>783</v>
      </c>
    </row>
    <row r="286" spans="4:6">
      <c r="D286" t="s">
        <v>290</v>
      </c>
      <c r="E286" t="s">
        <v>1408</v>
      </c>
      <c r="F286" t="s">
        <v>784</v>
      </c>
    </row>
    <row r="287" spans="4:6">
      <c r="D287" s="3" t="s">
        <v>475</v>
      </c>
      <c r="E287" t="s">
        <v>1409</v>
      </c>
      <c r="F287" t="s">
        <v>785</v>
      </c>
    </row>
    <row r="288" spans="4:6">
      <c r="D288" t="s">
        <v>291</v>
      </c>
      <c r="E288" t="s">
        <v>1410</v>
      </c>
      <c r="F288" t="s">
        <v>786</v>
      </c>
    </row>
    <row r="289" spans="4:6">
      <c r="D289" s="3" t="s">
        <v>476</v>
      </c>
      <c r="E289" t="s">
        <v>1411</v>
      </c>
      <c r="F289" t="s">
        <v>787</v>
      </c>
    </row>
    <row r="290" spans="4:6">
      <c r="D290" t="s">
        <v>477</v>
      </c>
      <c r="E290" t="s">
        <v>1412</v>
      </c>
      <c r="F290" t="s">
        <v>788</v>
      </c>
    </row>
    <row r="291" spans="4:6">
      <c r="D291" t="s">
        <v>292</v>
      </c>
      <c r="E291" t="s">
        <v>1413</v>
      </c>
      <c r="F291" t="s">
        <v>789</v>
      </c>
    </row>
    <row r="292" spans="4:6">
      <c r="D292" t="s">
        <v>293</v>
      </c>
      <c r="E292" t="s">
        <v>1414</v>
      </c>
      <c r="F292" t="s">
        <v>790</v>
      </c>
    </row>
    <row r="293" spans="4:6">
      <c r="D293" t="s">
        <v>478</v>
      </c>
      <c r="E293" t="s">
        <v>1415</v>
      </c>
      <c r="F293" t="s">
        <v>791</v>
      </c>
    </row>
    <row r="294" spans="4:6">
      <c r="D294" t="s">
        <v>479</v>
      </c>
      <c r="E294" t="s">
        <v>1416</v>
      </c>
      <c r="F294" t="s">
        <v>792</v>
      </c>
    </row>
    <row r="295" spans="4:6">
      <c r="D295" s="3" t="s">
        <v>480</v>
      </c>
      <c r="E295" t="s">
        <v>1417</v>
      </c>
      <c r="F295" t="s">
        <v>793</v>
      </c>
    </row>
    <row r="296" spans="4:6">
      <c r="D296" t="s">
        <v>294</v>
      </c>
      <c r="E296" t="s">
        <v>1418</v>
      </c>
      <c r="F296" t="s">
        <v>794</v>
      </c>
    </row>
    <row r="297" spans="4:6">
      <c r="D297" t="s">
        <v>295</v>
      </c>
      <c r="E297" t="s">
        <v>1419</v>
      </c>
      <c r="F297" t="s">
        <v>795</v>
      </c>
    </row>
    <row r="298" spans="4:6">
      <c r="D298" t="s">
        <v>481</v>
      </c>
      <c r="E298" t="s">
        <v>1420</v>
      </c>
      <c r="F298" t="s">
        <v>796</v>
      </c>
    </row>
    <row r="299" spans="4:6">
      <c r="D299" t="s">
        <v>296</v>
      </c>
      <c r="E299" t="s">
        <v>1421</v>
      </c>
      <c r="F299" t="s">
        <v>797</v>
      </c>
    </row>
    <row r="300" spans="4:6">
      <c r="D300" t="s">
        <v>482</v>
      </c>
      <c r="E300" t="s">
        <v>1422</v>
      </c>
      <c r="F300" t="s">
        <v>798</v>
      </c>
    </row>
    <row r="301" spans="4:6">
      <c r="D301" t="s">
        <v>297</v>
      </c>
      <c r="E301" t="s">
        <v>1423</v>
      </c>
      <c r="F301" t="s">
        <v>799</v>
      </c>
    </row>
    <row r="302" spans="4:6">
      <c r="D302" t="s">
        <v>298</v>
      </c>
      <c r="E302" t="s">
        <v>1424</v>
      </c>
      <c r="F302" t="s">
        <v>800</v>
      </c>
    </row>
    <row r="303" spans="4:6">
      <c r="D303" t="s">
        <v>483</v>
      </c>
      <c r="E303" t="s">
        <v>1425</v>
      </c>
      <c r="F303" t="s">
        <v>801</v>
      </c>
    </row>
    <row r="304" spans="4:6">
      <c r="D304" t="s">
        <v>484</v>
      </c>
      <c r="E304" t="s">
        <v>1426</v>
      </c>
      <c r="F304" t="s">
        <v>802</v>
      </c>
    </row>
    <row r="305" spans="4:6">
      <c r="D305" t="s">
        <v>485</v>
      </c>
      <c r="E305" t="s">
        <v>1427</v>
      </c>
      <c r="F305" t="s">
        <v>803</v>
      </c>
    </row>
    <row r="306" spans="4:6">
      <c r="D306" t="s">
        <v>486</v>
      </c>
      <c r="E306" t="s">
        <v>1428</v>
      </c>
      <c r="F306" t="s">
        <v>804</v>
      </c>
    </row>
    <row r="307" spans="4:6">
      <c r="D307" t="s">
        <v>299</v>
      </c>
      <c r="E307" t="s">
        <v>1429</v>
      </c>
      <c r="F307" t="s">
        <v>805</v>
      </c>
    </row>
    <row r="308" spans="4:6">
      <c r="D308" s="3" t="s">
        <v>487</v>
      </c>
      <c r="E308" t="s">
        <v>1430</v>
      </c>
      <c r="F308" t="s">
        <v>806</v>
      </c>
    </row>
    <row r="309" spans="4:6">
      <c r="D309" t="s">
        <v>300</v>
      </c>
      <c r="E309" t="s">
        <v>1431</v>
      </c>
      <c r="F309" t="s">
        <v>807</v>
      </c>
    </row>
    <row r="310" spans="4:6">
      <c r="D310" t="s">
        <v>301</v>
      </c>
      <c r="E310" t="s">
        <v>1432</v>
      </c>
      <c r="F310" t="s">
        <v>808</v>
      </c>
    </row>
    <row r="311" spans="4:6">
      <c r="D311" s="3" t="s">
        <v>488</v>
      </c>
      <c r="E311" t="s">
        <v>1433</v>
      </c>
      <c r="F311" t="s">
        <v>809</v>
      </c>
    </row>
    <row r="312" spans="4:6">
      <c r="D312" s="3" t="s">
        <v>489</v>
      </c>
      <c r="E312" t="s">
        <v>1434</v>
      </c>
      <c r="F312" t="s">
        <v>810</v>
      </c>
    </row>
    <row r="313" spans="4:6">
      <c r="D313" t="s">
        <v>490</v>
      </c>
      <c r="E313" t="s">
        <v>1435</v>
      </c>
      <c r="F313" t="s">
        <v>811</v>
      </c>
    </row>
    <row r="314" spans="4:6">
      <c r="D314" s="3" t="s">
        <v>491</v>
      </c>
      <c r="E314" t="s">
        <v>1436</v>
      </c>
      <c r="F314" t="s">
        <v>812</v>
      </c>
    </row>
    <row r="315" spans="4:6">
      <c r="D315" t="s">
        <v>492</v>
      </c>
      <c r="E315" t="s">
        <v>1437</v>
      </c>
      <c r="F315" t="s">
        <v>813</v>
      </c>
    </row>
    <row r="316" spans="4:6">
      <c r="D316" t="s">
        <v>302</v>
      </c>
      <c r="E316" t="s">
        <v>1438</v>
      </c>
      <c r="F316" t="s">
        <v>814</v>
      </c>
    </row>
    <row r="317" spans="4:6">
      <c r="D317" t="s">
        <v>493</v>
      </c>
      <c r="E317" t="s">
        <v>1439</v>
      </c>
      <c r="F317" t="s">
        <v>815</v>
      </c>
    </row>
    <row r="318" spans="4:6">
      <c r="D318" t="s">
        <v>494</v>
      </c>
      <c r="E318" t="s">
        <v>1440</v>
      </c>
      <c r="F318" t="s">
        <v>816</v>
      </c>
    </row>
    <row r="319" spans="4:6">
      <c r="D319" s="3" t="s">
        <v>495</v>
      </c>
      <c r="E319" t="s">
        <v>1441</v>
      </c>
      <c r="F319" t="s">
        <v>817</v>
      </c>
    </row>
    <row r="320" spans="4:6">
      <c r="D320" t="s">
        <v>303</v>
      </c>
      <c r="E320" t="s">
        <v>1442</v>
      </c>
      <c r="F320" t="s">
        <v>818</v>
      </c>
    </row>
    <row r="321" spans="4:6">
      <c r="D321" s="3" t="s">
        <v>496</v>
      </c>
      <c r="E321" t="s">
        <v>1443</v>
      </c>
      <c r="F321" t="s">
        <v>819</v>
      </c>
    </row>
    <row r="322" spans="4:6">
      <c r="D322" t="s">
        <v>304</v>
      </c>
      <c r="E322" t="s">
        <v>1444</v>
      </c>
      <c r="F322" t="s">
        <v>820</v>
      </c>
    </row>
    <row r="323" spans="4:6">
      <c r="D323" t="s">
        <v>497</v>
      </c>
      <c r="E323" t="s">
        <v>1445</v>
      </c>
      <c r="F323" t="s">
        <v>821</v>
      </c>
    </row>
    <row r="324" spans="4:6">
      <c r="D324" t="s">
        <v>305</v>
      </c>
      <c r="E324" t="s">
        <v>1446</v>
      </c>
      <c r="F324" t="s">
        <v>822</v>
      </c>
    </row>
    <row r="325" spans="4:6">
      <c r="D325" s="3" t="s">
        <v>498</v>
      </c>
      <c r="E325" t="s">
        <v>1447</v>
      </c>
      <c r="F325" t="s">
        <v>823</v>
      </c>
    </row>
    <row r="326" spans="4:6">
      <c r="D326" s="3" t="s">
        <v>499</v>
      </c>
      <c r="E326" t="s">
        <v>1448</v>
      </c>
      <c r="F326" t="s">
        <v>824</v>
      </c>
    </row>
    <row r="327" spans="4:6">
      <c r="D327" s="3" t="s">
        <v>500</v>
      </c>
      <c r="E327" t="s">
        <v>1290</v>
      </c>
      <c r="F327" t="s">
        <v>666</v>
      </c>
    </row>
    <row r="328" spans="4:6">
      <c r="D328" t="s">
        <v>306</v>
      </c>
      <c r="E328" t="s">
        <v>1449</v>
      </c>
      <c r="F328" t="s">
        <v>825</v>
      </c>
    </row>
    <row r="329" spans="4:6">
      <c r="D329" s="3" t="s">
        <v>501</v>
      </c>
      <c r="E329" t="s">
        <v>1450</v>
      </c>
      <c r="F329" t="s">
        <v>826</v>
      </c>
    </row>
    <row r="330" spans="4:6">
      <c r="D330" s="3" t="s">
        <v>502</v>
      </c>
      <c r="E330" t="s">
        <v>1451</v>
      </c>
      <c r="F330" t="s">
        <v>827</v>
      </c>
    </row>
    <row r="331" spans="4:6">
      <c r="D331" t="s">
        <v>503</v>
      </c>
      <c r="E331" t="s">
        <v>1452</v>
      </c>
      <c r="F331" t="s">
        <v>828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KeySet</vt:lpstr>
      <vt:lpstr>valueMaker</vt:lpstr>
      <vt:lpstr>valuesForm</vt:lpstr>
      <vt:lpstr>valueBase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コノウイ</dc:creator>
  <cp:lastModifiedBy>ノウイ コ</cp:lastModifiedBy>
  <cp:lastPrinted>2023-12-11T23:12:26Z</cp:lastPrinted>
  <dcterms:created xsi:type="dcterms:W3CDTF">2015-06-05T18:19:34Z</dcterms:created>
  <dcterms:modified xsi:type="dcterms:W3CDTF">2024-06-13T05:08:01Z</dcterms:modified>
</cp:coreProperties>
</file>